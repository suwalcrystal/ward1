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24E1D337-A1DA-4FF7-B3C0-0AAF0FCDCC62}" xr6:coauthVersionLast="47" xr6:coauthVersionMax="47" xr10:uidLastSave="{00000000-0000-0000-0000-000000000000}"/>
  <bookViews>
    <workbookView xWindow="-120" yWindow="-120" windowWidth="20730" windowHeight="11040" xr2:uid="{00000000-000D-0000-FFFF-FFFF00000000}"/>
  </bookViews>
  <sheets>
    <sheet name="estimate" sheetId="13" r:id="rId1"/>
    <sheet name="Sheet1" sheetId="14" state="hidden"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5" i="13" l="1"/>
  <c r="I61" i="13"/>
  <c r="I51" i="13"/>
  <c r="I41" i="13"/>
  <c r="I31" i="13"/>
  <c r="I23" i="13"/>
  <c r="I18" i="13"/>
  <c r="I13" i="13"/>
  <c r="G22" i="14"/>
  <c r="F22" i="14"/>
  <c r="E22" i="14"/>
  <c r="C22" i="14"/>
  <c r="B22" i="14"/>
  <c r="F39" i="13"/>
  <c r="F49" i="13" s="1"/>
  <c r="F38" i="13"/>
  <c r="G39" i="13"/>
  <c r="D39" i="13"/>
  <c r="D38" i="13"/>
  <c r="G38" i="13" s="1"/>
  <c r="D30" i="13"/>
  <c r="G30" i="13" s="1"/>
  <c r="D29" i="13"/>
  <c r="G29" i="13" s="1"/>
  <c r="C17" i="13"/>
  <c r="C22" i="13" s="1"/>
  <c r="B17" i="13"/>
  <c r="B22" i="13" s="1"/>
  <c r="B29" i="13" s="1"/>
  <c r="B38" i="13" s="1"/>
  <c r="B49" i="13" s="1"/>
  <c r="E12" i="13"/>
  <c r="E17" i="13" s="1"/>
  <c r="E22" i="13" s="1"/>
  <c r="D12" i="13"/>
  <c r="D64" i="13"/>
  <c r="D68" i="13" s="1"/>
  <c r="G60" i="13"/>
  <c r="C16" i="13"/>
  <c r="D49" i="13" l="1"/>
  <c r="D40" i="13"/>
  <c r="E40" i="13"/>
  <c r="G49" i="13"/>
  <c r="D50" i="13"/>
  <c r="G50" i="13" s="1"/>
  <c r="E50" i="13"/>
  <c r="G12" i="13"/>
  <c r="D17" i="13"/>
  <c r="C64" i="13"/>
  <c r="C68" i="13" s="1"/>
  <c r="G40" i="13" l="1"/>
  <c r="G17" i="13"/>
  <c r="D22" i="13"/>
  <c r="G22" i="13" s="1"/>
  <c r="F68" i="13"/>
  <c r="G68" i="13" s="1"/>
  <c r="G69" i="13" l="1"/>
  <c r="G64" i="13"/>
  <c r="G65" i="13" s="1"/>
  <c r="J65" i="13" s="1"/>
  <c r="G59" i="13"/>
  <c r="G61" i="13" s="1"/>
  <c r="C21" i="13"/>
  <c r="J61" i="13" l="1"/>
  <c r="J69" i="13"/>
  <c r="G21" i="13"/>
  <c r="G23" i="13" s="1"/>
  <c r="G11" i="13"/>
  <c r="G13" i="13" s="1"/>
  <c r="G73" i="13" l="1"/>
  <c r="J73" i="13" s="1"/>
  <c r="G71" i="13"/>
  <c r="J71" i="13" s="1"/>
  <c r="C54" i="13"/>
  <c r="C48" i="13"/>
  <c r="C36" i="13"/>
  <c r="C46" i="13" s="1"/>
  <c r="C35" i="13"/>
  <c r="C45" i="13" s="1"/>
  <c r="B35" i="13"/>
  <c r="B45" i="13" s="1"/>
  <c r="C34" i="13"/>
  <c r="B34" i="13"/>
  <c r="B44" i="13" s="1"/>
  <c r="D46" i="13"/>
  <c r="C28" i="13"/>
  <c r="B28" i="13"/>
  <c r="B36" i="13" s="1"/>
  <c r="B46" i="13" s="1"/>
  <c r="C27" i="13"/>
  <c r="C26" i="13"/>
  <c r="F45" i="13"/>
  <c r="J13" i="13"/>
  <c r="G54" i="13" l="1"/>
  <c r="G55" i="13" s="1"/>
  <c r="J55" i="13" s="1"/>
  <c r="F44" i="13"/>
  <c r="G27" i="13"/>
  <c r="F47" i="13"/>
  <c r="G48" i="13"/>
  <c r="G35" i="13"/>
  <c r="D45" i="13"/>
  <c r="G45" i="13" s="1"/>
  <c r="F46" i="13"/>
  <c r="G46" i="13" s="1"/>
  <c r="C37" i="13"/>
  <c r="D47" i="13"/>
  <c r="C44" i="13"/>
  <c r="G28" i="13" l="1"/>
  <c r="G36" i="13"/>
  <c r="G37" i="13"/>
  <c r="C47" i="13"/>
  <c r="G47" i="13" s="1"/>
  <c r="G16" i="13"/>
  <c r="G18" i="13" s="1"/>
  <c r="J18" i="13" l="1"/>
  <c r="J23" i="13" l="1"/>
  <c r="G26" i="13"/>
  <c r="G31" i="13" s="1"/>
  <c r="J31" i="13" l="1"/>
  <c r="D44" i="13"/>
  <c r="G44" i="13" s="1"/>
  <c r="G51" i="13" s="1"/>
  <c r="G34" i="13"/>
  <c r="G41" i="13" s="1"/>
  <c r="J41" i="13" l="1"/>
  <c r="J51" i="13"/>
  <c r="J75" i="13" l="1"/>
  <c r="C77" i="1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40" authorId="0" shapeId="0" xr:uid="{89DBFC99-8F77-41F9-8C1E-D5BA31B7A7BA}">
      <text>
        <r>
          <rPr>
            <b/>
            <sz val="9"/>
            <color indexed="81"/>
            <rFont val="Tahoma"/>
            <family val="2"/>
          </rPr>
          <t>Author:</t>
        </r>
        <r>
          <rPr>
            <sz val="9"/>
            <color indexed="81"/>
            <rFont val="Tahoma"/>
            <family val="2"/>
          </rPr>
          <t xml:space="preserve">
flooring</t>
        </r>
      </text>
    </comment>
  </commentList>
</comments>
</file>

<file path=xl/sharedStrings.xml><?xml version="1.0" encoding="utf-8"?>
<sst xmlns="http://schemas.openxmlformats.org/spreadsheetml/2006/main" count="82" uniqueCount="64">
  <si>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</si>
  <si>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</si>
  <si>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</si>
  <si>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</si>
  <si>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</si>
  <si>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</si>
  <si>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</si>
  <si>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</si>
  <si>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</si>
  <si>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</si>
  <si>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</si>
  <si>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</si>
  <si>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</si>
  <si>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</si>
  <si>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</si>
  <si>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</si>
  <si>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</si>
  <si>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</si>
  <si>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</si>
  <si>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</si>
  <si>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</si>
  <si>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F.Y.: 2082/2083</t>
  </si>
  <si>
    <t>Length (m)</t>
  </si>
  <si>
    <t>sub-total</t>
  </si>
  <si>
    <t>cum</t>
  </si>
  <si>
    <t>-High Density Polythene Pipe NS 40 pipe material PE 100, PN 16</t>
  </si>
  <si>
    <t>Weight (Kg/m)</t>
  </si>
  <si>
    <t>Total weight (Kg)</t>
  </si>
  <si>
    <t>kg</t>
  </si>
  <si>
    <t>Location:- Shankharapur Municipality 1</t>
  </si>
  <si>
    <t>-for pipe laying</t>
  </si>
  <si>
    <t>rm</t>
  </si>
  <si>
    <t>Provisional sum for other unforseen works</t>
  </si>
  <si>
    <t>PS</t>
  </si>
  <si>
    <t>A</t>
  </si>
  <si>
    <t>Pipe works</t>
  </si>
  <si>
    <t>B</t>
  </si>
  <si>
    <t>-for stand taps</t>
  </si>
  <si>
    <t>Plain cement concrete (1:2:4)</t>
  </si>
  <si>
    <t>sqm</t>
  </si>
  <si>
    <t>-for wing walls of stand tap</t>
  </si>
  <si>
    <t>-for side wall of stand tap</t>
  </si>
  <si>
    <t>-for stand tap</t>
  </si>
  <si>
    <t>Water tap size</t>
  </si>
  <si>
    <t>length</t>
  </si>
  <si>
    <t>Height 1</t>
  </si>
  <si>
    <t>Height 2</t>
  </si>
  <si>
    <t>20mm thick cement plaster (1:6)</t>
  </si>
  <si>
    <t>3 mm thick  cement punning</t>
  </si>
  <si>
    <t>-for floor area</t>
  </si>
  <si>
    <t>20mm GI pipe threaded-Medium class</t>
  </si>
  <si>
    <t>thickness</t>
  </si>
  <si>
    <t>Date:2082</t>
  </si>
  <si>
    <t>For tap works</t>
  </si>
  <si>
    <t>Flat brick  soling</t>
  </si>
  <si>
    <t>Chimney made Brick work in 1:6 cement mortar</t>
  </si>
  <si>
    <t>Width of stand tap</t>
  </si>
  <si>
    <t>g/d k|sf/sf] Sn] / l;N6L df6f]df ;j} lsl;dsf] vGg] sfd</t>
  </si>
  <si>
    <r>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Engineer.l (</t>
    </r>
    <r>
      <rPr>
        <b/>
        <sz val="14"/>
        <rFont val="Preeti"/>
      </rPr>
      <t>vGg] k'g{] sfo{</t>
    </r>
    <r>
      <rPr>
        <sz val="11"/>
        <rFont val="Calibri"/>
        <family val="2"/>
        <scheme val="minor"/>
      </rPr>
      <t>)</t>
    </r>
  </si>
  <si>
    <t>-for 20mm pipe laying for distribution</t>
  </si>
  <si>
    <t>-for pipe laying for tap distribution</t>
  </si>
  <si>
    <t>Laying and joining of 20 mmØ HDPE pipe with butt-weld joints</t>
  </si>
  <si>
    <t>-for intake</t>
  </si>
  <si>
    <r>
      <t>Project:-</t>
    </r>
    <r>
      <rPr>
        <sz val="12"/>
        <rFont val="Preeti"/>
      </rPr>
      <t xml:space="preserve"> </t>
    </r>
    <r>
      <rPr>
        <sz val="14"/>
        <rFont val="Preeti"/>
      </rPr>
      <t>9sfn ufFp vfg]kfgL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</si>
</sst>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8"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2"/>
      <name val="Preeti"/>
    </font>
    <font>
      <b/>
      <sz val="14"/>
      <name val="Preeti"/>
    </font>
    <font>
      <sz val="9"/>
      <color indexed="81"/>
      <name val="Tahoma"/>
      <family val="2"/>
    </font>
    <font>
      <b/>
      <sz val="9"/>
      <color indexed="81"/>
      <name val="Tahoma"/>
      <family val="2"/>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7">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4" fillId="0" borderId="0" xfId="0" applyFont="1" applyAlignment="1">
      <alignment vertical="center"/>
    </xf>
    <xf numFmtId="2" fontId="4" fillId="0" borderId="0" xfId="0" applyNumberFormat="1" applyFont="1"/>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wrapText="1"/>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0" fontId="4" fillId="0" borderId="2" xfId="0" applyFont="1" applyBorder="1" applyAlignment="1">
      <alignment wrapText="1"/>
    </xf>
    <xf numFmtId="0" fontId="4" fillId="0" borderId="2" xfId="0" applyFont="1" applyBorder="1" applyAlignment="1">
      <alignment vertical="center"/>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0" fontId="2" fillId="0" borderId="2" xfId="0" quotePrefix="1" applyFont="1" applyBorder="1" applyAlignment="1">
      <alignment vertical="center" wrapText="1"/>
    </xf>
    <xf numFmtId="1" fontId="2" fillId="0" borderId="2" xfId="0" quotePrefix="1" applyNumberFormat="1" applyFont="1" applyBorder="1" applyAlignment="1">
      <alignment vertical="center" wrapText="1"/>
    </xf>
    <xf numFmtId="0" fontId="4" fillId="0" borderId="2" xfId="0" quotePrefix="1" applyFont="1" applyBorder="1" applyAlignment="1">
      <alignment horizontal="right" vertical="center"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77"/>
  <sheetViews>
    <sheetView tabSelected="1" topLeftCell="A70" zoomScaleNormal="100" workbookViewId="0">
      <selection activeCell="H78" sqref="H78"/>
    </sheetView>
  </sheetViews>
  <sheetFormatPr defaultColWidth="9.140625" defaultRowHeight="15" x14ac:dyDescent="0.25"/>
  <cols>
    <col min="1" max="1" width="4.7109375" style="9" customWidth="1"/>
    <col min="2" max="2" width="30.85546875" style="9" customWidth="1"/>
    <col min="3" max="3" width="4.42578125" style="9" bestFit="1" customWidth="1"/>
    <col min="4" max="4" width="8.42578125" style="9" customWidth="1"/>
    <col min="5" max="5" width="8.5703125" style="9" customWidth="1"/>
    <col min="6" max="6" width="7.28515625" style="9" customWidth="1"/>
    <col min="7" max="7" width="9.140625" style="9"/>
    <col min="8" max="8" width="5" style="9" bestFit="1" customWidth="1"/>
    <col min="9" max="9" width="9.5703125" style="9" customWidth="1"/>
    <col min="10" max="10" width="10.7109375" style="9" bestFit="1" customWidth="1"/>
    <col min="11" max="12" width="9.140625" style="9"/>
    <col min="19" max="20" width="8.5703125" style="9" bestFit="1" customWidth="1"/>
    <col min="21" max="21" width="6.5703125" style="9" customWidth="1"/>
    <col min="22" max="22" width="7.42578125" style="9" bestFit="1" customWidth="1"/>
    <col min="23" max="23" width="8.42578125" style="9" bestFit="1" customWidth="1"/>
    <col min="24" max="25" width="7.7109375" style="9" bestFit="1" customWidth="1"/>
    <col min="26" max="16384" width="9.140625" style="9"/>
  </cols>
  <sheetData>
    <row r="1" spans="1:25" x14ac:dyDescent="0.25">
      <c r="A1" s="51" t="s">
        <v>0</v>
      </c>
      <c r="B1" s="51"/>
      <c r="C1" s="51"/>
      <c r="D1" s="51"/>
      <c r="E1" s="51"/>
      <c r="F1" s="51"/>
      <c r="G1" s="51"/>
      <c r="H1" s="51"/>
      <c r="I1" s="51"/>
      <c r="J1" s="51"/>
      <c r="K1" s="51"/>
    </row>
    <row r="2" spans="1:25" ht="22.5" x14ac:dyDescent="0.25">
      <c r="A2" s="52" t="s">
        <v>1</v>
      </c>
      <c r="B2" s="52"/>
      <c r="C2" s="52"/>
      <c r="D2" s="52"/>
      <c r="E2" s="52"/>
      <c r="F2" s="52"/>
      <c r="G2" s="52"/>
      <c r="H2" s="52"/>
      <c r="I2" s="52"/>
      <c r="J2" s="52"/>
      <c r="K2" s="52"/>
    </row>
    <row r="3" spans="1:25" x14ac:dyDescent="0.25">
      <c r="A3" s="53" t="s">
        <v>2</v>
      </c>
      <c r="B3" s="53"/>
      <c r="C3" s="53"/>
      <c r="D3" s="53"/>
      <c r="E3" s="53"/>
      <c r="F3" s="53"/>
      <c r="G3" s="53"/>
      <c r="H3" s="53"/>
      <c r="I3" s="53"/>
      <c r="J3" s="53"/>
      <c r="K3" s="53"/>
    </row>
    <row r="4" spans="1:25" x14ac:dyDescent="0.25">
      <c r="A4" s="53" t="s">
        <v>3</v>
      </c>
      <c r="B4" s="53"/>
      <c r="C4" s="53"/>
      <c r="D4" s="53"/>
      <c r="E4" s="53"/>
      <c r="F4" s="53"/>
      <c r="G4" s="53"/>
      <c r="H4" s="53"/>
      <c r="I4" s="53"/>
      <c r="J4" s="53"/>
      <c r="K4" s="53"/>
    </row>
    <row r="5" spans="1:25" ht="18.75" x14ac:dyDescent="0.3">
      <c r="A5" s="54" t="s">
        <v>4</v>
      </c>
      <c r="B5" s="54"/>
      <c r="C5" s="54"/>
      <c r="D5" s="54"/>
      <c r="E5" s="54"/>
      <c r="F5" s="54"/>
      <c r="G5" s="54"/>
      <c r="H5" s="54"/>
      <c r="I5" s="54"/>
      <c r="J5" s="54"/>
      <c r="K5" s="54"/>
    </row>
    <row r="6" spans="1:25" ht="18" x14ac:dyDescent="0.25">
      <c r="A6" s="55" t="s">
        <v>63</v>
      </c>
      <c r="B6" s="55"/>
      <c r="C6" s="55"/>
      <c r="D6" s="55"/>
      <c r="E6" s="55"/>
      <c r="F6" s="55"/>
      <c r="G6" s="3"/>
      <c r="H6" s="56" t="s">
        <v>21</v>
      </c>
      <c r="I6" s="56"/>
      <c r="J6" s="56"/>
      <c r="K6" s="56"/>
    </row>
    <row r="7" spans="1:25" ht="15.75" x14ac:dyDescent="0.25">
      <c r="A7" s="49" t="s">
        <v>29</v>
      </c>
      <c r="B7" s="49"/>
      <c r="C7" s="49"/>
      <c r="D7" s="49"/>
      <c r="E7" s="49"/>
      <c r="F7" s="49"/>
      <c r="G7" s="4"/>
      <c r="H7" s="50" t="s">
        <v>52</v>
      </c>
      <c r="I7" s="50"/>
      <c r="J7" s="50"/>
      <c r="K7" s="50"/>
    </row>
    <row r="8" spans="1:25" ht="15.75" x14ac:dyDescent="0.25">
      <c r="A8" s="5" t="s">
        <v>5</v>
      </c>
      <c r="B8" s="6" t="s">
        <v>6</v>
      </c>
      <c r="C8" s="5" t="s">
        <v>7</v>
      </c>
      <c r="D8" s="7" t="s">
        <v>8</v>
      </c>
      <c r="E8" s="7" t="s">
        <v>9</v>
      </c>
      <c r="F8" s="7" t="s">
        <v>10</v>
      </c>
      <c r="G8" s="7" t="s">
        <v>11</v>
      </c>
      <c r="H8" s="5" t="s">
        <v>12</v>
      </c>
      <c r="I8" s="7" t="s">
        <v>13</v>
      </c>
      <c r="J8" s="7" t="s">
        <v>14</v>
      </c>
      <c r="K8" s="8" t="s">
        <v>15</v>
      </c>
      <c r="S8" s="10"/>
      <c r="T8" s="10"/>
      <c r="U8" s="10"/>
      <c r="V8" s="10"/>
      <c r="W8" s="10"/>
      <c r="X8" s="10"/>
      <c r="Y8" s="10"/>
    </row>
    <row r="9" spans="1:25" ht="15.75" x14ac:dyDescent="0.25">
      <c r="A9" s="5" t="s">
        <v>34</v>
      </c>
      <c r="B9" s="6" t="s">
        <v>53</v>
      </c>
      <c r="C9" s="5"/>
      <c r="D9" s="7"/>
      <c r="E9" s="7"/>
      <c r="F9" s="7"/>
      <c r="G9" s="7"/>
      <c r="H9" s="5"/>
      <c r="I9" s="7"/>
      <c r="J9" s="7"/>
      <c r="K9" s="8"/>
    </row>
    <row r="10" spans="1:25" s="10" customFormat="1" ht="30.75" x14ac:dyDescent="0.25">
      <c r="A10" s="23">
        <v>1</v>
      </c>
      <c r="B10" s="22" t="s">
        <v>57</v>
      </c>
      <c r="C10" s="23"/>
      <c r="D10" s="24"/>
      <c r="E10" s="24"/>
      <c r="F10" s="24"/>
      <c r="G10" s="24"/>
      <c r="H10" s="23"/>
      <c r="I10" s="24"/>
      <c r="J10" s="24"/>
      <c r="K10" s="25"/>
      <c r="S10" s="9"/>
      <c r="T10" s="9"/>
      <c r="U10" s="9"/>
      <c r="V10" s="9"/>
      <c r="W10" s="9"/>
      <c r="X10" s="9"/>
      <c r="Y10" s="9"/>
    </row>
    <row r="11" spans="1:25" x14ac:dyDescent="0.25">
      <c r="A11" s="18"/>
      <c r="B11" s="19" t="s">
        <v>37</v>
      </c>
      <c r="C11" s="20">
        <v>2</v>
      </c>
      <c r="D11" s="21">
        <v>1.83</v>
      </c>
      <c r="E11" s="21">
        <v>1.83</v>
      </c>
      <c r="F11" s="20">
        <v>0.15</v>
      </c>
      <c r="G11" s="21">
        <f>PRODUCT(C11:F11)</f>
        <v>1.0046700000000002</v>
      </c>
      <c r="H11" s="20"/>
      <c r="I11" s="20"/>
      <c r="J11" s="20"/>
      <c r="K11" s="20"/>
    </row>
    <row r="12" spans="1:25" x14ac:dyDescent="0.25">
      <c r="A12" s="18"/>
      <c r="B12" s="19" t="s">
        <v>62</v>
      </c>
      <c r="C12" s="20">
        <v>1</v>
      </c>
      <c r="D12" s="21">
        <f>4.5/3.281</f>
        <v>1.3715330691862238</v>
      </c>
      <c r="E12" s="21">
        <f>4.5/3.281</f>
        <v>1.3715330691862238</v>
      </c>
      <c r="F12" s="20">
        <v>0.15</v>
      </c>
      <c r="G12" s="21">
        <f>PRODUCT(C12:F12)</f>
        <v>0.28216544398070742</v>
      </c>
      <c r="H12" s="20"/>
      <c r="I12" s="20"/>
      <c r="J12" s="20"/>
      <c r="K12" s="20"/>
    </row>
    <row r="13" spans="1:25" ht="15" customHeight="1" x14ac:dyDescent="0.25">
      <c r="A13" s="12"/>
      <c r="B13" s="13" t="s">
        <v>16</v>
      </c>
      <c r="C13" s="14"/>
      <c r="D13" s="1"/>
      <c r="E13" s="15"/>
      <c r="F13" s="15"/>
      <c r="G13" s="2">
        <f>SUM(G11:G12)</f>
        <v>1.2868354439807077</v>
      </c>
      <c r="H13" s="16" t="s">
        <v>24</v>
      </c>
      <c r="I13" s="2">
        <f>1.15*963.05</f>
        <v>1107.5074999999999</v>
      </c>
      <c r="J13" s="17">
        <f>G13*I13</f>
        <v>1425.1799054744636</v>
      </c>
      <c r="K13" s="15"/>
    </row>
    <row r="14" spans="1:25" ht="15.75" x14ac:dyDescent="0.25">
      <c r="A14" s="5"/>
      <c r="B14" s="6"/>
      <c r="C14" s="5"/>
      <c r="D14" s="7"/>
      <c r="E14" s="7"/>
      <c r="F14" s="7"/>
      <c r="G14" s="7"/>
      <c r="H14" s="5"/>
      <c r="I14" s="7"/>
      <c r="J14" s="7"/>
      <c r="K14" s="8"/>
    </row>
    <row r="15" spans="1:25" x14ac:dyDescent="0.25">
      <c r="A15" s="18">
        <v>2</v>
      </c>
      <c r="B15" s="20" t="s">
        <v>54</v>
      </c>
      <c r="C15" s="20"/>
      <c r="D15" s="20"/>
      <c r="E15" s="20"/>
      <c r="F15" s="20"/>
      <c r="G15" s="20"/>
      <c r="H15" s="20"/>
      <c r="I15" s="20"/>
      <c r="J15" s="20"/>
      <c r="K15" s="20"/>
    </row>
    <row r="16" spans="1:25" x14ac:dyDescent="0.25">
      <c r="A16" s="18"/>
      <c r="B16" s="19" t="s">
        <v>37</v>
      </c>
      <c r="C16" s="20">
        <f>C11</f>
        <v>2</v>
      </c>
      <c r="D16" s="21">
        <v>1.83</v>
      </c>
      <c r="E16" s="21">
        <v>1.83</v>
      </c>
      <c r="F16" s="20"/>
      <c r="G16" s="21">
        <f>PRODUCT(C16:F16)</f>
        <v>6.6978000000000009</v>
      </c>
      <c r="H16" s="20"/>
      <c r="I16" s="20"/>
      <c r="J16" s="20"/>
      <c r="K16" s="20"/>
    </row>
    <row r="17" spans="1:11" x14ac:dyDescent="0.25">
      <c r="A17" s="18"/>
      <c r="B17" s="19" t="str">
        <f>B12</f>
        <v>-for intake</v>
      </c>
      <c r="C17" s="20">
        <f>C12</f>
        <v>1</v>
      </c>
      <c r="D17" s="21">
        <f>D12</f>
        <v>1.3715330691862238</v>
      </c>
      <c r="E17" s="21">
        <f>E12</f>
        <v>1.3715330691862238</v>
      </c>
      <c r="F17" s="20"/>
      <c r="G17" s="21">
        <f>PRODUCT(C17:F17)</f>
        <v>1.8811029598713829</v>
      </c>
      <c r="H17" s="20"/>
      <c r="I17" s="20"/>
      <c r="J17" s="20"/>
      <c r="K17" s="20"/>
    </row>
    <row r="18" spans="1:11" ht="13.9" customHeight="1" x14ac:dyDescent="0.25">
      <c r="A18" s="12"/>
      <c r="B18" s="13" t="s">
        <v>16</v>
      </c>
      <c r="C18" s="14"/>
      <c r="D18" s="1"/>
      <c r="E18" s="15"/>
      <c r="F18" s="15"/>
      <c r="G18" s="2">
        <f>SUM(G16:G17)</f>
        <v>8.5789029598713835</v>
      </c>
      <c r="H18" s="16" t="s">
        <v>39</v>
      </c>
      <c r="I18" s="2">
        <f>1.15*1014.15</f>
        <v>1166.2724999999998</v>
      </c>
      <c r="J18" s="17">
        <f>G18*I18</f>
        <v>10005.338602266596</v>
      </c>
      <c r="K18" s="15"/>
    </row>
    <row r="19" spans="1:11" x14ac:dyDescent="0.25">
      <c r="A19" s="18"/>
      <c r="B19" s="20"/>
      <c r="C19" s="20"/>
      <c r="D19" s="20"/>
      <c r="E19" s="20"/>
      <c r="F19" s="20"/>
      <c r="G19" s="20"/>
      <c r="H19" s="20"/>
      <c r="I19" s="20"/>
      <c r="J19" s="20"/>
      <c r="K19" s="20"/>
    </row>
    <row r="20" spans="1:11" x14ac:dyDescent="0.25">
      <c r="A20" s="18">
        <v>3</v>
      </c>
      <c r="B20" s="20" t="s">
        <v>38</v>
      </c>
      <c r="C20" s="20"/>
      <c r="D20" s="20"/>
      <c r="E20" s="20"/>
      <c r="F20" s="20"/>
      <c r="G20" s="20"/>
      <c r="H20" s="20"/>
      <c r="I20" s="20"/>
      <c r="J20" s="20"/>
      <c r="K20" s="20"/>
    </row>
    <row r="21" spans="1:11" x14ac:dyDescent="0.25">
      <c r="A21" s="18"/>
      <c r="B21" s="19" t="s">
        <v>42</v>
      </c>
      <c r="C21" s="20">
        <f>C16</f>
        <v>2</v>
      </c>
      <c r="D21" s="21">
        <v>1.83</v>
      </c>
      <c r="E21" s="21">
        <v>1.83</v>
      </c>
      <c r="F21" s="21">
        <v>0.1</v>
      </c>
      <c r="G21" s="21">
        <f>PRODUCT(C21:F21)</f>
        <v>0.66978000000000015</v>
      </c>
      <c r="H21" s="20"/>
      <c r="I21" s="20"/>
      <c r="J21" s="20"/>
      <c r="K21" s="20"/>
    </row>
    <row r="22" spans="1:11" x14ac:dyDescent="0.25">
      <c r="A22" s="18"/>
      <c r="B22" s="19" t="str">
        <f>B17</f>
        <v>-for intake</v>
      </c>
      <c r="C22" s="20">
        <f>C17</f>
        <v>1</v>
      </c>
      <c r="D22" s="21">
        <f>D17</f>
        <v>1.3715330691862238</v>
      </c>
      <c r="E22" s="21">
        <f>E17</f>
        <v>1.3715330691862238</v>
      </c>
      <c r="F22" s="21">
        <v>0.1</v>
      </c>
      <c r="G22" s="21">
        <f>PRODUCT(C22:F22)</f>
        <v>0.1881102959871383</v>
      </c>
      <c r="H22" s="20"/>
      <c r="I22" s="20"/>
      <c r="J22" s="20"/>
      <c r="K22" s="20"/>
    </row>
    <row r="23" spans="1:11" ht="15" customHeight="1" x14ac:dyDescent="0.25">
      <c r="A23" s="12"/>
      <c r="B23" s="13" t="s">
        <v>16</v>
      </c>
      <c r="C23" s="14"/>
      <c r="D23" s="1"/>
      <c r="E23" s="15"/>
      <c r="F23" s="15"/>
      <c r="G23" s="2">
        <f>SUM(G21:G22)</f>
        <v>0.8578902959871384</v>
      </c>
      <c r="H23" s="16" t="s">
        <v>24</v>
      </c>
      <c r="I23" s="2">
        <f>1.15*13343.7</f>
        <v>15345.254999999999</v>
      </c>
      <c r="J23" s="17">
        <f>G23*I23</f>
        <v>13164.545353948115</v>
      </c>
      <c r="K23" s="15"/>
    </row>
    <row r="24" spans="1:11" x14ac:dyDescent="0.25">
      <c r="A24" s="18"/>
      <c r="B24" s="20"/>
      <c r="C24" s="20"/>
      <c r="D24" s="20"/>
      <c r="E24" s="20"/>
      <c r="F24" s="20"/>
      <c r="G24" s="20"/>
      <c r="H24" s="20"/>
      <c r="I24" s="20"/>
      <c r="J24" s="20"/>
      <c r="K24" s="20"/>
    </row>
    <row r="25" spans="1:11" ht="30" x14ac:dyDescent="0.25">
      <c r="A25" s="18">
        <v>4</v>
      </c>
      <c r="B25" s="26" t="s">
        <v>55</v>
      </c>
      <c r="C25" s="20"/>
      <c r="D25" s="20"/>
      <c r="E25" s="20"/>
      <c r="F25" s="20"/>
      <c r="G25" s="20"/>
      <c r="H25" s="20"/>
      <c r="I25" s="20"/>
      <c r="J25" s="20"/>
      <c r="K25" s="20"/>
    </row>
    <row r="26" spans="1:11" x14ac:dyDescent="0.25">
      <c r="A26" s="18"/>
      <c r="B26" s="19" t="s">
        <v>40</v>
      </c>
      <c r="C26" s="20">
        <f>C16*2</f>
        <v>4</v>
      </c>
      <c r="D26" s="21">
        <v>1.37</v>
      </c>
      <c r="E26" s="21">
        <v>0.23</v>
      </c>
      <c r="F26" s="21">
        <v>0.6</v>
      </c>
      <c r="G26" s="21">
        <f>PRODUCT(C26:F26)</f>
        <v>0.75624000000000013</v>
      </c>
      <c r="H26" s="20"/>
      <c r="I26" s="20"/>
      <c r="J26" s="20"/>
      <c r="K26" s="20"/>
    </row>
    <row r="27" spans="1:11" x14ac:dyDescent="0.25">
      <c r="A27" s="18"/>
      <c r="B27" s="19" t="s">
        <v>41</v>
      </c>
      <c r="C27" s="20">
        <f>C16</f>
        <v>2</v>
      </c>
      <c r="D27" s="21">
        <v>1.47</v>
      </c>
      <c r="E27" s="21">
        <v>0.23</v>
      </c>
      <c r="F27" s="21">
        <v>0.6</v>
      </c>
      <c r="G27" s="21">
        <f>PRODUCT(C27:F27)</f>
        <v>0.40572000000000003</v>
      </c>
      <c r="H27" s="20"/>
      <c r="I27" s="20"/>
      <c r="J27" s="20"/>
      <c r="K27" s="20"/>
    </row>
    <row r="28" spans="1:11" x14ac:dyDescent="0.25">
      <c r="A28" s="18"/>
      <c r="B28" s="19" t="str">
        <f>B21</f>
        <v>-for stand tap</v>
      </c>
      <c r="C28" s="20">
        <f>C16</f>
        <v>2</v>
      </c>
      <c r="D28" s="21">
        <v>0.35</v>
      </c>
      <c r="E28" s="21">
        <v>0.23</v>
      </c>
      <c r="F28" s="21">
        <v>1.3</v>
      </c>
      <c r="G28" s="21">
        <f>PRODUCT(C28:F28)</f>
        <v>0.20930000000000001</v>
      </c>
      <c r="H28" s="20"/>
      <c r="I28" s="20"/>
      <c r="J28" s="20"/>
      <c r="K28" s="20"/>
    </row>
    <row r="29" spans="1:11" x14ac:dyDescent="0.25">
      <c r="A29" s="18"/>
      <c r="B29" s="19" t="str">
        <f>B22</f>
        <v>-for intake</v>
      </c>
      <c r="C29" s="20">
        <v>2</v>
      </c>
      <c r="D29" s="21">
        <f>3/3.281</f>
        <v>0.91435537945748246</v>
      </c>
      <c r="E29" s="21">
        <v>0.23</v>
      </c>
      <c r="F29" s="21">
        <v>0.9</v>
      </c>
      <c r="G29" s="21">
        <f>PRODUCT(C29:F29)</f>
        <v>0.37854312709539778</v>
      </c>
      <c r="H29" s="20"/>
      <c r="I29" s="20"/>
      <c r="J29" s="20"/>
      <c r="K29" s="20"/>
    </row>
    <row r="30" spans="1:11" x14ac:dyDescent="0.25">
      <c r="A30" s="18"/>
      <c r="B30" s="19"/>
      <c r="C30" s="20">
        <v>2</v>
      </c>
      <c r="D30" s="21">
        <f>4.5/3.281</f>
        <v>1.3715330691862238</v>
      </c>
      <c r="E30" s="21">
        <v>0.23</v>
      </c>
      <c r="F30" s="21">
        <v>0.9</v>
      </c>
      <c r="G30" s="21">
        <f>PRODUCT(C30:F30)</f>
        <v>0.56781469064309664</v>
      </c>
      <c r="H30" s="20"/>
      <c r="I30" s="20"/>
      <c r="J30" s="20"/>
      <c r="K30" s="20"/>
    </row>
    <row r="31" spans="1:11" ht="15" customHeight="1" x14ac:dyDescent="0.25">
      <c r="A31" s="12"/>
      <c r="B31" s="13" t="s">
        <v>16</v>
      </c>
      <c r="C31" s="14"/>
      <c r="D31" s="1"/>
      <c r="E31" s="15"/>
      <c r="F31" s="15"/>
      <c r="G31" s="2">
        <f>SUM(G26:G30)</f>
        <v>2.3176178177384945</v>
      </c>
      <c r="H31" s="16" t="s">
        <v>24</v>
      </c>
      <c r="I31" s="2">
        <f>1.15*12225.55</f>
        <v>14059.382499999998</v>
      </c>
      <c r="J31" s="17">
        <f>G31*I31</f>
        <v>32584.275388400776</v>
      </c>
      <c r="K31" s="15"/>
    </row>
    <row r="32" spans="1:11" x14ac:dyDescent="0.25">
      <c r="A32" s="18"/>
      <c r="B32" s="20"/>
      <c r="C32" s="20"/>
      <c r="D32" s="20"/>
      <c r="E32" s="20"/>
      <c r="F32" s="20"/>
      <c r="G32" s="20"/>
      <c r="H32" s="20"/>
      <c r="I32" s="20"/>
      <c r="J32" s="20"/>
      <c r="K32" s="20"/>
    </row>
    <row r="33" spans="1:11" x14ac:dyDescent="0.25">
      <c r="A33" s="18">
        <v>5</v>
      </c>
      <c r="B33" s="26" t="s">
        <v>47</v>
      </c>
      <c r="C33" s="20"/>
      <c r="D33" s="20"/>
      <c r="E33" s="20"/>
      <c r="F33" s="20"/>
      <c r="G33" s="20"/>
      <c r="H33" s="20"/>
      <c r="I33" s="20"/>
      <c r="J33" s="20"/>
      <c r="K33" s="20"/>
    </row>
    <row r="34" spans="1:11" x14ac:dyDescent="0.25">
      <c r="A34" s="18"/>
      <c r="B34" s="19" t="str">
        <f>B26</f>
        <v>-for wing walls of stand tap</v>
      </c>
      <c r="C34" s="20">
        <f>C16*4</f>
        <v>8</v>
      </c>
      <c r="D34" s="21">
        <v>1.37</v>
      </c>
      <c r="E34" s="21"/>
      <c r="F34" s="21">
        <v>0.6</v>
      </c>
      <c r="G34" s="21">
        <f t="shared" ref="G34:G40" si="0">PRODUCT(C34:F34)</f>
        <v>6.5760000000000005</v>
      </c>
      <c r="H34" s="20"/>
      <c r="I34" s="20"/>
      <c r="J34" s="20"/>
      <c r="K34" s="20"/>
    </row>
    <row r="35" spans="1:11" x14ac:dyDescent="0.25">
      <c r="A35" s="18"/>
      <c r="B35" s="19" t="str">
        <f>B27</f>
        <v>-for side wall of stand tap</v>
      </c>
      <c r="C35" s="20">
        <f>C16</f>
        <v>2</v>
      </c>
      <c r="D35" s="21">
        <v>1.47</v>
      </c>
      <c r="E35" s="21"/>
      <c r="F35" s="21">
        <v>0.6</v>
      </c>
      <c r="G35" s="21">
        <f t="shared" si="0"/>
        <v>1.764</v>
      </c>
      <c r="H35" s="20"/>
      <c r="I35" s="20"/>
      <c r="J35" s="20"/>
      <c r="K35" s="20"/>
    </row>
    <row r="36" spans="1:11" x14ac:dyDescent="0.25">
      <c r="A36" s="18"/>
      <c r="B36" s="19" t="str">
        <f>B28</f>
        <v>-for stand tap</v>
      </c>
      <c r="C36" s="20">
        <f>C16</f>
        <v>2</v>
      </c>
      <c r="D36" s="21">
        <v>0.35</v>
      </c>
      <c r="E36" s="21"/>
      <c r="F36" s="21">
        <v>1.3</v>
      </c>
      <c r="G36" s="21">
        <f t="shared" si="0"/>
        <v>0.90999999999999992</v>
      </c>
      <c r="H36" s="20"/>
      <c r="I36" s="20"/>
      <c r="J36" s="20"/>
      <c r="K36" s="20"/>
    </row>
    <row r="37" spans="1:11" x14ac:dyDescent="0.25">
      <c r="A37" s="18"/>
      <c r="B37" s="19"/>
      <c r="C37" s="20">
        <f>C36</f>
        <v>2</v>
      </c>
      <c r="D37" s="21">
        <v>0.46</v>
      </c>
      <c r="E37" s="21"/>
      <c r="F37" s="21">
        <v>0.70000000000000007</v>
      </c>
      <c r="G37" s="21">
        <f t="shared" si="0"/>
        <v>0.64400000000000013</v>
      </c>
      <c r="H37" s="20"/>
      <c r="I37" s="20"/>
      <c r="J37" s="20"/>
      <c r="K37" s="20"/>
    </row>
    <row r="38" spans="1:11" x14ac:dyDescent="0.25">
      <c r="A38" s="18"/>
      <c r="B38" s="19" t="str">
        <f>B29</f>
        <v>-for intake</v>
      </c>
      <c r="C38" s="20">
        <v>4</v>
      </c>
      <c r="D38" s="21">
        <f>4.5/3.281</f>
        <v>1.3715330691862238</v>
      </c>
      <c r="E38" s="21"/>
      <c r="F38" s="21">
        <f>2.75/3.281</f>
        <v>0.8381590978360256</v>
      </c>
      <c r="G38" s="21">
        <f t="shared" si="0"/>
        <v>4.5982516796856023</v>
      </c>
      <c r="H38" s="20"/>
      <c r="I38" s="20"/>
      <c r="J38" s="20"/>
      <c r="K38" s="20"/>
    </row>
    <row r="39" spans="1:11" x14ac:dyDescent="0.25">
      <c r="A39" s="18"/>
      <c r="B39" s="19"/>
      <c r="C39" s="20">
        <v>4</v>
      </c>
      <c r="D39" s="21">
        <f>3/3.281</f>
        <v>0.91435537945748246</v>
      </c>
      <c r="E39" s="21"/>
      <c r="F39" s="21">
        <f>2.75/3.281</f>
        <v>0.8381590978360256</v>
      </c>
      <c r="G39" s="21">
        <f t="shared" si="0"/>
        <v>3.0655011197904014</v>
      </c>
      <c r="H39" s="20"/>
      <c r="I39" s="20"/>
      <c r="J39" s="20"/>
      <c r="K39" s="20"/>
    </row>
    <row r="40" spans="1:11" x14ac:dyDescent="0.25">
      <c r="A40" s="18"/>
      <c r="B40" s="19"/>
      <c r="C40" s="20">
        <v>1</v>
      </c>
      <c r="D40" s="21">
        <f>D39</f>
        <v>0.91435537945748246</v>
      </c>
      <c r="E40" s="21">
        <f>D39</f>
        <v>0.91435537945748246</v>
      </c>
      <c r="F40" s="21"/>
      <c r="G40" s="21">
        <f t="shared" si="0"/>
        <v>0.8360457599428367</v>
      </c>
      <c r="H40" s="20"/>
      <c r="I40" s="20"/>
      <c r="J40" s="20"/>
      <c r="K40" s="20"/>
    </row>
    <row r="41" spans="1:11" ht="15" customHeight="1" x14ac:dyDescent="0.25">
      <c r="A41" s="12"/>
      <c r="B41" s="13" t="s">
        <v>16</v>
      </c>
      <c r="C41" s="14"/>
      <c r="D41" s="1"/>
      <c r="E41" s="15"/>
      <c r="F41" s="15"/>
      <c r="G41" s="2">
        <f>SUM(G34:G40)</f>
        <v>18.39379855941884</v>
      </c>
      <c r="H41" s="16" t="s">
        <v>39</v>
      </c>
      <c r="I41" s="2">
        <f>1.15*49954.32/100</f>
        <v>574.47467999999992</v>
      </c>
      <c r="J41" s="17">
        <f>G41*I41</f>
        <v>10566.771541406599</v>
      </c>
      <c r="K41" s="15"/>
    </row>
    <row r="42" spans="1:11" x14ac:dyDescent="0.25">
      <c r="A42" s="18"/>
      <c r="B42" s="20"/>
      <c r="C42" s="20"/>
      <c r="D42" s="20"/>
      <c r="E42" s="20"/>
      <c r="F42" s="20"/>
      <c r="G42" s="20"/>
      <c r="H42" s="20"/>
      <c r="I42" s="20"/>
      <c r="J42" s="20"/>
      <c r="K42" s="20"/>
    </row>
    <row r="43" spans="1:11" x14ac:dyDescent="0.25">
      <c r="A43" s="18">
        <v>6</v>
      </c>
      <c r="B43" s="26" t="s">
        <v>48</v>
      </c>
      <c r="C43" s="20"/>
      <c r="D43" s="20"/>
      <c r="E43" s="20"/>
      <c r="F43" s="20"/>
      <c r="G43" s="20"/>
      <c r="H43" s="20"/>
      <c r="I43" s="20"/>
      <c r="J43" s="20"/>
      <c r="K43" s="20"/>
    </row>
    <row r="44" spans="1:11" x14ac:dyDescent="0.25">
      <c r="A44" s="18"/>
      <c r="B44" s="19" t="str">
        <f t="shared" ref="B44:D46" si="1">B34</f>
        <v>-for wing walls of stand tap</v>
      </c>
      <c r="C44" s="20">
        <f t="shared" si="1"/>
        <v>8</v>
      </c>
      <c r="D44" s="21">
        <f t="shared" si="1"/>
        <v>1.37</v>
      </c>
      <c r="E44" s="21"/>
      <c r="F44" s="21">
        <f>F34</f>
        <v>0.6</v>
      </c>
      <c r="G44" s="21">
        <f t="shared" ref="G44:G50" si="2">PRODUCT(C44:F44)</f>
        <v>6.5760000000000005</v>
      </c>
      <c r="H44" s="20"/>
      <c r="I44" s="20"/>
      <c r="J44" s="20"/>
      <c r="K44" s="20"/>
    </row>
    <row r="45" spans="1:11" x14ac:dyDescent="0.25">
      <c r="A45" s="18"/>
      <c r="B45" s="19" t="str">
        <f t="shared" si="1"/>
        <v>-for side wall of stand tap</v>
      </c>
      <c r="C45" s="20">
        <f t="shared" si="1"/>
        <v>2</v>
      </c>
      <c r="D45" s="21">
        <f t="shared" si="1"/>
        <v>1.47</v>
      </c>
      <c r="E45" s="21"/>
      <c r="F45" s="21">
        <f>F35</f>
        <v>0.6</v>
      </c>
      <c r="G45" s="21">
        <f t="shared" si="2"/>
        <v>1.764</v>
      </c>
      <c r="H45" s="20"/>
      <c r="I45" s="20"/>
      <c r="J45" s="20"/>
      <c r="K45" s="20"/>
    </row>
    <row r="46" spans="1:11" x14ac:dyDescent="0.25">
      <c r="A46" s="18"/>
      <c r="B46" s="19" t="str">
        <f t="shared" si="1"/>
        <v>-for stand tap</v>
      </c>
      <c r="C46" s="20">
        <f t="shared" si="1"/>
        <v>2</v>
      </c>
      <c r="D46" s="21">
        <f t="shared" si="1"/>
        <v>0.35</v>
      </c>
      <c r="E46" s="21"/>
      <c r="F46" s="21">
        <f>F36</f>
        <v>1.3</v>
      </c>
      <c r="G46" s="21">
        <f t="shared" si="2"/>
        <v>0.90999999999999992</v>
      </c>
      <c r="H46" s="20"/>
      <c r="I46" s="20"/>
      <c r="J46" s="20"/>
      <c r="K46" s="20"/>
    </row>
    <row r="47" spans="1:11" x14ac:dyDescent="0.25">
      <c r="A47" s="18"/>
      <c r="B47" s="19"/>
      <c r="C47" s="20">
        <f>C37</f>
        <v>2</v>
      </c>
      <c r="D47" s="21">
        <f>D37</f>
        <v>0.46</v>
      </c>
      <c r="E47" s="21"/>
      <c r="F47" s="21">
        <f>F37</f>
        <v>0.70000000000000007</v>
      </c>
      <c r="G47" s="21">
        <f t="shared" si="2"/>
        <v>0.64400000000000013</v>
      </c>
      <c r="H47" s="20"/>
      <c r="I47" s="20"/>
      <c r="J47" s="20"/>
      <c r="K47" s="20"/>
    </row>
    <row r="48" spans="1:11" x14ac:dyDescent="0.25">
      <c r="A48" s="18"/>
      <c r="B48" s="19" t="s">
        <v>49</v>
      </c>
      <c r="C48" s="20">
        <f>C16</f>
        <v>2</v>
      </c>
      <c r="D48" s="21">
        <v>1.37</v>
      </c>
      <c r="E48" s="21">
        <v>1.6</v>
      </c>
      <c r="F48" s="21"/>
      <c r="G48" s="21">
        <f t="shared" si="2"/>
        <v>4.3840000000000003</v>
      </c>
      <c r="H48" s="20"/>
      <c r="I48" s="20"/>
      <c r="J48" s="20"/>
      <c r="K48" s="20"/>
    </row>
    <row r="49" spans="1:25" x14ac:dyDescent="0.25">
      <c r="A49" s="18"/>
      <c r="B49" s="19" t="str">
        <f>B38</f>
        <v>-for intake</v>
      </c>
      <c r="C49" s="20">
        <v>4</v>
      </c>
      <c r="D49" s="21">
        <f>D39</f>
        <v>0.91435537945748246</v>
      </c>
      <c r="E49" s="21"/>
      <c r="F49" s="21">
        <f>F39</f>
        <v>0.8381590978360256</v>
      </c>
      <c r="G49" s="21">
        <f t="shared" si="2"/>
        <v>3.0655011197904014</v>
      </c>
      <c r="H49" s="20"/>
      <c r="I49" s="20"/>
      <c r="J49" s="20"/>
      <c r="K49" s="20"/>
    </row>
    <row r="50" spans="1:25" x14ac:dyDescent="0.25">
      <c r="A50" s="18"/>
      <c r="B50" s="19"/>
      <c r="C50" s="20">
        <v>1</v>
      </c>
      <c r="D50" s="21">
        <f>D49</f>
        <v>0.91435537945748246</v>
      </c>
      <c r="E50" s="21">
        <f>D49</f>
        <v>0.91435537945748246</v>
      </c>
      <c r="F50" s="21"/>
      <c r="G50" s="21">
        <f t="shared" si="2"/>
        <v>0.8360457599428367</v>
      </c>
      <c r="H50" s="20"/>
      <c r="I50" s="20"/>
      <c r="J50" s="20"/>
      <c r="K50" s="20"/>
    </row>
    <row r="51" spans="1:25" ht="15" customHeight="1" x14ac:dyDescent="0.25">
      <c r="A51" s="12"/>
      <c r="B51" s="13" t="s">
        <v>16</v>
      </c>
      <c r="C51" s="14"/>
      <c r="D51" s="1"/>
      <c r="E51" s="15"/>
      <c r="F51" s="15"/>
      <c r="G51" s="2">
        <f>SUM(G44:G50)</f>
        <v>18.179546879733241</v>
      </c>
      <c r="H51" s="16" t="s">
        <v>39</v>
      </c>
      <c r="I51" s="2">
        <f>1.15*28609.6/100</f>
        <v>329.01039999999995</v>
      </c>
      <c r="J51" s="17">
        <f>G51*I51</f>
        <v>5981.2599907197846</v>
      </c>
      <c r="K51" s="15"/>
    </row>
    <row r="52" spans="1:25" x14ac:dyDescent="0.25">
      <c r="A52" s="18"/>
      <c r="B52" s="20"/>
      <c r="C52" s="20"/>
      <c r="D52" s="20"/>
      <c r="E52" s="20"/>
      <c r="F52" s="20"/>
      <c r="G52" s="20"/>
      <c r="H52" s="20"/>
      <c r="I52" s="20"/>
      <c r="J52" s="20"/>
      <c r="K52" s="20"/>
    </row>
    <row r="53" spans="1:25" ht="30" x14ac:dyDescent="0.25">
      <c r="A53" s="18">
        <v>7</v>
      </c>
      <c r="B53" s="41" t="s">
        <v>50</v>
      </c>
      <c r="C53" s="20"/>
      <c r="D53" s="20"/>
      <c r="E53" s="20"/>
      <c r="F53" s="20"/>
      <c r="G53" s="20"/>
      <c r="H53" s="20"/>
      <c r="I53" s="20"/>
      <c r="J53" s="20"/>
      <c r="K53" s="20"/>
      <c r="S53" s="10"/>
      <c r="T53" s="10"/>
      <c r="U53" s="10"/>
      <c r="V53" s="10"/>
      <c r="W53" s="10"/>
      <c r="X53" s="10"/>
      <c r="Y53" s="10"/>
    </row>
    <row r="54" spans="1:25" x14ac:dyDescent="0.25">
      <c r="A54" s="18"/>
      <c r="B54" s="19" t="s">
        <v>30</v>
      </c>
      <c r="C54" s="20">
        <f>C16</f>
        <v>2</v>
      </c>
      <c r="D54" s="21">
        <v>1.3</v>
      </c>
      <c r="E54" s="20"/>
      <c r="F54" s="20"/>
      <c r="G54" s="21">
        <f>PRODUCT(C54:F54)</f>
        <v>2.6</v>
      </c>
      <c r="H54" s="20"/>
      <c r="I54" s="20"/>
      <c r="J54" s="17"/>
      <c r="K54" s="20"/>
    </row>
    <row r="55" spans="1:25" s="10" customFormat="1" x14ac:dyDescent="0.25">
      <c r="A55" s="12"/>
      <c r="B55" s="42" t="s">
        <v>23</v>
      </c>
      <c r="C55" s="14"/>
      <c r="D55" s="1"/>
      <c r="E55" s="15"/>
      <c r="F55" s="15"/>
      <c r="G55" s="43">
        <f>SUM(G54:G54)</f>
        <v>2.6</v>
      </c>
      <c r="H55" s="16" t="s">
        <v>31</v>
      </c>
      <c r="I55" s="2">
        <v>248</v>
      </c>
      <c r="J55" s="43">
        <f>G55*I55</f>
        <v>644.80000000000007</v>
      </c>
      <c r="K55" s="15"/>
      <c r="S55" s="9"/>
      <c r="T55" s="9"/>
      <c r="U55" s="9"/>
      <c r="V55" s="9"/>
      <c r="W55" s="9"/>
      <c r="X55" s="9"/>
      <c r="Y55" s="9"/>
    </row>
    <row r="56" spans="1:25" x14ac:dyDescent="0.25">
      <c r="A56" s="18"/>
      <c r="B56" s="41"/>
      <c r="C56" s="20"/>
      <c r="D56" s="20"/>
      <c r="E56" s="20"/>
      <c r="F56" s="20"/>
      <c r="G56" s="20"/>
      <c r="H56" s="20"/>
      <c r="I56" s="20"/>
      <c r="J56" s="20"/>
      <c r="K56" s="20"/>
    </row>
    <row r="57" spans="1:25" ht="15.75" x14ac:dyDescent="0.25">
      <c r="A57" s="5" t="s">
        <v>36</v>
      </c>
      <c r="B57" s="6" t="s">
        <v>35</v>
      </c>
      <c r="C57" s="5"/>
      <c r="D57" s="7"/>
      <c r="E57" s="7"/>
      <c r="F57" s="7"/>
      <c r="G57" s="7"/>
      <c r="H57" s="5"/>
      <c r="I57" s="7"/>
      <c r="J57" s="7"/>
      <c r="K57" s="8"/>
    </row>
    <row r="58" spans="1:25" ht="168" x14ac:dyDescent="0.25">
      <c r="A58" s="18">
        <v>8</v>
      </c>
      <c r="B58" s="41" t="s">
        <v>58</v>
      </c>
      <c r="C58" s="20"/>
      <c r="D58" s="20"/>
      <c r="E58" s="20"/>
      <c r="F58" s="20"/>
      <c r="G58" s="20"/>
      <c r="H58" s="20"/>
      <c r="I58" s="20"/>
      <c r="J58" s="17"/>
      <c r="K58" s="20"/>
      <c r="S58" s="10"/>
      <c r="T58" s="10"/>
      <c r="U58" s="10"/>
      <c r="V58" s="10"/>
      <c r="W58" s="10"/>
      <c r="X58" s="10"/>
      <c r="Y58" s="10"/>
    </row>
    <row r="59" spans="1:25" x14ac:dyDescent="0.25">
      <c r="A59" s="18"/>
      <c r="B59" s="19" t="s">
        <v>60</v>
      </c>
      <c r="C59" s="20">
        <v>1</v>
      </c>
      <c r="D59" s="21">
        <v>200</v>
      </c>
      <c r="E59" s="20">
        <v>0.15</v>
      </c>
      <c r="F59" s="20">
        <v>0.45</v>
      </c>
      <c r="G59" s="21">
        <f>PRODUCT(C59:F59)</f>
        <v>13.5</v>
      </c>
      <c r="H59" s="20"/>
      <c r="I59" s="20"/>
      <c r="J59" s="17"/>
      <c r="K59" s="20"/>
    </row>
    <row r="60" spans="1:25" x14ac:dyDescent="0.25">
      <c r="A60" s="18"/>
      <c r="B60" s="19" t="s">
        <v>60</v>
      </c>
      <c r="C60" s="20">
        <v>1</v>
      </c>
      <c r="D60" s="21">
        <v>50</v>
      </c>
      <c r="E60" s="20">
        <v>0.15</v>
      </c>
      <c r="F60" s="20">
        <v>0.45</v>
      </c>
      <c r="G60" s="21">
        <f>PRODUCT(C60:F60)</f>
        <v>3.375</v>
      </c>
      <c r="H60" s="20"/>
      <c r="I60" s="20"/>
      <c r="J60" s="17"/>
      <c r="K60" s="20"/>
    </row>
    <row r="61" spans="1:25" s="10" customFormat="1" x14ac:dyDescent="0.25">
      <c r="A61" s="12"/>
      <c r="B61" s="42" t="s">
        <v>23</v>
      </c>
      <c r="C61" s="14"/>
      <c r="D61" s="1"/>
      <c r="E61" s="15"/>
      <c r="F61" s="15"/>
      <c r="G61" s="43">
        <f>SUM(G59:G60)</f>
        <v>16.875</v>
      </c>
      <c r="H61" s="16" t="s">
        <v>24</v>
      </c>
      <c r="I61" s="2">
        <f>1.15*748.9</f>
        <v>861.2349999999999</v>
      </c>
      <c r="J61" s="43">
        <f>G61*I61</f>
        <v>14533.340624999999</v>
      </c>
      <c r="K61" s="15"/>
      <c r="S61" s="9"/>
      <c r="T61" s="9"/>
      <c r="U61" s="9"/>
      <c r="V61" s="9"/>
      <c r="W61" s="9"/>
      <c r="X61" s="9"/>
      <c r="Y61" s="9"/>
    </row>
    <row r="62" spans="1:25" x14ac:dyDescent="0.25">
      <c r="A62" s="18"/>
      <c r="B62" s="19"/>
      <c r="C62" s="20"/>
      <c r="D62" s="20"/>
      <c r="E62" s="20"/>
      <c r="F62" s="20"/>
      <c r="G62" s="20"/>
      <c r="H62" s="20"/>
      <c r="I62" s="20"/>
      <c r="J62" s="17"/>
      <c r="K62" s="20"/>
    </row>
    <row r="63" spans="1:25" ht="30" x14ac:dyDescent="0.25">
      <c r="A63" s="18">
        <v>9</v>
      </c>
      <c r="B63" s="41" t="s">
        <v>61</v>
      </c>
      <c r="C63" s="20"/>
      <c r="D63" s="20"/>
      <c r="E63" s="20"/>
      <c r="F63" s="20"/>
      <c r="G63" s="20"/>
      <c r="H63" s="20"/>
      <c r="I63" s="20"/>
      <c r="J63" s="20"/>
      <c r="K63" s="20"/>
      <c r="S63" s="10"/>
      <c r="T63" s="10"/>
      <c r="U63" s="10"/>
      <c r="V63" s="10"/>
      <c r="W63" s="10"/>
      <c r="X63" s="10"/>
      <c r="Y63" s="10"/>
    </row>
    <row r="64" spans="1:25" x14ac:dyDescent="0.25">
      <c r="A64" s="18"/>
      <c r="B64" s="19" t="s">
        <v>30</v>
      </c>
      <c r="C64" s="20">
        <f>C60</f>
        <v>1</v>
      </c>
      <c r="D64" s="21">
        <f>D59+D60</f>
        <v>250</v>
      </c>
      <c r="E64" s="20"/>
      <c r="F64" s="20"/>
      <c r="G64" s="21">
        <f>PRODUCT(C64:F64)</f>
        <v>250</v>
      </c>
      <c r="H64" s="20"/>
      <c r="I64" s="20"/>
      <c r="J64" s="17"/>
      <c r="K64" s="20"/>
    </row>
    <row r="65" spans="1:25" s="10" customFormat="1" x14ac:dyDescent="0.25">
      <c r="A65" s="12"/>
      <c r="B65" s="42" t="s">
        <v>23</v>
      </c>
      <c r="C65" s="14"/>
      <c r="D65" s="1"/>
      <c r="E65" s="15"/>
      <c r="F65" s="15"/>
      <c r="G65" s="43">
        <f>SUM(G64:G64)</f>
        <v>250</v>
      </c>
      <c r="H65" s="16" t="s">
        <v>31</v>
      </c>
      <c r="I65" s="2">
        <f>1.15*4308.15/1000</f>
        <v>4.9543724999999998</v>
      </c>
      <c r="J65" s="43">
        <f>G65*I65</f>
        <v>1238.5931249999999</v>
      </c>
      <c r="K65" s="15"/>
      <c r="S65" s="9"/>
      <c r="T65" s="9"/>
      <c r="U65" s="9"/>
      <c r="V65" s="9"/>
      <c r="W65" s="9"/>
      <c r="X65" s="9"/>
      <c r="Y65" s="9"/>
    </row>
    <row r="66" spans="1:25" x14ac:dyDescent="0.25">
      <c r="A66" s="18"/>
      <c r="B66" s="41"/>
      <c r="C66" s="20"/>
      <c r="D66" s="20"/>
      <c r="E66" s="20"/>
      <c r="F66" s="20"/>
      <c r="G66" s="20"/>
      <c r="H66" s="20"/>
      <c r="I66" s="20"/>
      <c r="J66" s="20"/>
      <c r="K66" s="20"/>
      <c r="S66" s="10"/>
      <c r="T66" s="10"/>
      <c r="U66" s="10"/>
      <c r="V66" s="10"/>
      <c r="W66" s="10"/>
      <c r="X66" s="10"/>
      <c r="Y66" s="10"/>
    </row>
    <row r="67" spans="1:25" ht="45" x14ac:dyDescent="0.25">
      <c r="A67" s="18">
        <v>10</v>
      </c>
      <c r="B67" s="45" t="s">
        <v>25</v>
      </c>
      <c r="C67" s="20"/>
      <c r="D67" s="26" t="s">
        <v>22</v>
      </c>
      <c r="E67" s="26" t="s">
        <v>26</v>
      </c>
      <c r="F67" s="26" t="s">
        <v>27</v>
      </c>
      <c r="G67" s="20"/>
      <c r="H67" s="20"/>
      <c r="I67" s="20"/>
      <c r="J67" s="17"/>
      <c r="K67" s="20"/>
    </row>
    <row r="68" spans="1:25" s="10" customFormat="1" ht="30" x14ac:dyDescent="0.25">
      <c r="A68" s="18"/>
      <c r="B68" s="46" t="s">
        <v>59</v>
      </c>
      <c r="C68" s="27">
        <f>C64</f>
        <v>1</v>
      </c>
      <c r="D68" s="36">
        <f>D64</f>
        <v>250</v>
      </c>
      <c r="E68" s="27">
        <v>0.13500000000000001</v>
      </c>
      <c r="F68" s="27">
        <f>C68*D68*E68</f>
        <v>33.75</v>
      </c>
      <c r="G68" s="36">
        <f>F68</f>
        <v>33.75</v>
      </c>
      <c r="H68" s="27"/>
      <c r="I68" s="27"/>
      <c r="J68" s="16"/>
      <c r="K68" s="27"/>
      <c r="S68" s="9"/>
      <c r="T68" s="9"/>
      <c r="U68" s="9"/>
      <c r="V68" s="9"/>
      <c r="W68" s="9"/>
      <c r="X68" s="9"/>
      <c r="Y68" s="9"/>
    </row>
    <row r="69" spans="1:25" ht="15" customHeight="1" x14ac:dyDescent="0.25">
      <c r="A69" s="12"/>
      <c r="B69" s="13" t="s">
        <v>16</v>
      </c>
      <c r="C69" s="14"/>
      <c r="D69" s="1"/>
      <c r="E69" s="15"/>
      <c r="F69" s="15"/>
      <c r="G69" s="2">
        <f>SUM(G68:G68)</f>
        <v>33.75</v>
      </c>
      <c r="H69" s="16" t="s">
        <v>28</v>
      </c>
      <c r="I69" s="2">
        <v>287</v>
      </c>
      <c r="J69" s="17">
        <f>G69*I69</f>
        <v>9686.25</v>
      </c>
      <c r="K69" s="15"/>
    </row>
    <row r="70" spans="1:25" x14ac:dyDescent="0.25">
      <c r="A70" s="18"/>
      <c r="B70" s="20"/>
      <c r="C70" s="20"/>
      <c r="D70" s="20"/>
      <c r="E70" s="20"/>
      <c r="F70" s="20"/>
      <c r="G70" s="20"/>
      <c r="H70" s="20"/>
      <c r="I70" s="20"/>
      <c r="J70" s="20"/>
      <c r="K70" s="20"/>
    </row>
    <row r="71" spans="1:25" s="10" customFormat="1" ht="30" x14ac:dyDescent="0.25">
      <c r="A71" s="12">
        <v>11</v>
      </c>
      <c r="B71" s="44" t="s">
        <v>32</v>
      </c>
      <c r="C71" s="14">
        <v>1</v>
      </c>
      <c r="D71" s="1"/>
      <c r="E71" s="15"/>
      <c r="F71" s="15"/>
      <c r="G71" s="43">
        <f>PRODUCT(C71:F71)</f>
        <v>1</v>
      </c>
      <c r="H71" s="16" t="s">
        <v>33</v>
      </c>
      <c r="I71" s="2">
        <v>2000</v>
      </c>
      <c r="J71" s="43">
        <f>G71*I71</f>
        <v>2000</v>
      </c>
      <c r="K71" s="15"/>
      <c r="S71" s="9"/>
      <c r="T71" s="9"/>
      <c r="U71" s="9"/>
      <c r="V71" s="9"/>
      <c r="W71" s="9"/>
      <c r="X71" s="9"/>
      <c r="Y71" s="9"/>
    </row>
    <row r="72" spans="1:25" x14ac:dyDescent="0.25">
      <c r="A72" s="18"/>
      <c r="B72" s="41"/>
      <c r="C72" s="20"/>
      <c r="D72" s="20"/>
      <c r="E72" s="20"/>
      <c r="F72" s="20"/>
      <c r="G72" s="20"/>
      <c r="H72" s="20"/>
      <c r="I72" s="20"/>
      <c r="J72" s="20"/>
      <c r="K72" s="20"/>
    </row>
    <row r="73" spans="1:25" ht="15" customHeight="1" x14ac:dyDescent="0.25">
      <c r="A73" s="12">
        <v>12</v>
      </c>
      <c r="B73" s="28" t="s">
        <v>17</v>
      </c>
      <c r="C73" s="14">
        <v>1</v>
      </c>
      <c r="D73" s="1"/>
      <c r="E73" s="15"/>
      <c r="F73" s="15"/>
      <c r="G73" s="16">
        <f>PRODUCT(C73:F73)</f>
        <v>1</v>
      </c>
      <c r="H73" s="16" t="s">
        <v>18</v>
      </c>
      <c r="I73" s="2">
        <v>500</v>
      </c>
      <c r="J73" s="16">
        <f>G73*I73</f>
        <v>500</v>
      </c>
      <c r="K73" s="15"/>
    </row>
    <row r="74" spans="1:25" x14ac:dyDescent="0.25">
      <c r="A74" s="12"/>
      <c r="B74" s="29"/>
      <c r="C74" s="14"/>
      <c r="D74" s="1"/>
      <c r="E74" s="15"/>
      <c r="F74" s="15"/>
      <c r="G74" s="2"/>
      <c r="H74" s="16"/>
      <c r="I74" s="2"/>
      <c r="J74" s="17"/>
      <c r="K74" s="15"/>
    </row>
    <row r="75" spans="1:25" x14ac:dyDescent="0.25">
      <c r="A75" s="30"/>
      <c r="B75" s="31" t="s">
        <v>20</v>
      </c>
      <c r="C75" s="32"/>
      <c r="D75" s="33"/>
      <c r="E75" s="33"/>
      <c r="F75" s="33"/>
      <c r="G75" s="17"/>
      <c r="H75" s="17"/>
      <c r="I75" s="17"/>
      <c r="J75" s="17">
        <f>SUM(J9:J73)</f>
        <v>102330.35453221634</v>
      </c>
      <c r="K75" s="34"/>
      <c r="S75" s="10"/>
      <c r="T75" s="10"/>
      <c r="U75" s="10"/>
      <c r="V75" s="10"/>
      <c r="W75" s="10"/>
      <c r="X75" s="10"/>
      <c r="Y75" s="10"/>
    </row>
    <row r="77" spans="1:25" s="10" customFormat="1" x14ac:dyDescent="0.25">
      <c r="A77" s="35"/>
      <c r="B77" s="27" t="s">
        <v>19</v>
      </c>
      <c r="C77" s="47">
        <f>J75</f>
        <v>102330.35453221634</v>
      </c>
      <c r="D77" s="48"/>
      <c r="E77" s="36"/>
      <c r="F77" s="35"/>
      <c r="G77" s="37"/>
      <c r="H77" s="35"/>
      <c r="I77" s="38"/>
      <c r="J77" s="39"/>
      <c r="K77" s="40"/>
      <c r="S77" s="9"/>
      <c r="T77" s="9"/>
      <c r="U77" s="9"/>
      <c r="V77" s="9"/>
      <c r="W77" s="9"/>
      <c r="X77" s="9"/>
      <c r="Y77" s="9"/>
    </row>
  </sheetData>
  <mergeCells count="10">
    <mergeCell ref="A7:F7"/>
    <mergeCell ref="H7:K7"/>
    <mergeCell ref="A1:K1"/>
    <mergeCell ref="A2:K2"/>
    <mergeCell ref="A3:K3"/>
    <mergeCell ref="A4:K4"/>
    <mergeCell ref="A5:K5"/>
    <mergeCell ref="A6:F6"/>
    <mergeCell ref="H6:K6"/>
    <mergeCell ref="C77:D77"/>
  </mergeCells>
  <pageMargins left="0.7" right="0.7" top="0.75" bottom="0.75" header="0.3" footer="0.3"/>
  <pageSetup scale="80"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8454D-6EF6-4A79-9ADE-4C4670A1EF76}">
  <dimension ref="B8:G88"/>
  <sheetViews>
    <sheetView workbookViewId="0">
      <selection activeCell="I11" sqref="I11"/>
    </sheetView>
  </sheetViews>
  <sheetFormatPr defaultRowHeight="15" x14ac:dyDescent="0.25"/>
  <cols>
    <col min="2" max="2" width="6.42578125" style="9" bestFit="1" customWidth="1"/>
    <col min="3" max="3" width="7.42578125" style="9" bestFit="1" customWidth="1"/>
    <col min="4" max="5" width="8.42578125" style="9" bestFit="1" customWidth="1"/>
    <col min="6" max="6" width="9.140625" style="9"/>
    <col min="7" max="7" width="16.5703125" style="9" customWidth="1"/>
  </cols>
  <sheetData>
    <row r="8" spans="2:7" x14ac:dyDescent="0.25">
      <c r="B8" s="10"/>
      <c r="C8" s="10"/>
      <c r="D8" s="10"/>
      <c r="E8" s="10"/>
      <c r="F8" s="10"/>
      <c r="G8" s="10"/>
    </row>
    <row r="20" spans="2:7" x14ac:dyDescent="0.25">
      <c r="B20" s="9" t="s">
        <v>43</v>
      </c>
    </row>
    <row r="21" spans="2:7" x14ac:dyDescent="0.25">
      <c r="B21" s="9" t="s">
        <v>44</v>
      </c>
      <c r="C21" s="9" t="s">
        <v>9</v>
      </c>
      <c r="D21" s="9" t="s">
        <v>51</v>
      </c>
      <c r="E21" s="9" t="s">
        <v>45</v>
      </c>
      <c r="F21" s="9" t="s">
        <v>46</v>
      </c>
      <c r="G21" s="9" t="s">
        <v>56</v>
      </c>
    </row>
    <row r="22" spans="2:7" x14ac:dyDescent="0.25">
      <c r="B22" s="11">
        <f>6/3.281</f>
        <v>1.8287107589149649</v>
      </c>
      <c r="C22" s="11">
        <f>6/3.281</f>
        <v>1.8287107589149649</v>
      </c>
      <c r="D22" s="11">
        <v>0.23</v>
      </c>
      <c r="E22" s="11">
        <f>TRUNC(2/3.281,1)</f>
        <v>0.6</v>
      </c>
      <c r="F22" s="11">
        <f>TRUNC(4.5/3.281,1)</f>
        <v>1.3</v>
      </c>
      <c r="G22" s="11">
        <f>1.17/3.281</f>
        <v>0.35659859798841814</v>
      </c>
    </row>
    <row r="64" spans="2:7" x14ac:dyDescent="0.25">
      <c r="B64" s="10"/>
      <c r="C64" s="10"/>
      <c r="D64" s="10"/>
      <c r="E64" s="10"/>
      <c r="F64" s="10"/>
      <c r="G64" s="10"/>
    </row>
    <row r="67" spans="2:7" x14ac:dyDescent="0.25">
      <c r="B67" s="10"/>
      <c r="C67" s="10"/>
      <c r="D67" s="10"/>
      <c r="E67" s="10"/>
      <c r="F67" s="10"/>
      <c r="G67" s="10"/>
    </row>
    <row r="70" spans="2:7" x14ac:dyDescent="0.25">
      <c r="B70" s="10"/>
      <c r="C70" s="10"/>
      <c r="D70" s="10"/>
      <c r="E70" s="10"/>
      <c r="F70" s="10"/>
      <c r="G70" s="10"/>
    </row>
    <row r="75" spans="2:7" x14ac:dyDescent="0.25">
      <c r="B75" s="10"/>
      <c r="C75" s="10"/>
      <c r="D75" s="10"/>
      <c r="E75" s="10"/>
      <c r="F75" s="10"/>
      <c r="G75" s="10"/>
    </row>
    <row r="78" spans="2:7" x14ac:dyDescent="0.25">
      <c r="B78" s="10"/>
      <c r="C78" s="10"/>
      <c r="D78" s="10"/>
      <c r="E78" s="10"/>
      <c r="F78" s="10"/>
      <c r="G78" s="10"/>
    </row>
    <row r="88" spans="2:7" x14ac:dyDescent="0.25">
      <c r="B88" s="10"/>
      <c r="C88" s="10"/>
      <c r="D88" s="10"/>
      <c r="E88" s="10"/>
      <c r="F88" s="10"/>
      <c r="G88" s="10"/>
    </row>
  </sheetData>
  <sheetProtection algorithmName="SHA-512" hashValue="hWh5URpMOYSP5X8kUKikxp/Ek3dwwt8/eAkYy4GX8O0sFcG9idGg/PTA9KoJNO8PO4bT5dwys4/QaZBlTGz30w==" saltValue="IWWv77lHozxtDlqdLqti+A=="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estimate</vt:lpstr>
      <vt:lpstr>Sheet1</vt:lpstr>
      <vt:lpstr>estimate!Print_Area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2026-03-30T06:11:15Z</dcterms:modified>
</cp:coreProperties>
</file>