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'water tank'!$A$1:$K$175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13" l="1"/>
  <c r="M10" i="13"/>
  <c r="O10" i="13"/>
  <c r="E61" i="13"/>
  <c r="E60" i="13"/>
  <c r="E64" i="13"/>
  <c r="I159" i="13" l="1"/>
  <c r="D162" i="13" l="1"/>
  <c r="F162" i="13" s="1"/>
  <c r="G162" i="13" s="1"/>
  <c r="D158" i="13"/>
  <c r="G158" i="13" s="1"/>
  <c r="G159" i="13" s="1"/>
  <c r="J159" i="13" s="1"/>
  <c r="G154" i="13"/>
  <c r="G155" i="13" s="1"/>
  <c r="J155" i="13" s="1"/>
  <c r="D131" i="13"/>
  <c r="D121" i="13"/>
  <c r="R113" i="13"/>
  <c r="D130" i="13" s="1"/>
  <c r="C112" i="13"/>
  <c r="N113" i="13"/>
  <c r="E112" i="13" s="1"/>
  <c r="M113" i="13"/>
  <c r="D128" i="13" s="1"/>
  <c r="J164" i="13" l="1"/>
  <c r="G163" i="13"/>
  <c r="J163" i="13" s="1"/>
  <c r="D129" i="13"/>
  <c r="D119" i="13"/>
  <c r="D112" i="13"/>
  <c r="D120" i="13"/>
  <c r="E106" i="13"/>
  <c r="D106" i="13"/>
  <c r="E102" i="13"/>
  <c r="D102" i="13"/>
  <c r="C175" i="13" l="1"/>
  <c r="C174" i="13"/>
  <c r="G166" i="13"/>
  <c r="J166" i="13" s="1"/>
  <c r="G150" i="13"/>
  <c r="J150" i="13" s="1"/>
  <c r="C146" i="13"/>
  <c r="I142" i="13"/>
  <c r="E141" i="13"/>
  <c r="C141" i="13"/>
  <c r="I132" i="13"/>
  <c r="C130" i="13"/>
  <c r="C139" i="13" s="1"/>
  <c r="C129" i="13"/>
  <c r="C138" i="13" s="1"/>
  <c r="B129" i="13"/>
  <c r="B138" i="13" s="1"/>
  <c r="C128" i="13"/>
  <c r="B128" i="13"/>
  <c r="B137" i="13" s="1"/>
  <c r="D139" i="13"/>
  <c r="C121" i="13"/>
  <c r="B121" i="13"/>
  <c r="B130" i="13" s="1"/>
  <c r="B139" i="13" s="1"/>
  <c r="C120" i="13"/>
  <c r="C119" i="13"/>
  <c r="Q113" i="13"/>
  <c r="P113" i="13"/>
  <c r="F129" i="13" s="1"/>
  <c r="F138" i="13" s="1"/>
  <c r="E120" i="13"/>
  <c r="D141" i="13"/>
  <c r="G102" i="13"/>
  <c r="G103" i="13" s="1"/>
  <c r="J103" i="13" s="1"/>
  <c r="Y10" i="13"/>
  <c r="X10" i="13"/>
  <c r="W10" i="13"/>
  <c r="V10" i="13"/>
  <c r="U10" i="13"/>
  <c r="C172" i="13" l="1"/>
  <c r="G146" i="13"/>
  <c r="G147" i="13" s="1"/>
  <c r="J147" i="13" s="1"/>
  <c r="J148" i="13" s="1"/>
  <c r="D146" i="13"/>
  <c r="F128" i="13"/>
  <c r="F137" i="13" s="1"/>
  <c r="F120" i="13"/>
  <c r="F131" i="13"/>
  <c r="F140" i="13" s="1"/>
  <c r="F121" i="13"/>
  <c r="G141" i="13"/>
  <c r="G120" i="13"/>
  <c r="G129" i="13"/>
  <c r="D138" i="13"/>
  <c r="G138" i="13" s="1"/>
  <c r="E119" i="13"/>
  <c r="F130" i="13"/>
  <c r="F139" i="13" s="1"/>
  <c r="G139" i="13" s="1"/>
  <c r="F119" i="13"/>
  <c r="C131" i="13"/>
  <c r="E121" i="13"/>
  <c r="G121" i="13" s="1"/>
  <c r="D140" i="13"/>
  <c r="C137" i="13"/>
  <c r="G96" i="13"/>
  <c r="G97" i="13" s="1"/>
  <c r="E67" i="13"/>
  <c r="E68" i="13"/>
  <c r="C68" i="13"/>
  <c r="C67" i="13"/>
  <c r="D68" i="13"/>
  <c r="D67" i="13"/>
  <c r="E48" i="13"/>
  <c r="D48" i="13"/>
  <c r="E35" i="13"/>
  <c r="D35" i="13"/>
  <c r="F90" i="13"/>
  <c r="F89" i="13"/>
  <c r="F82" i="13"/>
  <c r="F81" i="13"/>
  <c r="E65" i="13"/>
  <c r="E66" i="13"/>
  <c r="D63" i="13"/>
  <c r="E63" i="13"/>
  <c r="E62" i="13"/>
  <c r="D62" i="13"/>
  <c r="C61" i="13"/>
  <c r="C60" i="13"/>
  <c r="E58" i="13"/>
  <c r="E59" i="13"/>
  <c r="E47" i="13"/>
  <c r="D47" i="13"/>
  <c r="F45" i="13"/>
  <c r="F46" i="13"/>
  <c r="F29" i="13"/>
  <c r="F10" i="13" s="1"/>
  <c r="F31" i="13"/>
  <c r="F30" i="13"/>
  <c r="E31" i="13"/>
  <c r="E30" i="13"/>
  <c r="E57" i="13"/>
  <c r="E56" i="13"/>
  <c r="G130" i="13" l="1"/>
  <c r="G35" i="13"/>
  <c r="G48" i="13"/>
  <c r="G131" i="13"/>
  <c r="C140" i="13"/>
  <c r="G140" i="13" s="1"/>
  <c r="G106" i="13"/>
  <c r="G107" i="13" s="1"/>
  <c r="D88" i="13"/>
  <c r="F68" i="13"/>
  <c r="G68" i="13" s="1"/>
  <c r="C63" i="13"/>
  <c r="F63" i="13" s="1"/>
  <c r="G63" i="13" s="1"/>
  <c r="D89" i="13"/>
  <c r="G89" i="13" s="1"/>
  <c r="D56" i="13"/>
  <c r="D90" i="13"/>
  <c r="G90" i="13" s="1"/>
  <c r="D61" i="13"/>
  <c r="F61" i="13" s="1"/>
  <c r="G61" i="13" s="1"/>
  <c r="E74" i="13"/>
  <c r="F67" i="13"/>
  <c r="G67" i="13" s="1"/>
  <c r="E88" i="13"/>
  <c r="G88" i="13" s="1"/>
  <c r="D64" i="13"/>
  <c r="F64" i="13" s="1"/>
  <c r="G64" i="13" s="1"/>
  <c r="J97" i="13"/>
  <c r="J98" i="13" s="1"/>
  <c r="D57" i="13"/>
  <c r="D66" i="13"/>
  <c r="D59" i="13"/>
  <c r="D65" i="13"/>
  <c r="D58" i="13"/>
  <c r="D60" i="13"/>
  <c r="F60" i="13" s="1"/>
  <c r="G60" i="13" s="1"/>
  <c r="C62" i="13"/>
  <c r="F62" i="13" s="1"/>
  <c r="G62" i="13" s="1"/>
  <c r="D74" i="13"/>
  <c r="D82" i="13"/>
  <c r="G82" i="13" s="1"/>
  <c r="D81" i="13"/>
  <c r="G81" i="13" s="1"/>
  <c r="C65" i="13"/>
  <c r="C66" i="13"/>
  <c r="C57" i="13"/>
  <c r="C58" i="13"/>
  <c r="C59" i="13"/>
  <c r="C56" i="13"/>
  <c r="E10" i="13"/>
  <c r="E21" i="13"/>
  <c r="D15" i="13"/>
  <c r="D10" i="13"/>
  <c r="D45" i="13"/>
  <c r="G45" i="13" s="1"/>
  <c r="D46" i="13"/>
  <c r="G46" i="13" s="1"/>
  <c r="G47" i="13"/>
  <c r="E29" i="13"/>
  <c r="E15" i="13"/>
  <c r="D21" i="13"/>
  <c r="D29" i="13"/>
  <c r="F58" i="13" l="1"/>
  <c r="G58" i="13" s="1"/>
  <c r="G74" i="13"/>
  <c r="G75" i="13" s="1"/>
  <c r="J75" i="13" s="1"/>
  <c r="G83" i="13"/>
  <c r="J85" i="13" s="1"/>
  <c r="J109" i="13"/>
  <c r="J108" i="13"/>
  <c r="G112" i="13"/>
  <c r="G113" i="13" s="1"/>
  <c r="J107" i="13"/>
  <c r="G91" i="13"/>
  <c r="J93" i="13" s="1"/>
  <c r="G49" i="13"/>
  <c r="J49" i="13" s="1"/>
  <c r="F66" i="13"/>
  <c r="G66" i="13" s="1"/>
  <c r="F59" i="13"/>
  <c r="G59" i="13" s="1"/>
  <c r="F65" i="13"/>
  <c r="G65" i="13" s="1"/>
  <c r="G10" i="13"/>
  <c r="G15" i="13"/>
  <c r="G16" i="13" s="1"/>
  <c r="J18" i="13" s="1"/>
  <c r="G21" i="13"/>
  <c r="G22" i="13" s="1"/>
  <c r="J22" i="13" s="1"/>
  <c r="F56" i="13"/>
  <c r="G56" i="13" s="1"/>
  <c r="D32" i="13"/>
  <c r="G32" i="13" s="1"/>
  <c r="D30" i="13"/>
  <c r="G30" i="13" s="1"/>
  <c r="D34" i="13"/>
  <c r="G29" i="13"/>
  <c r="D33" i="13"/>
  <c r="G33" i="13" s="1"/>
  <c r="D31" i="13"/>
  <c r="G31" i="13" s="1"/>
  <c r="E34" i="13"/>
  <c r="F57" i="13"/>
  <c r="G57" i="13" s="1"/>
  <c r="J76" i="13" l="1"/>
  <c r="J78" i="13"/>
  <c r="J77" i="13"/>
  <c r="J116" i="13"/>
  <c r="J113" i="13"/>
  <c r="J115" i="13"/>
  <c r="J114" i="13"/>
  <c r="G119" i="13"/>
  <c r="G122" i="13" s="1"/>
  <c r="G69" i="13"/>
  <c r="J69" i="13" s="1"/>
  <c r="G11" i="13"/>
  <c r="J12" i="13" s="1"/>
  <c r="J91" i="13"/>
  <c r="J92" i="13"/>
  <c r="J83" i="13"/>
  <c r="J84" i="13"/>
  <c r="J23" i="13"/>
  <c r="J25" i="13"/>
  <c r="J24" i="13"/>
  <c r="J26" i="13"/>
  <c r="J50" i="13"/>
  <c r="J51" i="13"/>
  <c r="J17" i="13"/>
  <c r="J52" i="13"/>
  <c r="J53" i="13"/>
  <c r="J16" i="13"/>
  <c r="G34" i="13"/>
  <c r="G36" i="13" s="1"/>
  <c r="J36" i="13" s="1"/>
  <c r="J11" i="13" l="1"/>
  <c r="J125" i="13"/>
  <c r="J123" i="13"/>
  <c r="J124" i="13"/>
  <c r="J122" i="13"/>
  <c r="D137" i="13"/>
  <c r="G137" i="13" s="1"/>
  <c r="G142" i="13" s="1"/>
  <c r="G128" i="13"/>
  <c r="G132" i="13" s="1"/>
  <c r="J71" i="13"/>
  <c r="J70" i="13"/>
  <c r="J39" i="13"/>
  <c r="J42" i="13"/>
  <c r="J38" i="13"/>
  <c r="J40" i="13"/>
  <c r="J37" i="13"/>
  <c r="J41" i="13"/>
  <c r="J134" i="13" l="1"/>
  <c r="J133" i="13"/>
  <c r="J132" i="13"/>
  <c r="J143" i="13"/>
  <c r="J142" i="13"/>
  <c r="J168" i="13" l="1"/>
  <c r="C170" i="13" s="1"/>
  <c r="C173" i="13" s="1"/>
  <c r="E172" i="13" l="1"/>
  <c r="E173" i="13" s="1"/>
</calcChain>
</file>

<file path=xl/sharedStrings.xml><?xml version="1.0" encoding="utf-8"?>
<sst xmlns="http://schemas.openxmlformats.org/spreadsheetml/2006/main" count="201" uniqueCount="120">
  <si>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</si>
  <si>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</si>
  <si>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</si>
  <si>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</si>
  <si>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</si>
  <si>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</si>
  <si>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</si>
  <si>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</si>
  <si>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</si>
  <si>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</si>
  <si>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</si>
  <si>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</si>
  <si>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</si>
  <si>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</si>
  <si>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</si>
  <si>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</si>
  <si>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</si>
  <si>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</si>
  <si>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</si>
  <si>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</si>
  <si>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</si>
  <si>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</si>
  <si>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</si>
  <si>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</si>
  <si>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</si>
  <si>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</si>
  <si>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</si>
  <si>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</si>
  <si>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</si>
  <si>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</si>
  <si>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</si>
  <si>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</si>
  <si>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</si>
  <si>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</si>
  <si>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</si>
  <si>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</si>
  <si>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</si>
  <si>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</si>
  <si>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</si>
  <si>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</si>
  <si>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-for pipe laying from source to tank</t>
  </si>
  <si>
    <t>A</t>
  </si>
  <si>
    <t>Pipe works</t>
  </si>
  <si>
    <t>B</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</si>
  <si>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</si>
  <si>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</si>
  <si>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</si>
  <si>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</si>
  <si>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</si>
  <si>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</si>
  <si>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</si>
  <si>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</si>
  <si>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</si>
  <si>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</si>
  <si>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</si>
  <si>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</si>
  <si>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</si>
  <si>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</si>
  <si>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</si>
  <si>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</si>
  <si>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</si>
  <si>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-13% VAT</t>
  </si>
  <si>
    <t>-13% VAT for block stone</t>
  </si>
  <si>
    <t>thickness</t>
  </si>
  <si>
    <t>Date:2082</t>
  </si>
  <si>
    <t>-for water tank</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</si>
  <si>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</si>
  <si>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husf] vf8ndf 9'+uf eg]{ / n]en ug]{ sfddf</t>
  </si>
  <si>
    <t>-13% VAT for excavator</t>
  </si>
  <si>
    <t>-13% VAT for bond stone</t>
  </si>
  <si>
    <t>hu leQf kvf{ndf l;d]G6 s+lqm6 ug]{ sfd-lk=;L=;L= +!M#M^_</t>
  </si>
  <si>
    <t>-13% VAT for water</t>
  </si>
  <si>
    <t>cf/=;L=;L= nflu kmnfd] 808L sf6\g], df]8\g] #) dL6/ ;Dd</t>
  </si>
  <si>
    <t>-13% VAT for binding wire</t>
  </si>
  <si>
    <t>-13% VAT for TMT rod</t>
  </si>
  <si>
    <t>Unit Weight (Kg/m)</t>
  </si>
  <si>
    <t>Total Weight (Kg)</t>
  </si>
  <si>
    <t>MT</t>
  </si>
  <si>
    <t>-at shorter side of water tank</t>
  </si>
  <si>
    <t>-at longer side of water tank</t>
  </si>
  <si>
    <t>-for water tank floor</t>
  </si>
  <si>
    <t>-for shear wall shorter side</t>
  </si>
  <si>
    <t>-for shear wall longer side</t>
  </si>
  <si>
    <t>freeboard</t>
  </si>
  <si>
    <t>length offset for excavation</t>
  </si>
  <si>
    <t>d]lzgsf] k|of]u u/L ;'k/ :6«Sr/df l;d]G6 s+lqm6 ug]{ sfd -!M!=%M#_</t>
  </si>
  <si>
    <t>-13% VAT for diesel</t>
  </si>
  <si>
    <t>-13% VAT for petrol</t>
  </si>
  <si>
    <t>-for slab cover</t>
  </si>
  <si>
    <t>kmnfd]sf] kfOk / KnfOaf]8{af6 kmdf{ agfpg] sfd</t>
  </si>
  <si>
    <t>-13% VAT for plyboard</t>
  </si>
  <si>
    <t>-13% VAT for wood</t>
  </si>
  <si>
    <t>-13% VAT for iron props</t>
  </si>
  <si>
    <t>-13% VAT for nails</t>
  </si>
  <si>
    <t>-for outer face of shear wall</t>
  </si>
  <si>
    <t>-for binding vertical bars</t>
  </si>
  <si>
    <t>-for fillet portion</t>
  </si>
  <si>
    <t>-for binding fillet</t>
  </si>
  <si>
    <t>l;d]G6 s+qmL6 ˆnf]l/Ë -!M@M$_ -#* dL=dL=_</t>
  </si>
  <si>
    <t>-for flooring</t>
  </si>
  <si>
    <t>!@=% dL=dL= l;d]G6 afn'jf -!M$_ Knfi6/</t>
  </si>
  <si>
    <t>-for shear wall inner side shorter wall</t>
  </si>
  <si>
    <t>-for shear wall inner side longer wall</t>
  </si>
  <si>
    <t># dL=dL= df]6fO{ d;Lgf] l;d]G6 3f]6\g] sfd</t>
  </si>
  <si>
    <t>-deduction for manhole cover</t>
  </si>
  <si>
    <t>manhole length</t>
  </si>
  <si>
    <t>manhole breadth</t>
  </si>
  <si>
    <t>Square frame medium duty CI manhole cover including frame</t>
  </si>
  <si>
    <t>-24"*24" (24 kg)</t>
  </si>
  <si>
    <t>Water tank size</t>
  </si>
  <si>
    <t>For tap works</t>
  </si>
  <si>
    <t>Flat brick  soling</t>
  </si>
  <si>
    <t>-13% VAT for brick</t>
  </si>
  <si>
    <t>Chimney made Brick work in 1:6 cement mortar</t>
  </si>
  <si>
    <t>Width of stand tap</t>
  </si>
  <si>
    <t>-for 32mm pipe laying from source to tank</t>
  </si>
  <si>
    <t>Laying and joining of 32 mmØ HDPE pipe with butt-weld joints</t>
  </si>
  <si>
    <t>g/d k|sf/sf] Sn] / l;N6L df6f]df ;j} lsl;dsf] vGg] sfd</t>
  </si>
  <si>
    <r>
      <t>Project:-</t>
    </r>
    <r>
      <rPr>
        <sz val="12"/>
        <rFont val="Preeti"/>
      </rPr>
      <t xml:space="preserve"> </t>
    </r>
    <r>
      <rPr>
        <sz val="14"/>
        <rFont val="Preeti"/>
      </rPr>
      <t>nK;Lvf]nf vfg]kfgL</t>
    </r>
  </si>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</sst>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0.0"/>
    <numFmt numFmtId="166" formatCode="0.0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2"/>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65">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Fill="1" applyAlignment="1">
      <alignment horizontal="center"/>
    </xf>
    <xf numFmtId="164" fontId="9" fillId="0" borderId="0" xfId="1" applyFont="1" applyFill="1"/>
    <xf numFmtId="0" fontId="9" fillId="0" borderId="2" xfId="0" applyFont="1" applyFill="1" applyBorder="1" applyAlignment="1">
      <alignment horizontal="center"/>
    </xf>
    <xf numFmtId="0" fontId="9" fillId="0" borderId="2" xfId="0" applyFont="1" applyFill="1" applyBorder="1" applyAlignment="1">
      <alignment horizontal="center" vertical="top" wrapText="1"/>
    </xf>
    <xf numFmtId="164" fontId="9" fillId="0" borderId="2" xfId="1" applyFont="1" applyFill="1" applyBorder="1" applyAlignment="1">
      <alignment horizontal="center"/>
    </xf>
    <xf numFmtId="0" fontId="9" fillId="0" borderId="2" xfId="0" applyFont="1" applyFill="1" applyBorder="1" applyAlignment="1">
      <alignment horizontal="center" wrapText="1"/>
    </xf>
    <xf numFmtId="0" fontId="4" fillId="0" borderId="0" xfId="0" applyFont="1" applyFill="1"/>
    <xf numFmtId="0" fontId="4" fillId="0" borderId="0" xfId="0" applyFont="1" applyFill="1" applyAlignment="1">
      <alignment vertical="center"/>
    </xf>
    <xf numFmtId="2" fontId="4" fillId="0" borderId="0" xfId="0" applyNumberFormat="1" applyFont="1" applyFill="1"/>
    <xf numFmtId="1" fontId="3" fillId="0" borderId="2" xfId="0" applyNumberFormat="1" applyFont="1" applyFill="1" applyBorder="1" applyAlignment="1">
      <alignment vertical="center"/>
    </xf>
    <xf numFmtId="0" fontId="2" fillId="0" borderId="2" xfId="0" quotePrefix="1" applyFont="1" applyFill="1" applyBorder="1" applyAlignment="1">
      <alignment horizontal="right" wrapText="1"/>
    </xf>
    <xf numFmtId="165" fontId="2" fillId="0" borderId="2" xfId="0" applyNumberFormat="1" applyFont="1" applyFill="1" applyBorder="1" applyAlignment="1">
      <alignment vertical="center"/>
    </xf>
    <xf numFmtId="2" fontId="2" fillId="0" borderId="2" xfId="0" applyNumberFormat="1" applyFont="1" applyFill="1" applyBorder="1" applyAlignment="1">
      <alignment vertical="center"/>
    </xf>
    <xf numFmtId="2" fontId="3" fillId="0" borderId="2" xfId="0" applyNumberFormat="1" applyFont="1" applyFill="1" applyBorder="1" applyAlignment="1">
      <alignment vertical="center"/>
    </xf>
    <xf numFmtId="2" fontId="3" fillId="0" borderId="2" xfId="0" applyNumberFormat="1" applyFont="1" applyFill="1" applyBorder="1"/>
    <xf numFmtId="0" fontId="6" fillId="0" borderId="2" xfId="0" applyFont="1" applyFill="1" applyBorder="1" applyAlignment="1">
      <alignment vertical="center"/>
    </xf>
    <xf numFmtId="0" fontId="4" fillId="0" borderId="2" xfId="0" quotePrefix="1" applyFont="1" applyFill="1" applyBorder="1" applyAlignment="1">
      <alignment horizontal="right"/>
    </xf>
    <xf numFmtId="0" fontId="4" fillId="0" borderId="2" xfId="0" applyFont="1" applyFill="1" applyBorder="1"/>
    <xf numFmtId="2" fontId="4" fillId="0" borderId="2" xfId="0" applyNumberFormat="1" applyFont="1" applyFill="1" applyBorder="1"/>
    <xf numFmtId="0" fontId="14" fillId="0" borderId="2" xfId="0" applyFont="1" applyFill="1" applyBorder="1" applyAlignment="1">
      <alignment wrapText="1"/>
    </xf>
    <xf numFmtId="0" fontId="14" fillId="0" borderId="2" xfId="0" applyFont="1" applyFill="1" applyBorder="1" applyAlignment="1">
      <alignment vertical="center" wrapText="1"/>
    </xf>
    <xf numFmtId="0" fontId="9" fillId="0" borderId="2" xfId="0" applyFont="1" applyFill="1" applyBorder="1" applyAlignment="1">
      <alignment vertical="center"/>
    </xf>
    <xf numFmtId="164" fontId="9" fillId="0" borderId="2" xfId="1" applyFont="1" applyFill="1" applyBorder="1" applyAlignment="1">
      <alignment vertical="center"/>
    </xf>
    <xf numFmtId="0" fontId="9" fillId="0" borderId="2" xfId="0" applyFont="1" applyFill="1" applyBorder="1" applyAlignment="1">
      <alignment vertical="center" wrapText="1"/>
    </xf>
    <xf numFmtId="0" fontId="4" fillId="0" borderId="2" xfId="0" applyFont="1" applyFill="1" applyBorder="1" applyAlignment="1">
      <alignment wrapText="1"/>
    </xf>
    <xf numFmtId="0" fontId="4" fillId="0" borderId="2" xfId="0" applyFont="1" applyFill="1" applyBorder="1" applyAlignment="1">
      <alignment vertical="center"/>
    </xf>
    <xf numFmtId="1" fontId="2" fillId="0" borderId="2" xfId="0" applyNumberFormat="1" applyFont="1" applyFill="1" applyBorder="1" applyAlignment="1">
      <alignment vertical="center" wrapText="1"/>
    </xf>
    <xf numFmtId="1" fontId="2" fillId="0" borderId="2" xfId="0" applyNumberFormat="1" applyFont="1" applyFill="1" applyBorder="1" applyAlignment="1">
      <alignment horizontal="right" vertical="center" wrapText="1"/>
    </xf>
    <xf numFmtId="0" fontId="3" fillId="0" borderId="2" xfId="0" applyFont="1" applyFill="1" applyBorder="1"/>
    <xf numFmtId="0" fontId="3" fillId="0" borderId="2" xfId="0" applyFont="1" applyFill="1" applyBorder="1" applyAlignment="1">
      <alignment horizontal="right" wrapText="1"/>
    </xf>
    <xf numFmtId="165" fontId="2" fillId="0" borderId="2" xfId="0" applyNumberFormat="1" applyFont="1" applyFill="1" applyBorder="1"/>
    <xf numFmtId="2" fontId="2" fillId="0" borderId="2" xfId="0" applyNumberFormat="1" applyFont="1" applyFill="1" applyBorder="1"/>
    <xf numFmtId="0" fontId="2" fillId="0" borderId="2" xfId="0" applyFont="1" applyFill="1" applyBorder="1"/>
    <xf numFmtId="0" fontId="2" fillId="0" borderId="0" xfId="0" applyFont="1" applyFill="1" applyAlignment="1">
      <alignment vertical="center"/>
    </xf>
    <xf numFmtId="2" fontId="4" fillId="0" borderId="2" xfId="0" applyNumberFormat="1" applyFont="1" applyFill="1" applyBorder="1" applyAlignment="1">
      <alignment vertical="center"/>
    </xf>
    <xf numFmtId="2" fontId="2" fillId="0" borderId="0" xfId="0" applyNumberFormat="1" applyFont="1" applyFill="1" applyAlignment="1">
      <alignment vertical="center"/>
    </xf>
    <xf numFmtId="0" fontId="3" fillId="0" borderId="0" xfId="0" applyFont="1" applyFill="1" applyAlignment="1">
      <alignment horizontal="right" vertical="center"/>
    </xf>
    <xf numFmtId="164" fontId="3" fillId="0" borderId="0" xfId="1" applyFont="1" applyFill="1" applyBorder="1" applyAlignment="1">
      <alignment vertical="center"/>
    </xf>
    <xf numFmtId="0" fontId="3" fillId="0" borderId="0" xfId="0" applyFont="1" applyFill="1" applyAlignment="1">
      <alignment vertical="center"/>
    </xf>
    <xf numFmtId="0" fontId="4" fillId="0" borderId="2" xfId="0" applyFont="1" applyFill="1" applyBorder="1" applyAlignment="1">
      <alignment vertical="center" wrapText="1"/>
    </xf>
    <xf numFmtId="0" fontId="4" fillId="0" borderId="0" xfId="0" applyFont="1" applyFill="1" applyAlignment="1">
      <alignment vertical="center" wrapText="1"/>
    </xf>
    <xf numFmtId="2" fontId="4" fillId="0" borderId="2" xfId="0" applyNumberFormat="1" applyFont="1" applyFill="1" applyBorder="1" applyAlignment="1">
      <alignment vertical="center" wrapText="1"/>
    </xf>
    <xf numFmtId="166" fontId="4" fillId="0" borderId="2" xfId="0" applyNumberFormat="1" applyFont="1" applyFill="1" applyBorder="1"/>
    <xf numFmtId="0" fontId="4" fillId="0" borderId="2" xfId="0" quotePrefix="1" applyFont="1" applyFill="1" applyBorder="1" applyAlignment="1">
      <alignment wrapText="1"/>
    </xf>
    <xf numFmtId="0" fontId="2" fillId="0" borderId="2" xfId="0" quotePrefix="1" applyFont="1" applyFill="1" applyBorder="1" applyAlignment="1">
      <alignment horizontal="right" vertical="center" wrapText="1"/>
    </xf>
    <xf numFmtId="2" fontId="6" fillId="0" borderId="2" xfId="0" applyNumberFormat="1" applyFont="1" applyFill="1" applyBorder="1" applyAlignment="1">
      <alignment vertical="center"/>
    </xf>
    <xf numFmtId="0" fontId="2" fillId="0" borderId="2" xfId="0" quotePrefix="1" applyFont="1" applyFill="1" applyBorder="1" applyAlignment="1">
      <alignment vertical="center" wrapText="1"/>
    </xf>
    <xf numFmtId="1" fontId="2" fillId="0" borderId="2" xfId="0" quotePrefix="1" applyNumberFormat="1" applyFont="1" applyFill="1" applyBorder="1" applyAlignment="1">
      <alignment vertical="center" wrapText="1"/>
    </xf>
    <xf numFmtId="0" fontId="4" fillId="0" borderId="2" xfId="0" quotePrefix="1" applyFont="1" applyFill="1" applyBorder="1" applyAlignment="1">
      <alignment horizontal="right" vertical="center" wrapText="1"/>
    </xf>
    <xf numFmtId="0" fontId="8" fillId="0" borderId="1" xfId="0" applyFont="1" applyFill="1" applyBorder="1"/>
    <xf numFmtId="0" fontId="8" fillId="0" borderId="1" xfId="0" applyFont="1" applyFill="1" applyBorder="1" applyAlignment="1">
      <alignment horizontal="right"/>
    </xf>
    <xf numFmtId="0" fontId="3" fillId="0" borderId="0" xfId="0" applyFont="1" applyFill="1" applyAlignment="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xf>
    <xf numFmtId="0" fontId="8" fillId="0" borderId="0" xfId="0" applyFont="1" applyFill="1" applyAlignment="1">
      <alignment horizontal="left"/>
    </xf>
    <xf numFmtId="0" fontId="8" fillId="0" borderId="0" xfId="0" applyFont="1" applyFill="1" applyAlignment="1">
      <alignment horizontal="right"/>
    </xf>
    <xf numFmtId="2" fontId="4" fillId="0" borderId="3"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Fill="1" applyBorder="1" applyAlignment="1">
      <alignment horizontal="center" vertical="center"/>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75"/>
  <sheetViews>
    <sheetView tabSelected="1" topLeftCell="A4" zoomScaleNormal="100" workbookViewId="0">
      <selection activeCell="C172" sqref="C172:D172"/>
    </sheetView>
  </sheetViews>
  <sheetFormatPr defaultColWidth="9.109375" defaultRowHeight="14.4" x14ac:dyDescent="0.3"/>
  <cols>
    <col min="1" max="1" width="4.6640625" style="9" customWidth="1"/>
    <col min="2" max="2" width="30.88671875" style="9" customWidth="1"/>
    <col min="3" max="3" width="4.44140625" style="9" bestFit="1" customWidth="1"/>
    <col min="4" max="4" width="8.44140625" style="9" customWidth="1"/>
    <col min="5" max="5" width="8.5546875" style="9" customWidth="1"/>
    <col min="6" max="6" width="7.33203125" style="9" customWidth="1"/>
    <col min="7" max="7" width="9.109375" style="9"/>
    <col min="8" max="8" width="5" style="9" bestFit="1" customWidth="1"/>
    <col min="9" max="9" width="9.5546875" style="9" customWidth="1"/>
    <col min="10" max="10" width="10.6640625" style="9" bestFit="1" customWidth="1"/>
    <col min="11" max="12" width="9.109375" style="9"/>
    <col min="13" max="13" width="6.44140625" style="9" bestFit="1" customWidth="1"/>
    <col min="14" max="14" width="7.44140625" style="9" bestFit="1" customWidth="1"/>
    <col min="15" max="16" width="8.44140625" style="9" bestFit="1" customWidth="1"/>
    <col min="17" max="17" width="9.109375" style="9"/>
    <col min="18" max="18" width="16.5546875" style="9" customWidth="1"/>
    <col min="19" max="20" width="8.5546875" style="9" bestFit="1" customWidth="1"/>
    <col min="21" max="21" width="6.5546875" style="9" customWidth="1"/>
    <col min="22" max="22" width="7.44140625" style="9" bestFit="1" customWidth="1"/>
    <col min="23" max="23" width="8.44140625" style="9" bestFit="1" customWidth="1"/>
    <col min="24" max="25" width="7.6640625" style="9" bestFit="1" customWidth="1"/>
    <col min="26" max="16384" width="9.109375" style="9"/>
  </cols>
  <sheetData>
    <row r="1" spans="1:25" x14ac:dyDescent="0.3">
      <c r="A1" s="54" t="s">
        <v>0</v>
      </c>
      <c r="B1" s="54"/>
      <c r="C1" s="54"/>
      <c r="D1" s="54"/>
      <c r="E1" s="54"/>
      <c r="F1" s="54"/>
      <c r="G1" s="54"/>
      <c r="H1" s="54"/>
      <c r="I1" s="54"/>
      <c r="J1" s="54"/>
      <c r="K1" s="54"/>
    </row>
    <row r="2" spans="1:25" ht="22.8" x14ac:dyDescent="0.3">
      <c r="A2" s="55" t="s">
        <v>1</v>
      </c>
      <c r="B2" s="55"/>
      <c r="C2" s="55"/>
      <c r="D2" s="55"/>
      <c r="E2" s="55"/>
      <c r="F2" s="55"/>
      <c r="G2" s="55"/>
      <c r="H2" s="55"/>
      <c r="I2" s="55"/>
      <c r="J2" s="55"/>
      <c r="K2" s="55"/>
    </row>
    <row r="3" spans="1:25" x14ac:dyDescent="0.3">
      <c r="A3" s="56" t="s">
        <v>2</v>
      </c>
      <c r="B3" s="56"/>
      <c r="C3" s="56"/>
      <c r="D3" s="56"/>
      <c r="E3" s="56"/>
      <c r="F3" s="56"/>
      <c r="G3" s="56"/>
      <c r="H3" s="56"/>
      <c r="I3" s="56"/>
      <c r="J3" s="56"/>
      <c r="K3" s="56"/>
    </row>
    <row r="4" spans="1:25" x14ac:dyDescent="0.3">
      <c r="A4" s="56" t="s">
        <v>3</v>
      </c>
      <c r="B4" s="56"/>
      <c r="C4" s="56"/>
      <c r="D4" s="56"/>
      <c r="E4" s="56"/>
      <c r="F4" s="56"/>
      <c r="G4" s="56"/>
      <c r="H4" s="56"/>
      <c r="I4" s="56"/>
      <c r="J4" s="56"/>
      <c r="K4" s="56"/>
    </row>
    <row r="5" spans="1:25" ht="17.399999999999999" x14ac:dyDescent="0.3">
      <c r="A5" s="57" t="s">
        <v>4</v>
      </c>
      <c r="B5" s="57"/>
      <c r="C5" s="57"/>
      <c r="D5" s="57"/>
      <c r="E5" s="57"/>
      <c r="F5" s="57"/>
      <c r="G5" s="57"/>
      <c r="H5" s="57"/>
      <c r="I5" s="57"/>
      <c r="J5" s="57"/>
      <c r="K5" s="57"/>
    </row>
    <row r="6" spans="1:25" ht="17.399999999999999" x14ac:dyDescent="0.3">
      <c r="A6" s="58" t="s">
        <v>118</v>
      </c>
      <c r="B6" s="58"/>
      <c r="C6" s="58"/>
      <c r="D6" s="58"/>
      <c r="E6" s="58"/>
      <c r="F6" s="58"/>
      <c r="G6" s="3"/>
      <c r="H6" s="59" t="s">
        <v>25</v>
      </c>
      <c r="I6" s="59"/>
      <c r="J6" s="59"/>
      <c r="K6" s="59"/>
    </row>
    <row r="7" spans="1:25" ht="15.6" x14ac:dyDescent="0.3">
      <c r="A7" s="52" t="s">
        <v>34</v>
      </c>
      <c r="B7" s="52"/>
      <c r="C7" s="52"/>
      <c r="D7" s="52"/>
      <c r="E7" s="52"/>
      <c r="F7" s="52"/>
      <c r="G7" s="4"/>
      <c r="H7" s="53" t="s">
        <v>64</v>
      </c>
      <c r="I7" s="53"/>
      <c r="J7" s="53"/>
      <c r="K7" s="53"/>
    </row>
    <row r="8" spans="1:25" ht="15.6" x14ac:dyDescent="0.3">
      <c r="A8" s="5" t="s">
        <v>5</v>
      </c>
      <c r="B8" s="6" t="s">
        <v>6</v>
      </c>
      <c r="C8" s="5" t="s">
        <v>7</v>
      </c>
      <c r="D8" s="7" t="s">
        <v>8</v>
      </c>
      <c r="E8" s="7" t="s">
        <v>9</v>
      </c>
      <c r="F8" s="7" t="s">
        <v>10</v>
      </c>
      <c r="G8" s="7" t="s">
        <v>11</v>
      </c>
      <c r="H8" s="5" t="s">
        <v>12</v>
      </c>
      <c r="I8" s="7" t="s">
        <v>13</v>
      </c>
      <c r="J8" s="7" t="s">
        <v>14</v>
      </c>
      <c r="K8" s="8" t="s">
        <v>15</v>
      </c>
      <c r="M8" s="10" t="s">
        <v>109</v>
      </c>
      <c r="U8" s="10" t="s">
        <v>53</v>
      </c>
    </row>
    <row r="9" spans="1:25" s="10" customFormat="1" ht="144" x14ac:dyDescent="0.3">
      <c r="A9" s="18">
        <v>1</v>
      </c>
      <c r="B9" s="42" t="s">
        <v>66</v>
      </c>
      <c r="C9" s="28"/>
      <c r="D9" s="28"/>
      <c r="E9" s="28"/>
      <c r="F9" s="28"/>
      <c r="G9" s="28"/>
      <c r="H9" s="28"/>
      <c r="I9" s="28"/>
      <c r="J9" s="28"/>
      <c r="K9" s="28"/>
      <c r="M9" s="10" t="s">
        <v>8</v>
      </c>
      <c r="N9" s="10" t="s">
        <v>9</v>
      </c>
      <c r="O9" s="10" t="s">
        <v>10</v>
      </c>
      <c r="P9" s="10" t="s">
        <v>63</v>
      </c>
      <c r="Q9" s="10" t="s">
        <v>83</v>
      </c>
      <c r="R9" s="43" t="s">
        <v>84</v>
      </c>
      <c r="S9" s="43" t="s">
        <v>105</v>
      </c>
      <c r="T9" s="43" t="s">
        <v>106</v>
      </c>
      <c r="U9" s="9" t="s">
        <v>54</v>
      </c>
      <c r="V9" s="9" t="s">
        <v>9</v>
      </c>
      <c r="W9" s="9" t="s">
        <v>63</v>
      </c>
      <c r="X9" s="9" t="s">
        <v>55</v>
      </c>
      <c r="Y9" s="9" t="s">
        <v>56</v>
      </c>
    </row>
    <row r="10" spans="1:25" x14ac:dyDescent="0.3">
      <c r="A10" s="20"/>
      <c r="B10" s="19" t="s">
        <v>65</v>
      </c>
      <c r="C10" s="20">
        <v>1</v>
      </c>
      <c r="D10" s="21">
        <f>M10+R10</f>
        <v>4.3</v>
      </c>
      <c r="E10" s="21">
        <f>N10+R10</f>
        <v>4.3</v>
      </c>
      <c r="F10" s="21">
        <f>O10+F15+F21+Q10+F29</f>
        <v>2.1989256324291371</v>
      </c>
      <c r="G10" s="21">
        <f>PRODUCT(C10:F10)</f>
        <v>40.658134943614741</v>
      </c>
      <c r="H10" s="20"/>
      <c r="I10" s="20"/>
      <c r="J10" s="20"/>
      <c r="K10" s="20"/>
      <c r="M10" s="9">
        <f>3.5+P10+P10</f>
        <v>3.8</v>
      </c>
      <c r="N10" s="9">
        <f>3.5+P10+P10</f>
        <v>3.8</v>
      </c>
      <c r="O10" s="11">
        <f>5/3.281</f>
        <v>1.5239256324291375</v>
      </c>
      <c r="P10" s="9">
        <v>0.15</v>
      </c>
      <c r="Q10" s="9">
        <v>0.3</v>
      </c>
      <c r="R10" s="9">
        <v>0.5</v>
      </c>
      <c r="S10" s="9">
        <v>0.6</v>
      </c>
      <c r="T10" s="9">
        <v>0.6</v>
      </c>
      <c r="U10" s="11">
        <f>6.33/3.281</f>
        <v>1.929289850655288</v>
      </c>
      <c r="V10" s="11">
        <f>6.33/3.281</f>
        <v>1.929289850655288</v>
      </c>
      <c r="W10" s="11">
        <f>1.17/3.281</f>
        <v>0.35659859798841814</v>
      </c>
      <c r="X10" s="11">
        <f>TRUNC(2/3.281,1)</f>
        <v>0.6</v>
      </c>
      <c r="Y10" s="11">
        <f>TRUNC(4/3.281,1)</f>
        <v>1.2</v>
      </c>
    </row>
    <row r="11" spans="1:25" ht="15" customHeight="1" x14ac:dyDescent="0.3">
      <c r="A11" s="12"/>
      <c r="B11" s="13" t="s">
        <v>16</v>
      </c>
      <c r="C11" s="14"/>
      <c r="D11" s="1"/>
      <c r="E11" s="15"/>
      <c r="F11" s="15"/>
      <c r="G11" s="2">
        <f>SUM(G10:G10)</f>
        <v>40.658134943614741</v>
      </c>
      <c r="H11" s="16" t="s">
        <v>29</v>
      </c>
      <c r="I11" s="2">
        <v>62.95</v>
      </c>
      <c r="J11" s="17">
        <f>G11*I11</f>
        <v>2559.429594700548</v>
      </c>
      <c r="K11" s="15"/>
    </row>
    <row r="12" spans="1:25" x14ac:dyDescent="0.3">
      <c r="A12" s="18"/>
      <c r="B12" s="19" t="s">
        <v>68</v>
      </c>
      <c r="C12" s="20"/>
      <c r="D12" s="21"/>
      <c r="E12" s="21"/>
      <c r="F12" s="21"/>
      <c r="G12" s="21"/>
      <c r="H12" s="20"/>
      <c r="I12" s="20"/>
      <c r="J12" s="17">
        <f>0.13*G11*18612/360</f>
        <v>273.26332495603469</v>
      </c>
      <c r="K12" s="20"/>
    </row>
    <row r="13" spans="1:25" x14ac:dyDescent="0.3">
      <c r="A13" s="20"/>
      <c r="B13" s="20"/>
      <c r="C13" s="20"/>
      <c r="D13" s="21"/>
      <c r="E13" s="21"/>
      <c r="F13" s="21"/>
      <c r="G13" s="21"/>
      <c r="H13" s="20"/>
      <c r="I13" s="20"/>
      <c r="J13" s="20"/>
      <c r="K13" s="20"/>
    </row>
    <row r="14" spans="1:25" s="10" customFormat="1" ht="30" x14ac:dyDescent="0.25">
      <c r="A14" s="18">
        <v>2</v>
      </c>
      <c r="B14" s="22" t="s">
        <v>67</v>
      </c>
      <c r="C14" s="28"/>
      <c r="D14" s="37"/>
      <c r="E14" s="37"/>
      <c r="F14" s="37"/>
      <c r="G14" s="37"/>
      <c r="H14" s="28"/>
      <c r="I14" s="28"/>
      <c r="J14" s="28"/>
      <c r="K14" s="28"/>
    </row>
    <row r="15" spans="1:25" x14ac:dyDescent="0.3">
      <c r="A15" s="20"/>
      <c r="B15" s="19" t="s">
        <v>65</v>
      </c>
      <c r="C15" s="20">
        <v>1</v>
      </c>
      <c r="D15" s="21">
        <f>M10</f>
        <v>3.8</v>
      </c>
      <c r="E15" s="21">
        <f>N10</f>
        <v>3.8</v>
      </c>
      <c r="F15" s="21">
        <v>0.15</v>
      </c>
      <c r="G15" s="21">
        <f>PRODUCT(C15:F15)</f>
        <v>2.1659999999999999</v>
      </c>
      <c r="H15" s="20"/>
      <c r="I15" s="20"/>
      <c r="J15" s="20"/>
      <c r="K15" s="20"/>
    </row>
    <row r="16" spans="1:25" ht="15" customHeight="1" x14ac:dyDescent="0.3">
      <c r="A16" s="12"/>
      <c r="B16" s="13" t="s">
        <v>16</v>
      </c>
      <c r="C16" s="14"/>
      <c r="D16" s="1"/>
      <c r="E16" s="15"/>
      <c r="F16" s="15"/>
      <c r="G16" s="2">
        <f>SUM(G15)</f>
        <v>2.1659999999999999</v>
      </c>
      <c r="H16" s="16" t="s">
        <v>29</v>
      </c>
      <c r="I16" s="2">
        <v>4495.6400000000003</v>
      </c>
      <c r="J16" s="17">
        <f>G16*I16</f>
        <v>9737.5562399999999</v>
      </c>
      <c r="K16" s="15"/>
    </row>
    <row r="17" spans="1:11" x14ac:dyDescent="0.3">
      <c r="A17" s="18"/>
      <c r="B17" s="19" t="s">
        <v>62</v>
      </c>
      <c r="C17" s="20"/>
      <c r="D17" s="21"/>
      <c r="E17" s="21"/>
      <c r="F17" s="21"/>
      <c r="G17" s="21"/>
      <c r="H17" s="20"/>
      <c r="I17" s="20"/>
      <c r="J17" s="17">
        <f>0.13*G16*2577.63</f>
        <v>725.80905540000003</v>
      </c>
      <c r="K17" s="20"/>
    </row>
    <row r="18" spans="1:11" x14ac:dyDescent="0.3">
      <c r="A18" s="20"/>
      <c r="B18" s="19" t="s">
        <v>69</v>
      </c>
      <c r="C18" s="20"/>
      <c r="D18" s="21"/>
      <c r="E18" s="21"/>
      <c r="F18" s="21"/>
      <c r="G18" s="21"/>
      <c r="H18" s="20"/>
      <c r="I18" s="20"/>
      <c r="J18" s="17">
        <f>0.13*G16*515.52</f>
        <v>145.1601216</v>
      </c>
      <c r="K18" s="20"/>
    </row>
    <row r="19" spans="1:11" x14ac:dyDescent="0.3">
      <c r="A19" s="20"/>
      <c r="B19" s="20"/>
      <c r="C19" s="20"/>
      <c r="D19" s="21"/>
      <c r="E19" s="21"/>
      <c r="F19" s="21"/>
      <c r="G19" s="21"/>
      <c r="H19" s="20"/>
      <c r="I19" s="20"/>
      <c r="J19" s="20"/>
      <c r="K19" s="20"/>
    </row>
    <row r="20" spans="1:11" s="10" customFormat="1" ht="30" x14ac:dyDescent="0.25">
      <c r="A20" s="18">
        <v>3</v>
      </c>
      <c r="B20" s="22" t="s">
        <v>70</v>
      </c>
      <c r="C20" s="28"/>
      <c r="D20" s="37"/>
      <c r="E20" s="37"/>
      <c r="F20" s="37"/>
      <c r="G20" s="37"/>
      <c r="H20" s="28"/>
      <c r="I20" s="28"/>
      <c r="J20" s="28"/>
      <c r="K20" s="28"/>
    </row>
    <row r="21" spans="1:11" x14ac:dyDescent="0.3">
      <c r="A21" s="20"/>
      <c r="B21" s="19" t="s">
        <v>65</v>
      </c>
      <c r="C21" s="20">
        <v>1</v>
      </c>
      <c r="D21" s="21">
        <f>M10</f>
        <v>3.8</v>
      </c>
      <c r="E21" s="21">
        <f>N10</f>
        <v>3.8</v>
      </c>
      <c r="F21" s="21">
        <v>7.4999999999999997E-2</v>
      </c>
      <c r="G21" s="21">
        <f>PRODUCT(C21:F21)</f>
        <v>1.083</v>
      </c>
      <c r="H21" s="20"/>
      <c r="I21" s="20"/>
      <c r="J21" s="20"/>
      <c r="K21" s="20"/>
    </row>
    <row r="22" spans="1:11" ht="15" customHeight="1" x14ac:dyDescent="0.3">
      <c r="A22" s="12"/>
      <c r="B22" s="13" t="s">
        <v>16</v>
      </c>
      <c r="C22" s="14"/>
      <c r="D22" s="1"/>
      <c r="E22" s="15"/>
      <c r="F22" s="15"/>
      <c r="G22" s="2">
        <f>SUM(G21)</f>
        <v>1.083</v>
      </c>
      <c r="H22" s="16" t="s">
        <v>29</v>
      </c>
      <c r="I22" s="2">
        <v>4495.6400000000003</v>
      </c>
      <c r="J22" s="17">
        <f>G22*I22</f>
        <v>4868.7781199999999</v>
      </c>
      <c r="K22" s="15"/>
    </row>
    <row r="23" spans="1:11" x14ac:dyDescent="0.3">
      <c r="A23" s="18"/>
      <c r="B23" s="19" t="s">
        <v>47</v>
      </c>
      <c r="C23" s="20"/>
      <c r="D23" s="21"/>
      <c r="E23" s="21"/>
      <c r="F23" s="21"/>
      <c r="G23" s="21"/>
      <c r="H23" s="20"/>
      <c r="I23" s="20"/>
      <c r="J23" s="17">
        <f>0.13*G22*2866.82</f>
        <v>403.61958780000003</v>
      </c>
      <c r="K23" s="20"/>
    </row>
    <row r="24" spans="1:11" x14ac:dyDescent="0.3">
      <c r="A24" s="18"/>
      <c r="B24" s="19" t="s">
        <v>48</v>
      </c>
      <c r="C24" s="20"/>
      <c r="D24" s="21"/>
      <c r="E24" s="21"/>
      <c r="F24" s="21"/>
      <c r="G24" s="21"/>
      <c r="H24" s="20"/>
      <c r="I24" s="20"/>
      <c r="J24" s="17">
        <f>0.13*G22*(2065.63+805.06)</f>
        <v>404.16444510000002</v>
      </c>
      <c r="K24" s="20"/>
    </row>
    <row r="25" spans="1:11" x14ac:dyDescent="0.3">
      <c r="A25" s="18"/>
      <c r="B25" s="19" t="s">
        <v>45</v>
      </c>
      <c r="C25" s="20"/>
      <c r="D25" s="21"/>
      <c r="E25" s="21"/>
      <c r="F25" s="21"/>
      <c r="G25" s="21"/>
      <c r="H25" s="20"/>
      <c r="I25" s="20"/>
      <c r="J25" s="17">
        <f>0.13*G22*1493.61</f>
        <v>210.28535189999999</v>
      </c>
      <c r="K25" s="20"/>
    </row>
    <row r="26" spans="1:11" x14ac:dyDescent="0.3">
      <c r="A26" s="20"/>
      <c r="B26" s="19" t="s">
        <v>71</v>
      </c>
      <c r="C26" s="20"/>
      <c r="D26" s="21"/>
      <c r="E26" s="21"/>
      <c r="F26" s="21"/>
      <c r="G26" s="21"/>
      <c r="H26" s="20"/>
      <c r="I26" s="20"/>
      <c r="J26" s="17">
        <f>0.13*G22*33.6</f>
        <v>4.7305440000000001</v>
      </c>
      <c r="K26" s="20"/>
    </row>
    <row r="27" spans="1:11" x14ac:dyDescent="0.3">
      <c r="A27" s="20"/>
      <c r="B27" s="20"/>
      <c r="C27" s="20"/>
      <c r="D27" s="21"/>
      <c r="E27" s="21"/>
      <c r="F27" s="21"/>
      <c r="G27" s="21"/>
      <c r="H27" s="20"/>
      <c r="I27" s="20"/>
      <c r="J27" s="20"/>
      <c r="K27" s="20"/>
    </row>
    <row r="28" spans="1:11" s="10" customFormat="1" ht="30" x14ac:dyDescent="0.25">
      <c r="A28" s="18">
        <v>4</v>
      </c>
      <c r="B28" s="22" t="s">
        <v>85</v>
      </c>
      <c r="C28" s="28"/>
      <c r="D28" s="37"/>
      <c r="E28" s="37"/>
      <c r="F28" s="37"/>
      <c r="G28" s="37"/>
      <c r="H28" s="28"/>
      <c r="I28" s="28"/>
      <c r="J28" s="28"/>
      <c r="K28" s="28"/>
    </row>
    <row r="29" spans="1:11" x14ac:dyDescent="0.3">
      <c r="A29" s="20"/>
      <c r="B29" s="19" t="s">
        <v>80</v>
      </c>
      <c r="C29" s="20">
        <v>1</v>
      </c>
      <c r="D29" s="21">
        <f>M10</f>
        <v>3.8</v>
      </c>
      <c r="E29" s="21">
        <f>N10</f>
        <v>3.8</v>
      </c>
      <c r="F29" s="21">
        <f>P10</f>
        <v>0.15</v>
      </c>
      <c r="G29" s="21">
        <f>PRODUCT(C29:F29)</f>
        <v>2.1659999999999999</v>
      </c>
      <c r="H29" s="20"/>
      <c r="I29" s="20"/>
      <c r="J29" s="20"/>
      <c r="K29" s="20"/>
    </row>
    <row r="30" spans="1:11" x14ac:dyDescent="0.3">
      <c r="A30" s="20"/>
      <c r="B30" s="19" t="s">
        <v>81</v>
      </c>
      <c r="C30" s="20">
        <v>2</v>
      </c>
      <c r="D30" s="21">
        <f>D29-P10-P10</f>
        <v>3.5</v>
      </c>
      <c r="E30" s="21">
        <f>P10</f>
        <v>0.15</v>
      </c>
      <c r="F30" s="21">
        <f>O10+Q10</f>
        <v>1.8239256324291375</v>
      </c>
      <c r="G30" s="21">
        <f>PRODUCT(C30:F30)</f>
        <v>1.9151219140505944</v>
      </c>
      <c r="H30" s="20"/>
      <c r="I30" s="20"/>
      <c r="J30" s="20"/>
      <c r="K30" s="20"/>
    </row>
    <row r="31" spans="1:11" x14ac:dyDescent="0.3">
      <c r="A31" s="20"/>
      <c r="B31" s="19" t="s">
        <v>82</v>
      </c>
      <c r="C31" s="20">
        <v>2</v>
      </c>
      <c r="D31" s="21">
        <f>E29</f>
        <v>3.8</v>
      </c>
      <c r="E31" s="21">
        <f>P10</f>
        <v>0.15</v>
      </c>
      <c r="F31" s="21">
        <f>O10+Q10</f>
        <v>1.8239256324291375</v>
      </c>
      <c r="G31" s="21">
        <f>PRODUCT(C31:F31)</f>
        <v>2.0792752209692167</v>
      </c>
      <c r="H31" s="20"/>
      <c r="I31" s="20"/>
      <c r="J31" s="20"/>
      <c r="K31" s="20"/>
    </row>
    <row r="32" spans="1:11" x14ac:dyDescent="0.3">
      <c r="A32" s="20"/>
      <c r="B32" s="19" t="s">
        <v>96</v>
      </c>
      <c r="C32" s="20">
        <v>0.5</v>
      </c>
      <c r="D32" s="21">
        <f>D29-E32</f>
        <v>3.5</v>
      </c>
      <c r="E32" s="21">
        <v>0.3</v>
      </c>
      <c r="F32" s="21">
        <v>0.3</v>
      </c>
      <c r="G32" s="21">
        <f>PRODUCT(C32:F32)</f>
        <v>0.1575</v>
      </c>
      <c r="H32" s="20"/>
      <c r="I32" s="20"/>
      <c r="J32" s="20"/>
      <c r="K32" s="20"/>
    </row>
    <row r="33" spans="1:11" x14ac:dyDescent="0.3">
      <c r="A33" s="20"/>
      <c r="B33" s="19"/>
      <c r="C33" s="20">
        <v>0.5</v>
      </c>
      <c r="D33" s="21">
        <f>E29-E33</f>
        <v>3.5</v>
      </c>
      <c r="E33" s="21">
        <v>0.3</v>
      </c>
      <c r="F33" s="21">
        <v>0.3</v>
      </c>
      <c r="G33" s="21">
        <f t="shared" ref="G33:G35" si="0">PRODUCT(C33:F33)</f>
        <v>0.1575</v>
      </c>
      <c r="H33" s="20"/>
      <c r="I33" s="20"/>
      <c r="J33" s="20"/>
      <c r="K33" s="20"/>
    </row>
    <row r="34" spans="1:11" x14ac:dyDescent="0.3">
      <c r="A34" s="20"/>
      <c r="B34" s="19" t="s">
        <v>88</v>
      </c>
      <c r="C34" s="20">
        <v>1</v>
      </c>
      <c r="D34" s="21">
        <f>D29</f>
        <v>3.8</v>
      </c>
      <c r="E34" s="21">
        <f>E29</f>
        <v>3.8</v>
      </c>
      <c r="F34" s="21">
        <v>0.125</v>
      </c>
      <c r="G34" s="21">
        <f t="shared" si="0"/>
        <v>1.8049999999999999</v>
      </c>
      <c r="H34" s="20"/>
      <c r="I34" s="20"/>
      <c r="J34" s="20"/>
      <c r="K34" s="20"/>
    </row>
    <row r="35" spans="1:11" x14ac:dyDescent="0.3">
      <c r="A35" s="20"/>
      <c r="B35" s="19" t="s">
        <v>104</v>
      </c>
      <c r="C35" s="20">
        <v>-1</v>
      </c>
      <c r="D35" s="21">
        <f>S10</f>
        <v>0.6</v>
      </c>
      <c r="E35" s="21">
        <f>T10</f>
        <v>0.6</v>
      </c>
      <c r="F35" s="21">
        <v>0.125</v>
      </c>
      <c r="G35" s="21">
        <f t="shared" si="0"/>
        <v>-4.4999999999999998E-2</v>
      </c>
      <c r="H35" s="20"/>
      <c r="I35" s="20"/>
      <c r="J35" s="20"/>
      <c r="K35" s="20"/>
    </row>
    <row r="36" spans="1:11" ht="15" customHeight="1" x14ac:dyDescent="0.3">
      <c r="A36" s="12"/>
      <c r="B36" s="13" t="s">
        <v>16</v>
      </c>
      <c r="C36" s="14"/>
      <c r="D36" s="1"/>
      <c r="E36" s="15"/>
      <c r="F36" s="15"/>
      <c r="G36" s="2">
        <f>SUM(G29:G35)</f>
        <v>8.2353971350198112</v>
      </c>
      <c r="H36" s="16" t="s">
        <v>29</v>
      </c>
      <c r="I36" s="2">
        <v>13957.29</v>
      </c>
      <c r="J36" s="17">
        <f>G36*I36</f>
        <v>114943.82607864066</v>
      </c>
      <c r="K36" s="15"/>
    </row>
    <row r="37" spans="1:11" x14ac:dyDescent="0.3">
      <c r="A37" s="18"/>
      <c r="B37" s="19" t="s">
        <v>47</v>
      </c>
      <c r="C37" s="20"/>
      <c r="D37" s="21"/>
      <c r="E37" s="21"/>
      <c r="F37" s="21"/>
      <c r="G37" s="21"/>
      <c r="H37" s="20"/>
      <c r="I37" s="20"/>
      <c r="J37" s="17">
        <f>0.13*G36*5212.4</f>
        <v>5580.4039234550446</v>
      </c>
      <c r="K37" s="20"/>
    </row>
    <row r="38" spans="1:11" x14ac:dyDescent="0.3">
      <c r="A38" s="18"/>
      <c r="B38" s="19" t="s">
        <v>48</v>
      </c>
      <c r="C38" s="20"/>
      <c r="D38" s="21"/>
      <c r="E38" s="21"/>
      <c r="F38" s="21"/>
      <c r="G38" s="21"/>
      <c r="H38" s="20"/>
      <c r="I38" s="20"/>
      <c r="J38" s="17">
        <f>0.13*G36*(1912.03+921.59)</f>
        <v>3033.6781838655293</v>
      </c>
      <c r="K38" s="20"/>
    </row>
    <row r="39" spans="1:11" x14ac:dyDescent="0.3">
      <c r="A39" s="18"/>
      <c r="B39" s="19" t="s">
        <v>45</v>
      </c>
      <c r="C39" s="20"/>
      <c r="D39" s="21"/>
      <c r="E39" s="21"/>
      <c r="F39" s="21"/>
      <c r="G39" s="21"/>
      <c r="H39" s="20"/>
      <c r="I39" s="20"/>
      <c r="J39" s="17">
        <f>0.13*G36*1350.6</f>
        <v>1445.9545581725085</v>
      </c>
      <c r="K39" s="20"/>
    </row>
    <row r="40" spans="1:11" x14ac:dyDescent="0.3">
      <c r="A40" s="20"/>
      <c r="B40" s="19" t="s">
        <v>71</v>
      </c>
      <c r="C40" s="20"/>
      <c r="D40" s="21"/>
      <c r="E40" s="21"/>
      <c r="F40" s="21"/>
      <c r="G40" s="21"/>
      <c r="H40" s="20"/>
      <c r="I40" s="20"/>
      <c r="J40" s="17">
        <f>0.13*G36*56</f>
        <v>59.953691142944237</v>
      </c>
      <c r="K40" s="20"/>
    </row>
    <row r="41" spans="1:11" x14ac:dyDescent="0.3">
      <c r="A41" s="18"/>
      <c r="B41" s="19" t="s">
        <v>86</v>
      </c>
      <c r="C41" s="20"/>
      <c r="D41" s="21"/>
      <c r="E41" s="21"/>
      <c r="F41" s="21"/>
      <c r="G41" s="21"/>
      <c r="H41" s="20"/>
      <c r="I41" s="20"/>
      <c r="J41" s="17">
        <f>0.13*G36*392.92</f>
        <v>420.66079149795803</v>
      </c>
      <c r="K41" s="20"/>
    </row>
    <row r="42" spans="1:11" x14ac:dyDescent="0.3">
      <c r="A42" s="20"/>
      <c r="B42" s="19" t="s">
        <v>87</v>
      </c>
      <c r="C42" s="20"/>
      <c r="D42" s="21"/>
      <c r="E42" s="21"/>
      <c r="F42" s="21"/>
      <c r="G42" s="21"/>
      <c r="H42" s="20"/>
      <c r="I42" s="20"/>
      <c r="J42" s="17">
        <f>0.13*G36*14.15</f>
        <v>15.149013029868945</v>
      </c>
      <c r="K42" s="20"/>
    </row>
    <row r="43" spans="1:11" x14ac:dyDescent="0.3">
      <c r="A43" s="20"/>
      <c r="B43" s="20"/>
      <c r="C43" s="20"/>
      <c r="D43" s="21"/>
      <c r="E43" s="21"/>
      <c r="F43" s="21"/>
      <c r="G43" s="21"/>
      <c r="H43" s="20"/>
      <c r="I43" s="20"/>
      <c r="J43" s="20"/>
      <c r="K43" s="20"/>
    </row>
    <row r="44" spans="1:11" s="10" customFormat="1" ht="30" x14ac:dyDescent="0.25">
      <c r="A44" s="18">
        <v>5</v>
      </c>
      <c r="B44" s="22" t="s">
        <v>89</v>
      </c>
      <c r="C44" s="28"/>
      <c r="D44" s="37"/>
      <c r="E44" s="37"/>
      <c r="F44" s="37"/>
      <c r="G44" s="37"/>
      <c r="H44" s="28"/>
      <c r="I44" s="28"/>
      <c r="J44" s="28"/>
      <c r="K44" s="28"/>
    </row>
    <row r="45" spans="1:11" x14ac:dyDescent="0.3">
      <c r="A45" s="20"/>
      <c r="B45" s="19" t="s">
        <v>94</v>
      </c>
      <c r="C45" s="20">
        <v>1</v>
      </c>
      <c r="D45" s="21">
        <f>M10*2+N10*2</f>
        <v>15.2</v>
      </c>
      <c r="E45" s="21"/>
      <c r="F45" s="21">
        <f>O10+Q10</f>
        <v>1.8239256324291375</v>
      </c>
      <c r="G45" s="21">
        <f>PRODUCT(C45:F45)</f>
        <v>27.72366961292289</v>
      </c>
      <c r="H45" s="20"/>
      <c r="I45" s="20"/>
      <c r="J45" s="20"/>
      <c r="K45" s="20"/>
    </row>
    <row r="46" spans="1:11" x14ac:dyDescent="0.3">
      <c r="A46" s="20"/>
      <c r="B46" s="19" t="s">
        <v>82</v>
      </c>
      <c r="C46" s="20">
        <v>1</v>
      </c>
      <c r="D46" s="21">
        <f>((M10-P10*2)*2)+((N10-P10*2)*2)</f>
        <v>14</v>
      </c>
      <c r="E46" s="21"/>
      <c r="F46" s="21">
        <f>O10+Q10-F32</f>
        <v>1.5239256324291375</v>
      </c>
      <c r="G46" s="21">
        <f>PRODUCT(C46:F46)</f>
        <v>21.334958854007926</v>
      </c>
      <c r="H46" s="20"/>
      <c r="I46" s="20"/>
      <c r="J46" s="20"/>
      <c r="K46" s="20"/>
    </row>
    <row r="47" spans="1:11" x14ac:dyDescent="0.3">
      <c r="A47" s="20"/>
      <c r="B47" s="19" t="s">
        <v>88</v>
      </c>
      <c r="C47" s="20">
        <v>1</v>
      </c>
      <c r="D47" s="21">
        <f>M10-P10-P10</f>
        <v>3.5</v>
      </c>
      <c r="E47" s="21">
        <f>N10-P10-P10</f>
        <v>3.5</v>
      </c>
      <c r="F47" s="21"/>
      <c r="G47" s="21">
        <f t="shared" ref="G47:G48" si="1">PRODUCT(C47:F47)</f>
        <v>12.25</v>
      </c>
      <c r="H47" s="20"/>
      <c r="I47" s="20"/>
      <c r="J47" s="20"/>
      <c r="K47" s="20"/>
    </row>
    <row r="48" spans="1:11" x14ac:dyDescent="0.3">
      <c r="A48" s="20"/>
      <c r="B48" s="19" t="s">
        <v>104</v>
      </c>
      <c r="C48" s="20">
        <v>-1</v>
      </c>
      <c r="D48" s="21">
        <f>S10</f>
        <v>0.6</v>
      </c>
      <c r="E48" s="21">
        <f>T10</f>
        <v>0.6</v>
      </c>
      <c r="F48" s="21"/>
      <c r="G48" s="21">
        <f t="shared" si="1"/>
        <v>-0.36</v>
      </c>
      <c r="H48" s="20"/>
      <c r="I48" s="20"/>
      <c r="J48" s="20"/>
      <c r="K48" s="20"/>
    </row>
    <row r="49" spans="1:11" ht="15" customHeight="1" x14ac:dyDescent="0.3">
      <c r="A49" s="12"/>
      <c r="B49" s="13" t="s">
        <v>16</v>
      </c>
      <c r="C49" s="14"/>
      <c r="D49" s="1"/>
      <c r="E49" s="15"/>
      <c r="F49" s="15"/>
      <c r="G49" s="2">
        <f>SUM(G45:G48)</f>
        <v>60.948628466930813</v>
      </c>
      <c r="H49" s="16" t="s">
        <v>49</v>
      </c>
      <c r="I49" s="2">
        <v>922.71</v>
      </c>
      <c r="J49" s="17">
        <f>G49*I49</f>
        <v>56237.908972721736</v>
      </c>
      <c r="K49" s="15"/>
    </row>
    <row r="50" spans="1:11" x14ac:dyDescent="0.3">
      <c r="A50" s="18"/>
      <c r="B50" s="19" t="s">
        <v>90</v>
      </c>
      <c r="C50" s="20"/>
      <c r="D50" s="21"/>
      <c r="E50" s="21"/>
      <c r="F50" s="21"/>
      <c r="G50" s="21"/>
      <c r="H50" s="20"/>
      <c r="I50" s="20"/>
      <c r="J50" s="17">
        <f>0.13*G49*20062.02/100</f>
        <v>1589.5783842589763</v>
      </c>
      <c r="K50" s="20"/>
    </row>
    <row r="51" spans="1:11" x14ac:dyDescent="0.3">
      <c r="A51" s="18"/>
      <c r="B51" s="19" t="s">
        <v>91</v>
      </c>
      <c r="C51" s="20"/>
      <c r="D51" s="21"/>
      <c r="E51" s="21"/>
      <c r="F51" s="21"/>
      <c r="G51" s="21"/>
      <c r="H51" s="20"/>
      <c r="I51" s="20"/>
      <c r="J51" s="17">
        <f>0.13*G49*13328.25/100</f>
        <v>1056.0401245736819</v>
      </c>
      <c r="K51" s="20"/>
    </row>
    <row r="52" spans="1:11" x14ac:dyDescent="0.3">
      <c r="A52" s="18"/>
      <c r="B52" s="19" t="s">
        <v>92</v>
      </c>
      <c r="C52" s="20"/>
      <c r="D52" s="21"/>
      <c r="E52" s="21"/>
      <c r="F52" s="21"/>
      <c r="G52" s="21"/>
      <c r="H52" s="20"/>
      <c r="I52" s="20"/>
      <c r="J52" s="17">
        <f>0.13*G49*10137.6/100</f>
        <v>803.2346607302652</v>
      </c>
      <c r="K52" s="20"/>
    </row>
    <row r="53" spans="1:11" x14ac:dyDescent="0.3">
      <c r="A53" s="20"/>
      <c r="B53" s="19" t="s">
        <v>93</v>
      </c>
      <c r="C53" s="20"/>
      <c r="D53" s="21"/>
      <c r="E53" s="21"/>
      <c r="F53" s="21"/>
      <c r="G53" s="21"/>
      <c r="H53" s="20"/>
      <c r="I53" s="20"/>
      <c r="J53" s="17">
        <f>0.13*G49*3300/100</f>
        <v>261.46961612313322</v>
      </c>
      <c r="K53" s="20"/>
    </row>
    <row r="54" spans="1:11" x14ac:dyDescent="0.3">
      <c r="A54" s="20"/>
      <c r="B54" s="20"/>
      <c r="C54" s="20"/>
      <c r="D54" s="21"/>
      <c r="E54" s="21"/>
      <c r="F54" s="21"/>
      <c r="G54" s="21"/>
      <c r="H54" s="20"/>
      <c r="I54" s="20"/>
      <c r="J54" s="20"/>
      <c r="K54" s="20"/>
    </row>
    <row r="55" spans="1:11" s="10" customFormat="1" ht="43.2" x14ac:dyDescent="0.3">
      <c r="A55" s="18">
        <v>6</v>
      </c>
      <c r="B55" s="23" t="s">
        <v>72</v>
      </c>
      <c r="C55" s="28" t="s">
        <v>7</v>
      </c>
      <c r="D55" s="44" t="s">
        <v>27</v>
      </c>
      <c r="E55" s="44" t="s">
        <v>75</v>
      </c>
      <c r="F55" s="44" t="s">
        <v>76</v>
      </c>
      <c r="G55" s="37"/>
      <c r="H55" s="28"/>
      <c r="I55" s="28"/>
      <c r="J55" s="28"/>
      <c r="K55" s="28"/>
    </row>
    <row r="56" spans="1:11" x14ac:dyDescent="0.3">
      <c r="A56" s="20"/>
      <c r="B56" s="19" t="s">
        <v>78</v>
      </c>
      <c r="C56" s="20">
        <f>TRUNC((N10-((1.5*2)/12/3.281))/0.15,0)+1</f>
        <v>25</v>
      </c>
      <c r="D56" s="21">
        <f>((M10)-((1.5*2)/12/3.281))+2*(O10+Q10+P10-(1.5/12/3.281))</f>
        <v>7.5954587016153612</v>
      </c>
      <c r="E56" s="21">
        <f t="shared" ref="E56:E63" si="2">10*10/162</f>
        <v>0.61728395061728392</v>
      </c>
      <c r="F56" s="21">
        <f t="shared" ref="F56:F64" si="3">PRODUCT(C56:E56)</f>
        <v>117.21386885208889</v>
      </c>
      <c r="G56" s="21">
        <f t="shared" ref="G56:G64" si="4">F56/1000</f>
        <v>0.1172138688520889</v>
      </c>
      <c r="H56" s="20"/>
      <c r="I56" s="20"/>
      <c r="J56" s="20"/>
      <c r="K56" s="20"/>
    </row>
    <row r="57" spans="1:11" x14ac:dyDescent="0.3">
      <c r="A57" s="20"/>
      <c r="B57" s="19"/>
      <c r="C57" s="20">
        <f>TRUNC((N10-(P10*2)+((1.5*2)/12/3.281))/0.15,0)+1</f>
        <v>24</v>
      </c>
      <c r="D57" s="21">
        <f>((M10-P10-P10)+((1.5*2)/12/3.281))+2*(O10+Q10+(1.5/12/3.281))</f>
        <v>7.3002438281011885</v>
      </c>
      <c r="E57" s="21">
        <f t="shared" si="2"/>
        <v>0.61728395061728392</v>
      </c>
      <c r="F57" s="21">
        <f t="shared" si="3"/>
        <v>108.15176041631391</v>
      </c>
      <c r="G57" s="21">
        <f t="shared" si="4"/>
        <v>0.1081517604163139</v>
      </c>
      <c r="H57" s="20"/>
      <c r="I57" s="20"/>
      <c r="J57" s="20"/>
      <c r="K57" s="20"/>
    </row>
    <row r="58" spans="1:11" x14ac:dyDescent="0.3">
      <c r="A58" s="20"/>
      <c r="B58" s="19" t="s">
        <v>79</v>
      </c>
      <c r="C58" s="20">
        <f>TRUNC((M10-((1.5*2)/12/3.281))/0.15,0)+1</f>
        <v>25</v>
      </c>
      <c r="D58" s="21">
        <f>((N10)-((1.5*2)/12/3.281))+2*(O10+Q10+P10-(1.5/12/3.281))</f>
        <v>7.5954587016153612</v>
      </c>
      <c r="E58" s="21">
        <f t="shared" si="2"/>
        <v>0.61728395061728392</v>
      </c>
      <c r="F58" s="21">
        <f t="shared" si="3"/>
        <v>117.21386885208889</v>
      </c>
      <c r="G58" s="21">
        <f t="shared" si="4"/>
        <v>0.1172138688520889</v>
      </c>
      <c r="H58" s="20"/>
      <c r="I58" s="20"/>
      <c r="J58" s="20"/>
      <c r="K58" s="20"/>
    </row>
    <row r="59" spans="1:11" x14ac:dyDescent="0.3">
      <c r="A59" s="20"/>
      <c r="B59" s="19"/>
      <c r="C59" s="20">
        <f>TRUNC((M10-(P10*2)+((1.5*2)/12/3.281))/0.15,0)+1</f>
        <v>24</v>
      </c>
      <c r="D59" s="21">
        <f>(((N10-P10-P10)+((1.5*2)/12/3.281))+2*(O10+Q10+(1.5/12/3.281)))</f>
        <v>7.3002438281011885</v>
      </c>
      <c r="E59" s="21">
        <f t="shared" si="2"/>
        <v>0.61728395061728392</v>
      </c>
      <c r="F59" s="21">
        <f t="shared" si="3"/>
        <v>108.15176041631391</v>
      </c>
      <c r="G59" s="21">
        <f t="shared" si="4"/>
        <v>0.1081517604163139</v>
      </c>
      <c r="H59" s="20"/>
      <c r="I59" s="20"/>
      <c r="J59" s="20"/>
      <c r="K59" s="20"/>
    </row>
    <row r="60" spans="1:11" x14ac:dyDescent="0.3">
      <c r="A60" s="20"/>
      <c r="B60" s="19" t="s">
        <v>95</v>
      </c>
      <c r="C60" s="20">
        <f>TRUNC((O10+Q10+P10-(1.5/12/3.281))/0.15,0)</f>
        <v>12</v>
      </c>
      <c r="D60" s="21">
        <f>(M10-((2*1.5)/12/3.281))*2+(N10-((2*1.5)/12/3.281))*2</f>
        <v>14.895214873514172</v>
      </c>
      <c r="E60" s="21">
        <f>8*8/162</f>
        <v>0.39506172839506171</v>
      </c>
      <c r="F60" s="21">
        <f t="shared" si="3"/>
        <v>70.614351992956074</v>
      </c>
      <c r="G60" s="21">
        <f t="shared" si="4"/>
        <v>7.061435199295607E-2</v>
      </c>
      <c r="H60" s="20"/>
      <c r="I60" s="20"/>
      <c r="J60" s="20"/>
      <c r="K60" s="20"/>
    </row>
    <row r="61" spans="1:11" x14ac:dyDescent="0.3">
      <c r="A61" s="20"/>
      <c r="B61" s="19"/>
      <c r="C61" s="20">
        <f>TRUNC((O10+Q10+(1.5/12/3.281))/0.15,0)</f>
        <v>12</v>
      </c>
      <c r="D61" s="21">
        <f>(M10-P10-P10+((2*1.5)/12/3.281))*2+(N10-P10-P10+((2*1.5)/12/3.281))*2</f>
        <v>14.304785126485827</v>
      </c>
      <c r="E61" s="21">
        <f>8*8/162</f>
        <v>0.39506172839506171</v>
      </c>
      <c r="F61" s="21">
        <f t="shared" si="3"/>
        <v>67.815277636673542</v>
      </c>
      <c r="G61" s="21">
        <f t="shared" si="4"/>
        <v>6.781527763667354E-2</v>
      </c>
      <c r="H61" s="20"/>
      <c r="I61" s="20"/>
      <c r="J61" s="20"/>
      <c r="K61" s="20"/>
    </row>
    <row r="62" spans="1:11" x14ac:dyDescent="0.3">
      <c r="A62" s="20"/>
      <c r="B62" s="19" t="s">
        <v>96</v>
      </c>
      <c r="C62" s="20">
        <f>2*TRUNC((M10-P10-P10-E32+((1.5*2)/12/3.281))/0.15,0)+2*1</f>
        <v>44</v>
      </c>
      <c r="D62" s="21">
        <f>(1.5*2+1.42)/3.281</f>
        <v>1.3471502590673574</v>
      </c>
      <c r="E62" s="21">
        <f t="shared" si="2"/>
        <v>0.61728395061728392</v>
      </c>
      <c r="F62" s="21">
        <f t="shared" si="3"/>
        <v>36.589266295656621</v>
      </c>
      <c r="G62" s="21">
        <f t="shared" si="4"/>
        <v>3.6589266295656619E-2</v>
      </c>
      <c r="H62" s="20"/>
      <c r="I62" s="20"/>
      <c r="J62" s="20"/>
      <c r="K62" s="20"/>
    </row>
    <row r="63" spans="1:11" x14ac:dyDescent="0.3">
      <c r="A63" s="20"/>
      <c r="B63" s="19"/>
      <c r="C63" s="20">
        <f>2*TRUNC((N10-P10-P10-E32+((1.5*2)/12/3.281))/0.15,0)+2*1</f>
        <v>44</v>
      </c>
      <c r="D63" s="21">
        <f>(1.5*2+1.42)/3.281</f>
        <v>1.3471502590673574</v>
      </c>
      <c r="E63" s="21">
        <f t="shared" si="2"/>
        <v>0.61728395061728392</v>
      </c>
      <c r="F63" s="21">
        <f t="shared" si="3"/>
        <v>36.589266295656621</v>
      </c>
      <c r="G63" s="21">
        <f t="shared" si="4"/>
        <v>3.6589266295656619E-2</v>
      </c>
      <c r="H63" s="20"/>
      <c r="I63" s="20"/>
      <c r="J63" s="20"/>
      <c r="K63" s="20"/>
    </row>
    <row r="64" spans="1:11" x14ac:dyDescent="0.3">
      <c r="A64" s="20"/>
      <c r="B64" s="19" t="s">
        <v>97</v>
      </c>
      <c r="C64" s="20">
        <v>2</v>
      </c>
      <c r="D64" s="21">
        <f>2*(M10-P10-P10-E32/2-E32/2)+2*(N10-P10-P10-E33/2-E33/2)</f>
        <v>12.8</v>
      </c>
      <c r="E64" s="21">
        <f>8*8/162</f>
        <v>0.39506172839506171</v>
      </c>
      <c r="F64" s="21">
        <f t="shared" si="3"/>
        <v>10.11358024691358</v>
      </c>
      <c r="G64" s="21">
        <f t="shared" si="4"/>
        <v>1.011358024691358E-2</v>
      </c>
      <c r="H64" s="20"/>
      <c r="I64" s="20"/>
      <c r="J64" s="20"/>
      <c r="K64" s="20"/>
    </row>
    <row r="65" spans="1:11" x14ac:dyDescent="0.3">
      <c r="A65" s="20"/>
      <c r="B65" s="19" t="s">
        <v>88</v>
      </c>
      <c r="C65" s="20">
        <f>2*(TRUNC((N10-0.1)/0.15,0)+1)</f>
        <v>50</v>
      </c>
      <c r="D65" s="21">
        <f>M10</f>
        <v>3.8</v>
      </c>
      <c r="E65" s="21">
        <f t="shared" ref="E65:E68" si="5">10*10/162</f>
        <v>0.61728395061728392</v>
      </c>
      <c r="F65" s="21">
        <f t="shared" ref="F65:F66" si="6">PRODUCT(C65:E65)</f>
        <v>117.28395061728395</v>
      </c>
      <c r="G65" s="21">
        <f t="shared" ref="G65:G68" si="7">F65/1000</f>
        <v>0.11728395061728394</v>
      </c>
      <c r="H65" s="20"/>
      <c r="I65" s="20"/>
      <c r="J65" s="20"/>
      <c r="K65" s="20"/>
    </row>
    <row r="66" spans="1:11" x14ac:dyDescent="0.3">
      <c r="A66" s="20"/>
      <c r="B66" s="19"/>
      <c r="C66" s="20">
        <f>2*(TRUNC((M10-0.1)/0.15,0)+1)</f>
        <v>50</v>
      </c>
      <c r="D66" s="21">
        <f>N10</f>
        <v>3.8</v>
      </c>
      <c r="E66" s="21">
        <f t="shared" si="5"/>
        <v>0.61728395061728392</v>
      </c>
      <c r="F66" s="21">
        <f t="shared" si="6"/>
        <v>117.28395061728395</v>
      </c>
      <c r="G66" s="21">
        <f t="shared" si="7"/>
        <v>0.11728395061728394</v>
      </c>
      <c r="H66" s="20"/>
      <c r="I66" s="20"/>
      <c r="J66" s="20"/>
      <c r="K66" s="20"/>
    </row>
    <row r="67" spans="1:11" x14ac:dyDescent="0.3">
      <c r="A67" s="20"/>
      <c r="B67" s="19" t="s">
        <v>104</v>
      </c>
      <c r="C67" s="20">
        <f>-2*(TRUNC((S10)/0.15,0)+1)</f>
        <v>-10</v>
      </c>
      <c r="D67" s="21">
        <f>S10</f>
        <v>0.6</v>
      </c>
      <c r="E67" s="21">
        <f t="shared" si="5"/>
        <v>0.61728395061728392</v>
      </c>
      <c r="F67" s="21">
        <f t="shared" ref="F67:F68" si="8">PRODUCT(C67:E67)</f>
        <v>-3.7037037037037033</v>
      </c>
      <c r="G67" s="45">
        <f t="shared" si="7"/>
        <v>-3.7037037037037034E-3</v>
      </c>
      <c r="H67" s="20"/>
      <c r="I67" s="20"/>
      <c r="J67" s="20"/>
      <c r="K67" s="20"/>
    </row>
    <row r="68" spans="1:11" x14ac:dyDescent="0.3">
      <c r="A68" s="20"/>
      <c r="B68" s="19"/>
      <c r="C68" s="20">
        <f>-2*(TRUNC((T10)/0.15,0)+1)</f>
        <v>-10</v>
      </c>
      <c r="D68" s="21">
        <f>T10</f>
        <v>0.6</v>
      </c>
      <c r="E68" s="21">
        <f t="shared" si="5"/>
        <v>0.61728395061728392</v>
      </c>
      <c r="F68" s="21">
        <f t="shared" si="8"/>
        <v>-3.7037037037037033</v>
      </c>
      <c r="G68" s="45">
        <f t="shared" si="7"/>
        <v>-3.7037037037037034E-3</v>
      </c>
      <c r="H68" s="20"/>
      <c r="I68" s="20"/>
      <c r="J68" s="20"/>
      <c r="K68" s="20"/>
    </row>
    <row r="69" spans="1:11" ht="15" customHeight="1" x14ac:dyDescent="0.3">
      <c r="A69" s="12"/>
      <c r="B69" s="13" t="s">
        <v>16</v>
      </c>
      <c r="C69" s="14"/>
      <c r="D69" s="1"/>
      <c r="E69" s="15"/>
      <c r="F69" s="15"/>
      <c r="G69" s="2">
        <f>SUM(G56:G68)</f>
        <v>0.89961349483182251</v>
      </c>
      <c r="H69" s="16" t="s">
        <v>77</v>
      </c>
      <c r="I69" s="2">
        <v>132360</v>
      </c>
      <c r="J69" s="17">
        <f>G69*I69</f>
        <v>119072.84217594002</v>
      </c>
      <c r="K69" s="15"/>
    </row>
    <row r="70" spans="1:11" x14ac:dyDescent="0.3">
      <c r="A70" s="18"/>
      <c r="B70" s="19" t="s">
        <v>74</v>
      </c>
      <c r="C70" s="20"/>
      <c r="D70" s="20"/>
      <c r="E70" s="20"/>
      <c r="F70" s="20"/>
      <c r="G70" s="20"/>
      <c r="H70" s="20"/>
      <c r="I70" s="20"/>
      <c r="J70" s="17">
        <f>0.13*G69*105000</f>
        <v>12279.724204454378</v>
      </c>
      <c r="K70" s="20"/>
    </row>
    <row r="71" spans="1:11" x14ac:dyDescent="0.3">
      <c r="A71" s="18"/>
      <c r="B71" s="19" t="s">
        <v>73</v>
      </c>
      <c r="C71" s="20"/>
      <c r="D71" s="20"/>
      <c r="E71" s="20"/>
      <c r="F71" s="20"/>
      <c r="G71" s="20"/>
      <c r="H71" s="20"/>
      <c r="I71" s="20"/>
      <c r="J71" s="17">
        <f>0.13*G69*1200</f>
        <v>140.33970519376433</v>
      </c>
      <c r="K71" s="20"/>
    </row>
    <row r="72" spans="1:11" x14ac:dyDescent="0.3">
      <c r="A72" s="20"/>
      <c r="B72" s="20"/>
      <c r="C72" s="20"/>
      <c r="D72" s="20"/>
      <c r="E72" s="20"/>
      <c r="F72" s="20"/>
      <c r="G72" s="20"/>
      <c r="H72" s="20"/>
      <c r="I72" s="20"/>
      <c r="J72" s="20"/>
      <c r="K72" s="20"/>
    </row>
    <row r="73" spans="1:11" ht="30" x14ac:dyDescent="0.3">
      <c r="A73" s="18">
        <v>7</v>
      </c>
      <c r="B73" s="23" t="s">
        <v>98</v>
      </c>
      <c r="C73" s="20"/>
      <c r="D73" s="20"/>
      <c r="E73" s="20"/>
      <c r="F73" s="20"/>
      <c r="G73" s="20"/>
      <c r="H73" s="20"/>
      <c r="I73" s="20"/>
      <c r="J73" s="20"/>
      <c r="K73" s="20"/>
    </row>
    <row r="74" spans="1:11" x14ac:dyDescent="0.3">
      <c r="A74" s="20"/>
      <c r="B74" s="19" t="s">
        <v>99</v>
      </c>
      <c r="C74" s="20">
        <v>1</v>
      </c>
      <c r="D74" s="21">
        <f>M10-P10-P10-E32-E32</f>
        <v>2.9000000000000004</v>
      </c>
      <c r="E74" s="21">
        <f>N10-P10-P10-E33-E33</f>
        <v>2.9000000000000004</v>
      </c>
      <c r="F74" s="20"/>
      <c r="G74" s="21">
        <f>PRODUCT(C74:F74)</f>
        <v>8.4100000000000019</v>
      </c>
      <c r="H74" s="20"/>
      <c r="I74" s="20"/>
      <c r="J74" s="20"/>
      <c r="K74" s="20"/>
    </row>
    <row r="75" spans="1:11" ht="15" customHeight="1" x14ac:dyDescent="0.3">
      <c r="A75" s="12"/>
      <c r="B75" s="13" t="s">
        <v>16</v>
      </c>
      <c r="C75" s="14"/>
      <c r="D75" s="1"/>
      <c r="E75" s="15"/>
      <c r="F75" s="15"/>
      <c r="G75" s="2">
        <f>SUM(G74)</f>
        <v>8.4100000000000019</v>
      </c>
      <c r="H75" s="16" t="s">
        <v>49</v>
      </c>
      <c r="I75" s="2">
        <v>689.98</v>
      </c>
      <c r="J75" s="17">
        <f>G75*I75</f>
        <v>5802.7318000000014</v>
      </c>
      <c r="K75" s="15"/>
    </row>
    <row r="76" spans="1:11" x14ac:dyDescent="0.3">
      <c r="A76" s="18"/>
      <c r="B76" s="19" t="s">
        <v>47</v>
      </c>
      <c r="C76" s="20"/>
      <c r="D76" s="21"/>
      <c r="E76" s="21"/>
      <c r="F76" s="21"/>
      <c r="G76" s="21"/>
      <c r="H76" s="20"/>
      <c r="I76" s="20"/>
      <c r="J76" s="17">
        <f>0.13*G75*1694.03/10</f>
        <v>185.20829990000007</v>
      </c>
      <c r="K76" s="20"/>
    </row>
    <row r="77" spans="1:11" x14ac:dyDescent="0.3">
      <c r="A77" s="20"/>
      <c r="B77" s="19" t="s">
        <v>45</v>
      </c>
      <c r="C77" s="20"/>
      <c r="D77" s="21"/>
      <c r="E77" s="21"/>
      <c r="F77" s="21"/>
      <c r="G77" s="21"/>
      <c r="H77" s="20"/>
      <c r="I77" s="20"/>
      <c r="J77" s="17">
        <f>0.13*G75*472.02/10</f>
        <v>51.605946600000017</v>
      </c>
      <c r="K77" s="20"/>
    </row>
    <row r="78" spans="1:11" x14ac:dyDescent="0.3">
      <c r="A78" s="20"/>
      <c r="B78" s="19" t="s">
        <v>48</v>
      </c>
      <c r="C78" s="20"/>
      <c r="D78" s="21"/>
      <c r="E78" s="21"/>
      <c r="F78" s="21"/>
      <c r="G78" s="21"/>
      <c r="H78" s="20"/>
      <c r="I78" s="20"/>
      <c r="J78" s="17">
        <f>0.13*G75*1207.6/10</f>
        <v>132.02690800000002</v>
      </c>
      <c r="K78" s="20"/>
    </row>
    <row r="79" spans="1:11" x14ac:dyDescent="0.3">
      <c r="A79" s="20"/>
      <c r="B79" s="20"/>
      <c r="C79" s="20"/>
      <c r="D79" s="20"/>
      <c r="E79" s="20"/>
      <c r="F79" s="20"/>
      <c r="G79" s="20"/>
      <c r="H79" s="20"/>
      <c r="I79" s="20"/>
      <c r="J79" s="20"/>
      <c r="K79" s="20"/>
    </row>
    <row r="80" spans="1:11" ht="30" x14ac:dyDescent="0.3">
      <c r="A80" s="18">
        <v>8</v>
      </c>
      <c r="B80" s="23" t="s">
        <v>100</v>
      </c>
      <c r="C80" s="20"/>
      <c r="D80" s="20"/>
      <c r="E80" s="20"/>
      <c r="F80" s="20"/>
      <c r="G80" s="20"/>
      <c r="H80" s="20"/>
      <c r="I80" s="20"/>
      <c r="J80" s="20"/>
      <c r="K80" s="20"/>
    </row>
    <row r="81" spans="1:11" x14ac:dyDescent="0.3">
      <c r="A81" s="20"/>
      <c r="B81" s="19" t="s">
        <v>101</v>
      </c>
      <c r="C81" s="20">
        <v>2</v>
      </c>
      <c r="D81" s="21">
        <f>N10-P10-P10</f>
        <v>3.5</v>
      </c>
      <c r="E81" s="21"/>
      <c r="F81" s="21">
        <f>O10+Q10-F32+1.42/3.281</f>
        <v>1.9567205120390125</v>
      </c>
      <c r="G81" s="21">
        <f>PRODUCT(C81:F81)</f>
        <v>13.697043584273088</v>
      </c>
      <c r="H81" s="20"/>
      <c r="I81" s="20"/>
      <c r="J81" s="20"/>
      <c r="K81" s="20"/>
    </row>
    <row r="82" spans="1:11" x14ac:dyDescent="0.3">
      <c r="A82" s="20"/>
      <c r="B82" s="19" t="s">
        <v>102</v>
      </c>
      <c r="C82" s="20">
        <v>2</v>
      </c>
      <c r="D82" s="21">
        <f>M10-P10-P10</f>
        <v>3.5</v>
      </c>
      <c r="E82" s="21"/>
      <c r="F82" s="21">
        <f>O10+Q10-F33+1.42/3.281</f>
        <v>1.9567205120390125</v>
      </c>
      <c r="G82" s="21">
        <f>PRODUCT(C82:F82)</f>
        <v>13.697043584273088</v>
      </c>
      <c r="H82" s="20"/>
      <c r="I82" s="20"/>
      <c r="J82" s="20"/>
      <c r="K82" s="20"/>
    </row>
    <row r="83" spans="1:11" ht="15" customHeight="1" x14ac:dyDescent="0.3">
      <c r="A83" s="12"/>
      <c r="B83" s="13" t="s">
        <v>16</v>
      </c>
      <c r="C83" s="14"/>
      <c r="D83" s="1"/>
      <c r="E83" s="15"/>
      <c r="F83" s="15"/>
      <c r="G83" s="2">
        <f>SUM(G81:G82)</f>
        <v>27.394087168546175</v>
      </c>
      <c r="H83" s="16" t="s">
        <v>49</v>
      </c>
      <c r="I83" s="2">
        <v>415.5</v>
      </c>
      <c r="J83" s="17">
        <f>G83*I83</f>
        <v>11382.243218530935</v>
      </c>
      <c r="K83" s="15"/>
    </row>
    <row r="84" spans="1:11" x14ac:dyDescent="0.3">
      <c r="A84" s="18"/>
      <c r="B84" s="19" t="s">
        <v>47</v>
      </c>
      <c r="C84" s="20"/>
      <c r="D84" s="21"/>
      <c r="E84" s="21"/>
      <c r="F84" s="21"/>
      <c r="G84" s="21"/>
      <c r="H84" s="20"/>
      <c r="I84" s="20"/>
      <c r="J84" s="17">
        <f>0.13*G83*7010.67/100</f>
        <v>249.66617661688508</v>
      </c>
      <c r="K84" s="20"/>
    </row>
    <row r="85" spans="1:11" x14ac:dyDescent="0.3">
      <c r="A85" s="20"/>
      <c r="B85" s="19" t="s">
        <v>45</v>
      </c>
      <c r="C85" s="20"/>
      <c r="D85" s="21"/>
      <c r="E85" s="21"/>
      <c r="F85" s="21"/>
      <c r="G85" s="21"/>
      <c r="H85" s="20"/>
      <c r="I85" s="20"/>
      <c r="J85" s="17">
        <f>0.13*G83*4639.73/100</f>
        <v>165.23151847607434</v>
      </c>
      <c r="K85" s="20"/>
    </row>
    <row r="86" spans="1:11" x14ac:dyDescent="0.3">
      <c r="A86" s="20"/>
      <c r="B86" s="20"/>
      <c r="C86" s="20"/>
      <c r="D86" s="20"/>
      <c r="E86" s="20"/>
      <c r="F86" s="20"/>
      <c r="G86" s="20"/>
      <c r="H86" s="20"/>
      <c r="I86" s="20"/>
      <c r="J86" s="20"/>
      <c r="K86" s="20"/>
    </row>
    <row r="87" spans="1:11" ht="30" x14ac:dyDescent="0.3">
      <c r="A87" s="18">
        <v>9</v>
      </c>
      <c r="B87" s="23" t="s">
        <v>103</v>
      </c>
      <c r="C87" s="20"/>
      <c r="D87" s="20"/>
      <c r="E87" s="20"/>
      <c r="F87" s="20"/>
      <c r="G87" s="20"/>
      <c r="H87" s="20"/>
      <c r="I87" s="20"/>
      <c r="J87" s="20"/>
      <c r="K87" s="20"/>
    </row>
    <row r="88" spans="1:11" x14ac:dyDescent="0.3">
      <c r="A88" s="20"/>
      <c r="B88" s="19" t="s">
        <v>99</v>
      </c>
      <c r="C88" s="20">
        <v>1</v>
      </c>
      <c r="D88" s="21">
        <f>M10-P10-P10-E32-E32</f>
        <v>2.9000000000000004</v>
      </c>
      <c r="E88" s="21">
        <f>N10-P10-P10-E33-E33</f>
        <v>2.9000000000000004</v>
      </c>
      <c r="F88" s="20"/>
      <c r="G88" s="21">
        <f>PRODUCT(C88:F88)</f>
        <v>8.4100000000000019</v>
      </c>
      <c r="H88" s="20"/>
      <c r="I88" s="20"/>
      <c r="J88" s="20"/>
      <c r="K88" s="20"/>
    </row>
    <row r="89" spans="1:11" x14ac:dyDescent="0.3">
      <c r="A89" s="20"/>
      <c r="B89" s="19" t="s">
        <v>101</v>
      </c>
      <c r="C89" s="20">
        <v>2</v>
      </c>
      <c r="D89" s="21">
        <f>N10-P10-P10</f>
        <v>3.5</v>
      </c>
      <c r="E89" s="21"/>
      <c r="F89" s="21">
        <f>O10+Q10-F32+1.42/3.281</f>
        <v>1.9567205120390125</v>
      </c>
      <c r="G89" s="21">
        <f>PRODUCT(C89:F89)</f>
        <v>13.697043584273088</v>
      </c>
      <c r="H89" s="20"/>
      <c r="I89" s="20"/>
      <c r="J89" s="20"/>
      <c r="K89" s="20"/>
    </row>
    <row r="90" spans="1:11" x14ac:dyDescent="0.3">
      <c r="A90" s="20"/>
      <c r="B90" s="19" t="s">
        <v>102</v>
      </c>
      <c r="C90" s="20">
        <v>2</v>
      </c>
      <c r="D90" s="21">
        <f>M10-P10-P10</f>
        <v>3.5</v>
      </c>
      <c r="E90" s="21"/>
      <c r="F90" s="21">
        <f>O10+Q10-F32+1.42/3.281</f>
        <v>1.9567205120390125</v>
      </c>
      <c r="G90" s="21">
        <f>PRODUCT(C90:F90)</f>
        <v>13.697043584273088</v>
      </c>
      <c r="H90" s="20"/>
      <c r="I90" s="20"/>
      <c r="J90" s="20"/>
      <c r="K90" s="20"/>
    </row>
    <row r="91" spans="1:11" ht="15" customHeight="1" x14ac:dyDescent="0.3">
      <c r="A91" s="12"/>
      <c r="B91" s="13" t="s">
        <v>16</v>
      </c>
      <c r="C91" s="14"/>
      <c r="D91" s="1"/>
      <c r="E91" s="15"/>
      <c r="F91" s="15"/>
      <c r="G91" s="2">
        <f>SUM(G88:G90)</f>
        <v>35.804087168546175</v>
      </c>
      <c r="H91" s="16" t="s">
        <v>49</v>
      </c>
      <c r="I91" s="2">
        <v>415.5</v>
      </c>
      <c r="J91" s="17">
        <f>G91*I91</f>
        <v>14876.598218530937</v>
      </c>
      <c r="K91" s="15"/>
    </row>
    <row r="92" spans="1:11" x14ac:dyDescent="0.3">
      <c r="A92" s="18"/>
      <c r="B92" s="19" t="s">
        <v>47</v>
      </c>
      <c r="C92" s="20"/>
      <c r="D92" s="21"/>
      <c r="E92" s="21"/>
      <c r="F92" s="21"/>
      <c r="G92" s="21"/>
      <c r="H92" s="20"/>
      <c r="I92" s="20"/>
      <c r="J92" s="17">
        <f>0.13*G91*7010.67/100</f>
        <v>326.3138317268851</v>
      </c>
      <c r="K92" s="20"/>
    </row>
    <row r="93" spans="1:11" x14ac:dyDescent="0.3">
      <c r="A93" s="20"/>
      <c r="B93" s="19" t="s">
        <v>45</v>
      </c>
      <c r="C93" s="20"/>
      <c r="D93" s="21"/>
      <c r="E93" s="21"/>
      <c r="F93" s="21"/>
      <c r="G93" s="21"/>
      <c r="H93" s="20"/>
      <c r="I93" s="20"/>
      <c r="J93" s="17">
        <f>0.13*G91*4639.73/100</f>
        <v>215.95768656607436</v>
      </c>
      <c r="K93" s="20"/>
    </row>
    <row r="94" spans="1:11" x14ac:dyDescent="0.3">
      <c r="A94" s="20"/>
      <c r="B94" s="20"/>
      <c r="C94" s="20"/>
      <c r="D94" s="20"/>
      <c r="E94" s="20"/>
      <c r="F94" s="20"/>
      <c r="G94" s="20"/>
      <c r="H94" s="20"/>
      <c r="I94" s="20"/>
      <c r="J94" s="20"/>
      <c r="K94" s="20"/>
    </row>
    <row r="95" spans="1:11" ht="28.8" x14ac:dyDescent="0.3">
      <c r="A95" s="18">
        <v>10</v>
      </c>
      <c r="B95" s="42" t="s">
        <v>107</v>
      </c>
      <c r="C95" s="20"/>
      <c r="D95" s="20"/>
      <c r="E95" s="20"/>
      <c r="F95" s="20"/>
      <c r="G95" s="20"/>
      <c r="H95" s="20"/>
      <c r="I95" s="20"/>
      <c r="J95" s="20"/>
      <c r="K95" s="20"/>
    </row>
    <row r="96" spans="1:11" x14ac:dyDescent="0.3">
      <c r="A96" s="20"/>
      <c r="B96" s="19" t="s">
        <v>108</v>
      </c>
      <c r="C96" s="20">
        <v>1</v>
      </c>
      <c r="D96" s="21"/>
      <c r="E96" s="21"/>
      <c r="F96" s="20"/>
      <c r="G96" s="21">
        <f>PRODUCT(C96:F96)</f>
        <v>1</v>
      </c>
      <c r="H96" s="20"/>
      <c r="I96" s="20"/>
      <c r="J96" s="20"/>
      <c r="K96" s="20"/>
    </row>
    <row r="97" spans="1:18" ht="15" customHeight="1" x14ac:dyDescent="0.3">
      <c r="A97" s="12"/>
      <c r="B97" s="13" t="s">
        <v>16</v>
      </c>
      <c r="C97" s="14"/>
      <c r="D97" s="1"/>
      <c r="E97" s="15"/>
      <c r="F97" s="15"/>
      <c r="G97" s="2">
        <f>SUM(G96)</f>
        <v>1</v>
      </c>
      <c r="H97" s="16" t="s">
        <v>49</v>
      </c>
      <c r="I97" s="2">
        <v>4659</v>
      </c>
      <c r="J97" s="17">
        <f>G97*I97</f>
        <v>4659</v>
      </c>
      <c r="K97" s="15"/>
    </row>
    <row r="98" spans="1:18" x14ac:dyDescent="0.3">
      <c r="A98" s="18"/>
      <c r="B98" s="19" t="s">
        <v>47</v>
      </c>
      <c r="C98" s="20"/>
      <c r="D98" s="21"/>
      <c r="E98" s="21"/>
      <c r="F98" s="21"/>
      <c r="G98" s="21"/>
      <c r="H98" s="20"/>
      <c r="I98" s="20"/>
      <c r="J98" s="17">
        <f>0.13*J97</f>
        <v>605.67000000000007</v>
      </c>
      <c r="K98" s="20"/>
    </row>
    <row r="99" spans="1:18" x14ac:dyDescent="0.3">
      <c r="A99" s="20"/>
      <c r="B99" s="20"/>
      <c r="C99" s="20"/>
      <c r="D99" s="20"/>
      <c r="E99" s="20"/>
      <c r="F99" s="20"/>
      <c r="G99" s="20"/>
      <c r="H99" s="20"/>
      <c r="I99" s="20"/>
      <c r="J99" s="20"/>
      <c r="K99" s="20"/>
    </row>
    <row r="100" spans="1:18" ht="15.6" x14ac:dyDescent="0.3">
      <c r="A100" s="5" t="s">
        <v>43</v>
      </c>
      <c r="B100" s="6" t="s">
        <v>110</v>
      </c>
      <c r="C100" s="5"/>
      <c r="D100" s="7"/>
      <c r="E100" s="7"/>
      <c r="F100" s="7"/>
      <c r="G100" s="7"/>
      <c r="H100" s="5"/>
      <c r="I100" s="7"/>
      <c r="J100" s="7"/>
      <c r="K100" s="8"/>
    </row>
    <row r="101" spans="1:18" s="10" customFormat="1" ht="30" x14ac:dyDescent="0.25">
      <c r="A101" s="24">
        <v>11</v>
      </c>
      <c r="B101" s="22" t="s">
        <v>117</v>
      </c>
      <c r="C101" s="24"/>
      <c r="D101" s="25"/>
      <c r="E101" s="25"/>
      <c r="F101" s="25"/>
      <c r="G101" s="25"/>
      <c r="H101" s="24"/>
      <c r="I101" s="25"/>
      <c r="J101" s="25"/>
      <c r="K101" s="26"/>
    </row>
    <row r="102" spans="1:18" x14ac:dyDescent="0.3">
      <c r="A102" s="18"/>
      <c r="B102" s="19" t="s">
        <v>44</v>
      </c>
      <c r="C102" s="20">
        <v>3</v>
      </c>
      <c r="D102" s="21">
        <f>M113</f>
        <v>1.6763181956720512</v>
      </c>
      <c r="E102" s="21">
        <f>N113</f>
        <v>1.6763181956720512</v>
      </c>
      <c r="F102" s="20">
        <v>0.15</v>
      </c>
      <c r="G102" s="21">
        <f>PRODUCT(C102:F102)</f>
        <v>1.2645192119135404</v>
      </c>
      <c r="H102" s="20"/>
      <c r="I102" s="20"/>
      <c r="J102" s="20"/>
      <c r="K102" s="20"/>
    </row>
    <row r="103" spans="1:18" ht="15" customHeight="1" x14ac:dyDescent="0.3">
      <c r="A103" s="12"/>
      <c r="B103" s="13" t="s">
        <v>16</v>
      </c>
      <c r="C103" s="14"/>
      <c r="D103" s="1"/>
      <c r="E103" s="15"/>
      <c r="F103" s="15"/>
      <c r="G103" s="2">
        <f>SUM(G102)</f>
        <v>1.2645192119135404</v>
      </c>
      <c r="H103" s="16" t="s">
        <v>29</v>
      </c>
      <c r="I103" s="2">
        <v>963.05</v>
      </c>
      <c r="J103" s="17">
        <f>G103*I103</f>
        <v>1217.7952270333351</v>
      </c>
      <c r="K103" s="15"/>
    </row>
    <row r="104" spans="1:18" ht="15.6" x14ac:dyDescent="0.3">
      <c r="A104" s="5"/>
      <c r="B104" s="6"/>
      <c r="C104" s="5"/>
      <c r="D104" s="7"/>
      <c r="E104" s="7"/>
      <c r="F104" s="7"/>
      <c r="G104" s="7"/>
      <c r="H104" s="5"/>
      <c r="I104" s="7"/>
      <c r="J104" s="7"/>
      <c r="K104" s="8"/>
    </row>
    <row r="105" spans="1:18" x14ac:dyDescent="0.3">
      <c r="A105" s="18">
        <v>12</v>
      </c>
      <c r="B105" s="20" t="s">
        <v>111</v>
      </c>
      <c r="C105" s="20"/>
      <c r="D105" s="20"/>
      <c r="E105" s="20"/>
      <c r="F105" s="20"/>
      <c r="G105" s="20"/>
      <c r="H105" s="20"/>
      <c r="I105" s="20"/>
      <c r="J105" s="20"/>
      <c r="K105" s="20"/>
    </row>
    <row r="106" spans="1:18" x14ac:dyDescent="0.3">
      <c r="A106" s="18"/>
      <c r="B106" s="19" t="s">
        <v>44</v>
      </c>
      <c r="C106" s="20">
        <v>3</v>
      </c>
      <c r="D106" s="21">
        <f>M113</f>
        <v>1.6763181956720512</v>
      </c>
      <c r="E106" s="21">
        <f>N113</f>
        <v>1.6763181956720512</v>
      </c>
      <c r="F106" s="20"/>
      <c r="G106" s="21">
        <f>PRODUCT(C106:F106)</f>
        <v>8.4301280794236035</v>
      </c>
      <c r="H106" s="20"/>
      <c r="I106" s="20"/>
      <c r="J106" s="20"/>
      <c r="K106" s="20"/>
    </row>
    <row r="107" spans="1:18" ht="13.8" customHeight="1" x14ac:dyDescent="0.3">
      <c r="A107" s="12"/>
      <c r="B107" s="13" t="s">
        <v>16</v>
      </c>
      <c r="C107" s="14"/>
      <c r="D107" s="1"/>
      <c r="E107" s="15"/>
      <c r="F107" s="15"/>
      <c r="G107" s="2">
        <f>SUM(G106)</f>
        <v>8.4301280794236035</v>
      </c>
      <c r="H107" s="16" t="s">
        <v>49</v>
      </c>
      <c r="I107" s="2">
        <v>1014.15</v>
      </c>
      <c r="J107" s="17">
        <f>G107*I107</f>
        <v>8549.4143917474466</v>
      </c>
      <c r="K107" s="15"/>
    </row>
    <row r="108" spans="1:18" x14ac:dyDescent="0.3">
      <c r="A108" s="18"/>
      <c r="B108" s="19" t="s">
        <v>112</v>
      </c>
      <c r="C108" s="20"/>
      <c r="D108" s="20"/>
      <c r="E108" s="20"/>
      <c r="F108" s="20"/>
      <c r="G108" s="20"/>
      <c r="H108" s="20"/>
      <c r="I108" s="20"/>
      <c r="J108" s="17">
        <f>0.13*G107*636.09</f>
        <v>697.1016221052729</v>
      </c>
      <c r="K108" s="20"/>
    </row>
    <row r="109" spans="1:18" x14ac:dyDescent="0.3">
      <c r="A109" s="18"/>
      <c r="B109" s="19" t="s">
        <v>45</v>
      </c>
      <c r="C109" s="20"/>
      <c r="D109" s="20"/>
      <c r="E109" s="20"/>
      <c r="F109" s="20"/>
      <c r="G109" s="20"/>
      <c r="H109" s="20"/>
      <c r="I109" s="20"/>
      <c r="J109" s="17">
        <f>0.13*G107*222.31</f>
        <v>243.63323053376601</v>
      </c>
      <c r="K109" s="20"/>
    </row>
    <row r="110" spans="1:18" x14ac:dyDescent="0.3">
      <c r="A110" s="18"/>
      <c r="B110" s="20"/>
      <c r="C110" s="20"/>
      <c r="D110" s="20"/>
      <c r="E110" s="20"/>
      <c r="F110" s="20"/>
      <c r="G110" s="20"/>
      <c r="H110" s="20"/>
      <c r="I110" s="20"/>
      <c r="J110" s="20"/>
      <c r="K110" s="20"/>
    </row>
    <row r="111" spans="1:18" x14ac:dyDescent="0.3">
      <c r="A111" s="18">
        <v>13</v>
      </c>
      <c r="B111" s="20" t="s">
        <v>46</v>
      </c>
      <c r="C111" s="20"/>
      <c r="D111" s="20"/>
      <c r="E111" s="20"/>
      <c r="F111" s="20"/>
      <c r="G111" s="20"/>
      <c r="H111" s="20"/>
      <c r="I111" s="20"/>
      <c r="J111" s="20"/>
      <c r="K111" s="20"/>
      <c r="M111" s="9" t="s">
        <v>53</v>
      </c>
    </row>
    <row r="112" spans="1:18" x14ac:dyDescent="0.3">
      <c r="A112" s="18"/>
      <c r="B112" s="19" t="s">
        <v>52</v>
      </c>
      <c r="C112" s="20">
        <f>C106</f>
        <v>3</v>
      </c>
      <c r="D112" s="21">
        <f>M113</f>
        <v>1.6763181956720512</v>
      </c>
      <c r="E112" s="21">
        <f>N113</f>
        <v>1.6763181956720512</v>
      </c>
      <c r="F112" s="21">
        <v>0.1</v>
      </c>
      <c r="G112" s="21">
        <f>PRODUCT(C112:F112)</f>
        <v>0.84301280794236044</v>
      </c>
      <c r="H112" s="20"/>
      <c r="I112" s="20"/>
      <c r="J112" s="20"/>
      <c r="K112" s="20"/>
      <c r="M112" s="9" t="s">
        <v>54</v>
      </c>
      <c r="N112" s="9" t="s">
        <v>9</v>
      </c>
      <c r="O112" s="9" t="s">
        <v>63</v>
      </c>
      <c r="P112" s="9" t="s">
        <v>55</v>
      </c>
      <c r="Q112" s="9" t="s">
        <v>56</v>
      </c>
      <c r="R112" s="9" t="s">
        <v>114</v>
      </c>
    </row>
    <row r="113" spans="1:18" ht="15" customHeight="1" x14ac:dyDescent="0.3">
      <c r="A113" s="12"/>
      <c r="B113" s="13" t="s">
        <v>16</v>
      </c>
      <c r="C113" s="14"/>
      <c r="D113" s="1"/>
      <c r="E113" s="15"/>
      <c r="F113" s="15"/>
      <c r="G113" s="2">
        <f>SUM(G112)</f>
        <v>0.84301280794236044</v>
      </c>
      <c r="H113" s="16" t="s">
        <v>29</v>
      </c>
      <c r="I113" s="2">
        <v>13343.7</v>
      </c>
      <c r="J113" s="17">
        <f>G113*I113</f>
        <v>11248.910005340476</v>
      </c>
      <c r="K113" s="15"/>
      <c r="M113" s="11">
        <f>5.5/3.281</f>
        <v>1.6763181956720512</v>
      </c>
      <c r="N113" s="11">
        <f>5.5/3.281</f>
        <v>1.6763181956720512</v>
      </c>
      <c r="O113" s="11">
        <v>0.23</v>
      </c>
      <c r="P113" s="11">
        <f>TRUNC(2/3.281,1)</f>
        <v>0.6</v>
      </c>
      <c r="Q113" s="11">
        <f>TRUNC(4/3.281,1)</f>
        <v>1.2</v>
      </c>
      <c r="R113" s="11">
        <f>1.17/3.281</f>
        <v>0.35659859798841814</v>
      </c>
    </row>
    <row r="114" spans="1:18" x14ac:dyDescent="0.3">
      <c r="A114" s="18"/>
      <c r="B114" s="19" t="s">
        <v>45</v>
      </c>
      <c r="C114" s="20"/>
      <c r="D114" s="20"/>
      <c r="E114" s="20"/>
      <c r="F114" s="20"/>
      <c r="G114" s="20"/>
      <c r="H114" s="20"/>
      <c r="I114" s="20"/>
      <c r="J114" s="17">
        <f>0.13*G113*1413.27</f>
        <v>154.88261244049096</v>
      </c>
      <c r="K114" s="20"/>
    </row>
    <row r="115" spans="1:18" x14ac:dyDescent="0.3">
      <c r="A115" s="18"/>
      <c r="B115" s="19" t="s">
        <v>47</v>
      </c>
      <c r="C115" s="20"/>
      <c r="D115" s="20"/>
      <c r="E115" s="20"/>
      <c r="F115" s="20"/>
      <c r="G115" s="20"/>
      <c r="H115" s="20"/>
      <c r="I115" s="20"/>
      <c r="J115" s="17">
        <f>0.13*G113*4096</f>
        <v>448.88745997314811</v>
      </c>
      <c r="K115" s="20"/>
    </row>
    <row r="116" spans="1:18" x14ac:dyDescent="0.3">
      <c r="A116" s="18"/>
      <c r="B116" s="19" t="s">
        <v>48</v>
      </c>
      <c r="C116" s="20"/>
      <c r="D116" s="20"/>
      <c r="E116" s="20"/>
      <c r="F116" s="20"/>
      <c r="G116" s="20"/>
      <c r="H116" s="20"/>
      <c r="I116" s="20"/>
      <c r="J116" s="17">
        <f>0.13*G113*(368.76+737.51+1743.21)</f>
        <v>312.27925767682768</v>
      </c>
      <c r="K116" s="20"/>
    </row>
    <row r="117" spans="1:18" x14ac:dyDescent="0.3">
      <c r="A117" s="18"/>
      <c r="B117" s="20"/>
      <c r="C117" s="20"/>
      <c r="D117" s="20"/>
      <c r="E117" s="20"/>
      <c r="F117" s="20"/>
      <c r="G117" s="20"/>
      <c r="H117" s="20"/>
      <c r="I117" s="20"/>
      <c r="J117" s="20"/>
      <c r="K117" s="20"/>
    </row>
    <row r="118" spans="1:18" ht="28.8" x14ac:dyDescent="0.3">
      <c r="A118" s="18">
        <v>14</v>
      </c>
      <c r="B118" s="27" t="s">
        <v>113</v>
      </c>
      <c r="C118" s="20"/>
      <c r="D118" s="20"/>
      <c r="E118" s="20"/>
      <c r="F118" s="20"/>
      <c r="G118" s="20"/>
      <c r="H118" s="20"/>
      <c r="I118" s="20"/>
      <c r="J118" s="20"/>
      <c r="K118" s="20"/>
    </row>
    <row r="119" spans="1:18" x14ac:dyDescent="0.3">
      <c r="A119" s="18"/>
      <c r="B119" s="19" t="s">
        <v>50</v>
      </c>
      <c r="C119" s="20">
        <f>C106*2</f>
        <v>6</v>
      </c>
      <c r="D119" s="21">
        <f>N113-O113*2</f>
        <v>1.2163181956720512</v>
      </c>
      <c r="E119" s="21">
        <f>O113</f>
        <v>0.23</v>
      </c>
      <c r="F119" s="21">
        <f>P113</f>
        <v>0.6</v>
      </c>
      <c r="G119" s="21">
        <f>PRODUCT(C119:F119)</f>
        <v>1.0071114660164584</v>
      </c>
      <c r="H119" s="20"/>
      <c r="I119" s="20"/>
      <c r="J119" s="20"/>
      <c r="K119" s="20"/>
    </row>
    <row r="120" spans="1:18" x14ac:dyDescent="0.3">
      <c r="A120" s="18"/>
      <c r="B120" s="19" t="s">
        <v>51</v>
      </c>
      <c r="C120" s="20">
        <f>C106</f>
        <v>3</v>
      </c>
      <c r="D120" s="21">
        <f>M113-R113</f>
        <v>1.3197195976836331</v>
      </c>
      <c r="E120" s="21">
        <f>O113</f>
        <v>0.23</v>
      </c>
      <c r="F120" s="21">
        <f>P113</f>
        <v>0.6</v>
      </c>
      <c r="G120" s="21">
        <f>PRODUCT(C120:F120)</f>
        <v>0.54636391344102408</v>
      </c>
      <c r="H120" s="20"/>
      <c r="I120" s="20"/>
      <c r="J120" s="20"/>
      <c r="K120" s="20"/>
    </row>
    <row r="121" spans="1:18" x14ac:dyDescent="0.3">
      <c r="A121" s="18"/>
      <c r="B121" s="19" t="str">
        <f>B112</f>
        <v>-for stand tap</v>
      </c>
      <c r="C121" s="20">
        <f>C106</f>
        <v>3</v>
      </c>
      <c r="D121" s="21">
        <f>R113</f>
        <v>0.35659859798841814</v>
      </c>
      <c r="E121" s="21">
        <f>O113</f>
        <v>0.23</v>
      </c>
      <c r="F121" s="21">
        <f>Q113</f>
        <v>1.2</v>
      </c>
      <c r="G121" s="21">
        <f>PRODUCT(C121:F121)</f>
        <v>0.29526363913441023</v>
      </c>
      <c r="H121" s="20"/>
      <c r="I121" s="20"/>
      <c r="J121" s="20"/>
      <c r="K121" s="20"/>
    </row>
    <row r="122" spans="1:18" ht="15" customHeight="1" x14ac:dyDescent="0.3">
      <c r="A122" s="12"/>
      <c r="B122" s="13" t="s">
        <v>16</v>
      </c>
      <c r="C122" s="14"/>
      <c r="D122" s="1"/>
      <c r="E122" s="15"/>
      <c r="F122" s="15"/>
      <c r="G122" s="2">
        <f>SUM(G119:G121)</f>
        <v>1.8487390185918926</v>
      </c>
      <c r="H122" s="16" t="s">
        <v>29</v>
      </c>
      <c r="I122" s="2">
        <v>12225.55</v>
      </c>
      <c r="J122" s="17">
        <f>G122*I122</f>
        <v>22601.851308746111</v>
      </c>
      <c r="K122" s="15"/>
    </row>
    <row r="123" spans="1:18" x14ac:dyDescent="0.3">
      <c r="A123" s="18"/>
      <c r="B123" s="19" t="s">
        <v>112</v>
      </c>
      <c r="C123" s="20"/>
      <c r="D123" s="20"/>
      <c r="E123" s="20"/>
      <c r="F123" s="20"/>
      <c r="G123" s="20"/>
      <c r="H123" s="20"/>
      <c r="I123" s="20"/>
      <c r="J123" s="17">
        <f>0.13*G122*8481.2</f>
        <v>2038.3382973826031</v>
      </c>
      <c r="K123" s="20"/>
    </row>
    <row r="124" spans="1:18" x14ac:dyDescent="0.3">
      <c r="A124" s="18"/>
      <c r="B124" s="19" t="s">
        <v>47</v>
      </c>
      <c r="C124" s="20"/>
      <c r="D124" s="20"/>
      <c r="E124" s="20"/>
      <c r="F124" s="20"/>
      <c r="G124" s="20"/>
      <c r="H124" s="20"/>
      <c r="I124" s="20"/>
      <c r="J124" s="17">
        <f>0.13*G122*896</f>
        <v>215.34112088558365</v>
      </c>
      <c r="K124" s="20"/>
    </row>
    <row r="125" spans="1:18" x14ac:dyDescent="0.3">
      <c r="A125" s="18"/>
      <c r="B125" s="19" t="s">
        <v>45</v>
      </c>
      <c r="C125" s="20"/>
      <c r="D125" s="20"/>
      <c r="E125" s="20"/>
      <c r="F125" s="20"/>
      <c r="G125" s="20"/>
      <c r="H125" s="20"/>
      <c r="I125" s="20"/>
      <c r="J125" s="17">
        <f>0.13*G122*952.76</f>
        <v>228.98259635596952</v>
      </c>
      <c r="K125" s="20"/>
    </row>
    <row r="126" spans="1:18" x14ac:dyDescent="0.3">
      <c r="A126" s="18"/>
      <c r="B126" s="20"/>
      <c r="C126" s="20"/>
      <c r="D126" s="20"/>
      <c r="E126" s="20"/>
      <c r="F126" s="20"/>
      <c r="G126" s="20"/>
      <c r="H126" s="20"/>
      <c r="I126" s="20"/>
      <c r="J126" s="20"/>
      <c r="K126" s="20"/>
    </row>
    <row r="127" spans="1:18" x14ac:dyDescent="0.3">
      <c r="A127" s="18">
        <v>15</v>
      </c>
      <c r="B127" s="27" t="s">
        <v>57</v>
      </c>
      <c r="C127" s="20"/>
      <c r="D127" s="20"/>
      <c r="E127" s="20"/>
      <c r="F127" s="20"/>
      <c r="G127" s="20"/>
      <c r="H127" s="20"/>
      <c r="I127" s="20"/>
      <c r="J127" s="20"/>
      <c r="K127" s="20"/>
    </row>
    <row r="128" spans="1:18" x14ac:dyDescent="0.3">
      <c r="A128" s="18"/>
      <c r="B128" s="19" t="str">
        <f>B119</f>
        <v>-for wing walls of stand tap</v>
      </c>
      <c r="C128" s="20">
        <f>C106*4</f>
        <v>12</v>
      </c>
      <c r="D128" s="21">
        <f>M113-O113*2</f>
        <v>1.2163181956720512</v>
      </c>
      <c r="E128" s="21"/>
      <c r="F128" s="21">
        <f>P113</f>
        <v>0.6</v>
      </c>
      <c r="G128" s="21">
        <f>PRODUCT(C128:F128)</f>
        <v>8.7574910088387679</v>
      </c>
      <c r="H128" s="20"/>
      <c r="I128" s="20"/>
      <c r="J128" s="20"/>
      <c r="K128" s="20"/>
    </row>
    <row r="129" spans="1:11" x14ac:dyDescent="0.3">
      <c r="A129" s="18"/>
      <c r="B129" s="19" t="str">
        <f>B120</f>
        <v>-for side wall of stand tap</v>
      </c>
      <c r="C129" s="20">
        <f>C106</f>
        <v>3</v>
      </c>
      <c r="D129" s="21">
        <f>M113-R113</f>
        <v>1.3197195976836331</v>
      </c>
      <c r="E129" s="21"/>
      <c r="F129" s="21">
        <f>P113</f>
        <v>0.6</v>
      </c>
      <c r="G129" s="21">
        <f>PRODUCT(C129:F129)</f>
        <v>2.3754952758305392</v>
      </c>
      <c r="H129" s="20"/>
      <c r="I129" s="20"/>
      <c r="J129" s="20"/>
      <c r="K129" s="20"/>
    </row>
    <row r="130" spans="1:11" x14ac:dyDescent="0.3">
      <c r="A130" s="18"/>
      <c r="B130" s="19" t="str">
        <f>B121</f>
        <v>-for stand tap</v>
      </c>
      <c r="C130" s="20">
        <f>C106</f>
        <v>3</v>
      </c>
      <c r="D130" s="21">
        <f>R113</f>
        <v>0.35659859798841814</v>
      </c>
      <c r="E130" s="21"/>
      <c r="F130" s="21">
        <f>Q113</f>
        <v>1.2</v>
      </c>
      <c r="G130" s="21">
        <f>PRODUCT(C130:F130)</f>
        <v>1.2837549527583054</v>
      </c>
      <c r="H130" s="20"/>
      <c r="I130" s="20"/>
      <c r="J130" s="20"/>
      <c r="K130" s="20"/>
    </row>
    <row r="131" spans="1:11" x14ac:dyDescent="0.3">
      <c r="A131" s="18"/>
      <c r="B131" s="19"/>
      <c r="C131" s="20">
        <f>C130</f>
        <v>3</v>
      </c>
      <c r="D131" s="21">
        <f>O113*2</f>
        <v>0.46</v>
      </c>
      <c r="E131" s="21"/>
      <c r="F131" s="21">
        <f>Q113-P113</f>
        <v>0.6</v>
      </c>
      <c r="G131" s="21">
        <f>PRODUCT(C131:F131)</f>
        <v>0.82800000000000007</v>
      </c>
      <c r="H131" s="20"/>
      <c r="I131" s="20"/>
      <c r="J131" s="20"/>
      <c r="K131" s="20"/>
    </row>
    <row r="132" spans="1:11" ht="15" customHeight="1" x14ac:dyDescent="0.3">
      <c r="A132" s="12"/>
      <c r="B132" s="13" t="s">
        <v>16</v>
      </c>
      <c r="C132" s="14"/>
      <c r="D132" s="1"/>
      <c r="E132" s="15"/>
      <c r="F132" s="15"/>
      <c r="G132" s="2">
        <f>SUM(G128:G131)</f>
        <v>13.244741237427613</v>
      </c>
      <c r="H132" s="16" t="s">
        <v>49</v>
      </c>
      <c r="I132" s="2">
        <f>49954.32/100</f>
        <v>499.54320000000001</v>
      </c>
      <c r="J132" s="17">
        <f>G132*I132</f>
        <v>6616.3204209165497</v>
      </c>
      <c r="K132" s="15"/>
    </row>
    <row r="133" spans="1:11" x14ac:dyDescent="0.3">
      <c r="A133" s="18"/>
      <c r="B133" s="19" t="s">
        <v>45</v>
      </c>
      <c r="C133" s="20"/>
      <c r="D133" s="20"/>
      <c r="E133" s="20"/>
      <c r="F133" s="20"/>
      <c r="G133" s="20"/>
      <c r="H133" s="20"/>
      <c r="I133" s="20"/>
      <c r="J133" s="17">
        <f>0.13*G132*7463.32/100</f>
        <v>128.50466482375373</v>
      </c>
      <c r="K133" s="20"/>
    </row>
    <row r="134" spans="1:11" x14ac:dyDescent="0.3">
      <c r="A134" s="18"/>
      <c r="B134" s="19" t="s">
        <v>47</v>
      </c>
      <c r="C134" s="20"/>
      <c r="D134" s="20"/>
      <c r="E134" s="20"/>
      <c r="F134" s="20"/>
      <c r="G134" s="20"/>
      <c r="H134" s="20"/>
      <c r="I134" s="20"/>
      <c r="J134" s="17">
        <f>0.13*G132*7296/100</f>
        <v>125.62372168875341</v>
      </c>
      <c r="K134" s="20"/>
    </row>
    <row r="135" spans="1:11" x14ac:dyDescent="0.3">
      <c r="A135" s="18"/>
      <c r="B135" s="20"/>
      <c r="C135" s="20"/>
      <c r="D135" s="20"/>
      <c r="E135" s="20"/>
      <c r="F135" s="20"/>
      <c r="G135" s="20"/>
      <c r="H135" s="20"/>
      <c r="I135" s="20"/>
      <c r="J135" s="20"/>
      <c r="K135" s="20"/>
    </row>
    <row r="136" spans="1:11" x14ac:dyDescent="0.3">
      <c r="A136" s="18">
        <v>16</v>
      </c>
      <c r="B136" s="27" t="s">
        <v>58</v>
      </c>
      <c r="C136" s="20"/>
      <c r="D136" s="20"/>
      <c r="E136" s="20"/>
      <c r="F136" s="20"/>
      <c r="G136" s="20"/>
      <c r="H136" s="20"/>
      <c r="I136" s="20"/>
      <c r="J136" s="20"/>
      <c r="K136" s="20"/>
    </row>
    <row r="137" spans="1:11" x14ac:dyDescent="0.3">
      <c r="A137" s="18"/>
      <c r="B137" s="19" t="str">
        <f t="shared" ref="B137:D139" si="9">B128</f>
        <v>-for wing walls of stand tap</v>
      </c>
      <c r="C137" s="20">
        <f t="shared" si="9"/>
        <v>12</v>
      </c>
      <c r="D137" s="21">
        <f t="shared" si="9"/>
        <v>1.2163181956720512</v>
      </c>
      <c r="E137" s="21"/>
      <c r="F137" s="21">
        <f>F128</f>
        <v>0.6</v>
      </c>
      <c r="G137" s="21">
        <f>PRODUCT(C137:F137)</f>
        <v>8.7574910088387679</v>
      </c>
      <c r="H137" s="20"/>
      <c r="I137" s="20"/>
      <c r="J137" s="20"/>
      <c r="K137" s="20"/>
    </row>
    <row r="138" spans="1:11" x14ac:dyDescent="0.3">
      <c r="A138" s="18"/>
      <c r="B138" s="19" t="str">
        <f t="shared" si="9"/>
        <v>-for side wall of stand tap</v>
      </c>
      <c r="C138" s="20">
        <f t="shared" si="9"/>
        <v>3</v>
      </c>
      <c r="D138" s="21">
        <f t="shared" si="9"/>
        <v>1.3197195976836331</v>
      </c>
      <c r="E138" s="21"/>
      <c r="F138" s="21">
        <f t="shared" ref="F138:F140" si="10">F129</f>
        <v>0.6</v>
      </c>
      <c r="G138" s="21">
        <f>PRODUCT(C138:F138)</f>
        <v>2.3754952758305392</v>
      </c>
      <c r="H138" s="20"/>
      <c r="I138" s="20"/>
      <c r="J138" s="20"/>
      <c r="K138" s="20"/>
    </row>
    <row r="139" spans="1:11" x14ac:dyDescent="0.3">
      <c r="A139" s="18"/>
      <c r="B139" s="19" t="str">
        <f t="shared" si="9"/>
        <v>-for stand tap</v>
      </c>
      <c r="C139" s="20">
        <f t="shared" si="9"/>
        <v>3</v>
      </c>
      <c r="D139" s="21">
        <f t="shared" si="9"/>
        <v>0.35659859798841814</v>
      </c>
      <c r="E139" s="21"/>
      <c r="F139" s="21">
        <f t="shared" si="10"/>
        <v>1.2</v>
      </c>
      <c r="G139" s="21">
        <f>PRODUCT(C139:F139)</f>
        <v>1.2837549527583054</v>
      </c>
      <c r="H139" s="20"/>
      <c r="I139" s="20"/>
      <c r="J139" s="20"/>
      <c r="K139" s="20"/>
    </row>
    <row r="140" spans="1:11" x14ac:dyDescent="0.3">
      <c r="A140" s="18"/>
      <c r="B140" s="19"/>
      <c r="C140" s="20">
        <f>C131</f>
        <v>3</v>
      </c>
      <c r="D140" s="21">
        <f>D131</f>
        <v>0.46</v>
      </c>
      <c r="E140" s="21"/>
      <c r="F140" s="21">
        <f t="shared" si="10"/>
        <v>0.6</v>
      </c>
      <c r="G140" s="21">
        <f>PRODUCT(C140:F140)</f>
        <v>0.82800000000000007</v>
      </c>
      <c r="H140" s="20"/>
      <c r="I140" s="20"/>
      <c r="J140" s="20"/>
      <c r="K140" s="20"/>
    </row>
    <row r="141" spans="1:11" x14ac:dyDescent="0.3">
      <c r="A141" s="18"/>
      <c r="B141" s="19" t="s">
        <v>59</v>
      </c>
      <c r="C141" s="20">
        <f>C106</f>
        <v>3</v>
      </c>
      <c r="D141" s="21">
        <f>M113</f>
        <v>1.6763181956720512</v>
      </c>
      <c r="E141" s="21">
        <f>N113</f>
        <v>1.6763181956720512</v>
      </c>
      <c r="F141" s="21"/>
      <c r="G141" s="21">
        <f>PRODUCT(C141:F141)</f>
        <v>8.4301280794236035</v>
      </c>
      <c r="H141" s="20"/>
      <c r="I141" s="20"/>
      <c r="J141" s="20"/>
      <c r="K141" s="20"/>
    </row>
    <row r="142" spans="1:11" ht="15" customHeight="1" x14ac:dyDescent="0.3">
      <c r="A142" s="12"/>
      <c r="B142" s="13" t="s">
        <v>16</v>
      </c>
      <c r="C142" s="14"/>
      <c r="D142" s="1"/>
      <c r="E142" s="15"/>
      <c r="F142" s="15"/>
      <c r="G142" s="2">
        <f>SUM(G137:G141)</f>
        <v>21.674869316851215</v>
      </c>
      <c r="H142" s="16" t="s">
        <v>49</v>
      </c>
      <c r="I142" s="2">
        <f>28609.6/100</f>
        <v>286.096</v>
      </c>
      <c r="J142" s="17">
        <f>G142*I142</f>
        <v>6201.0934120738648</v>
      </c>
      <c r="K142" s="15"/>
    </row>
    <row r="143" spans="1:11" x14ac:dyDescent="0.3">
      <c r="A143" s="18"/>
      <c r="B143" s="19" t="s">
        <v>47</v>
      </c>
      <c r="C143" s="20"/>
      <c r="D143" s="20"/>
      <c r="E143" s="20"/>
      <c r="F143" s="20"/>
      <c r="G143" s="20"/>
      <c r="H143" s="20"/>
      <c r="I143" s="20"/>
      <c r="J143" s="17">
        <f>0.13*G142*6809.6/100</f>
        <v>191.87634713003908</v>
      </c>
      <c r="K143" s="20"/>
    </row>
    <row r="144" spans="1:11" x14ac:dyDescent="0.3">
      <c r="A144" s="18"/>
      <c r="B144" s="20"/>
      <c r="C144" s="20"/>
      <c r="D144" s="20"/>
      <c r="E144" s="20"/>
      <c r="F144" s="20"/>
      <c r="G144" s="20"/>
      <c r="H144" s="20"/>
      <c r="I144" s="20"/>
      <c r="J144" s="20"/>
      <c r="K144" s="20"/>
    </row>
    <row r="145" spans="1:11" ht="28.8" x14ac:dyDescent="0.3">
      <c r="A145" s="18">
        <v>17</v>
      </c>
      <c r="B145" s="46" t="s">
        <v>60</v>
      </c>
      <c r="C145" s="20"/>
      <c r="D145" s="20"/>
      <c r="E145" s="20"/>
      <c r="F145" s="20"/>
      <c r="G145" s="20"/>
      <c r="H145" s="20"/>
      <c r="I145" s="20"/>
      <c r="J145" s="20"/>
      <c r="K145" s="20"/>
    </row>
    <row r="146" spans="1:11" x14ac:dyDescent="0.3">
      <c r="A146" s="18"/>
      <c r="B146" s="19" t="s">
        <v>36</v>
      </c>
      <c r="C146" s="20">
        <f>C106</f>
        <v>3</v>
      </c>
      <c r="D146" s="21">
        <f>Q113</f>
        <v>1.2</v>
      </c>
      <c r="E146" s="20"/>
      <c r="F146" s="20"/>
      <c r="G146" s="21">
        <f t="shared" ref="G146" si="11">PRODUCT(C146:F146)</f>
        <v>3.5999999999999996</v>
      </c>
      <c r="H146" s="20"/>
      <c r="I146" s="20"/>
      <c r="J146" s="17"/>
      <c r="K146" s="20"/>
    </row>
    <row r="147" spans="1:11" s="10" customFormat="1" x14ac:dyDescent="0.3">
      <c r="A147" s="12"/>
      <c r="B147" s="47" t="s">
        <v>28</v>
      </c>
      <c r="C147" s="14"/>
      <c r="D147" s="1"/>
      <c r="E147" s="15"/>
      <c r="F147" s="15"/>
      <c r="G147" s="48">
        <f>SUM(G146:G146)</f>
        <v>3.5999999999999996</v>
      </c>
      <c r="H147" s="16" t="s">
        <v>37</v>
      </c>
      <c r="I147" s="2">
        <v>248</v>
      </c>
      <c r="J147" s="48">
        <f>G147*I147</f>
        <v>892.8</v>
      </c>
      <c r="K147" s="15"/>
    </row>
    <row r="148" spans="1:11" x14ac:dyDescent="0.3">
      <c r="A148" s="18"/>
      <c r="B148" s="19" t="s">
        <v>61</v>
      </c>
      <c r="C148" s="20"/>
      <c r="D148" s="20"/>
      <c r="E148" s="20"/>
      <c r="F148" s="20"/>
      <c r="G148" s="20"/>
      <c r="H148" s="20"/>
      <c r="I148" s="20"/>
      <c r="J148" s="17">
        <f>0.13*J147</f>
        <v>116.06399999999999</v>
      </c>
      <c r="K148" s="20"/>
    </row>
    <row r="149" spans="1:11" x14ac:dyDescent="0.3">
      <c r="A149" s="18"/>
      <c r="B149" s="46"/>
      <c r="C149" s="20"/>
      <c r="D149" s="20"/>
      <c r="E149" s="20"/>
      <c r="F149" s="20"/>
      <c r="G149" s="20"/>
      <c r="H149" s="20"/>
      <c r="I149" s="20"/>
      <c r="J149" s="20"/>
      <c r="K149" s="20"/>
    </row>
    <row r="150" spans="1:11" s="10" customFormat="1" ht="27.6" x14ac:dyDescent="0.3">
      <c r="A150" s="12">
        <v>18</v>
      </c>
      <c r="B150" s="49" t="s">
        <v>38</v>
      </c>
      <c r="C150" s="14">
        <v>1</v>
      </c>
      <c r="D150" s="1"/>
      <c r="E150" s="15"/>
      <c r="F150" s="15"/>
      <c r="G150" s="48">
        <f t="shared" ref="G150" si="12">PRODUCT(C150:F150)</f>
        <v>1</v>
      </c>
      <c r="H150" s="16" t="s">
        <v>39</v>
      </c>
      <c r="I150" s="2">
        <v>5000</v>
      </c>
      <c r="J150" s="48">
        <f>G150*I150</f>
        <v>5000</v>
      </c>
      <c r="K150" s="15"/>
    </row>
    <row r="151" spans="1:11" x14ac:dyDescent="0.3">
      <c r="A151" s="18"/>
      <c r="B151" s="46"/>
      <c r="C151" s="20"/>
      <c r="D151" s="20"/>
      <c r="E151" s="20"/>
      <c r="F151" s="20"/>
      <c r="G151" s="20"/>
      <c r="H151" s="20"/>
      <c r="I151" s="20"/>
      <c r="J151" s="20"/>
      <c r="K151" s="20"/>
    </row>
    <row r="152" spans="1:11" ht="15.6" x14ac:dyDescent="0.3">
      <c r="A152" s="5" t="s">
        <v>41</v>
      </c>
      <c r="B152" s="6" t="s">
        <v>42</v>
      </c>
      <c r="C152" s="5"/>
      <c r="D152" s="7"/>
      <c r="E152" s="7"/>
      <c r="F152" s="7"/>
      <c r="G152" s="7"/>
      <c r="H152" s="5"/>
      <c r="I152" s="7"/>
      <c r="J152" s="7"/>
      <c r="K152" s="8"/>
    </row>
    <row r="153" spans="1:11" ht="150" x14ac:dyDescent="0.3">
      <c r="A153" s="18">
        <v>19</v>
      </c>
      <c r="B153" s="46" t="s">
        <v>119</v>
      </c>
      <c r="C153" s="20"/>
      <c r="D153" s="20"/>
      <c r="E153" s="20"/>
      <c r="F153" s="20"/>
      <c r="G153" s="20"/>
      <c r="H153" s="20"/>
      <c r="I153" s="20"/>
      <c r="J153" s="17"/>
      <c r="K153" s="20"/>
    </row>
    <row r="154" spans="1:11" x14ac:dyDescent="0.3">
      <c r="A154" s="18"/>
      <c r="B154" s="19" t="s">
        <v>40</v>
      </c>
      <c r="C154" s="20">
        <v>1</v>
      </c>
      <c r="D154" s="21">
        <v>650</v>
      </c>
      <c r="E154" s="20">
        <v>0.3</v>
      </c>
      <c r="F154" s="20">
        <v>0.45</v>
      </c>
      <c r="G154" s="21">
        <f t="shared" ref="G154" si="13">PRODUCT(C154:F154)</f>
        <v>87.75</v>
      </c>
      <c r="H154" s="20"/>
      <c r="I154" s="20"/>
      <c r="J154" s="17"/>
      <c r="K154" s="20"/>
    </row>
    <row r="155" spans="1:11" s="10" customFormat="1" x14ac:dyDescent="0.3">
      <c r="A155" s="12"/>
      <c r="B155" s="47" t="s">
        <v>28</v>
      </c>
      <c r="C155" s="14"/>
      <c r="D155" s="1"/>
      <c r="E155" s="15"/>
      <c r="F155" s="15"/>
      <c r="G155" s="48">
        <f>SUM(G154:G154)</f>
        <v>87.75</v>
      </c>
      <c r="H155" s="16" t="s">
        <v>29</v>
      </c>
      <c r="I155" s="2">
        <v>748.9</v>
      </c>
      <c r="J155" s="48">
        <f>G155*I155</f>
        <v>65715.974999999991</v>
      </c>
      <c r="K155" s="15"/>
    </row>
    <row r="156" spans="1:11" x14ac:dyDescent="0.3">
      <c r="A156" s="18"/>
      <c r="B156" s="19"/>
      <c r="C156" s="20"/>
      <c r="D156" s="20"/>
      <c r="E156" s="20"/>
      <c r="F156" s="20"/>
      <c r="G156" s="20"/>
      <c r="H156" s="20"/>
      <c r="I156" s="20"/>
      <c r="J156" s="17"/>
      <c r="K156" s="20"/>
    </row>
    <row r="157" spans="1:11" ht="28.8" x14ac:dyDescent="0.3">
      <c r="A157" s="18">
        <v>20</v>
      </c>
      <c r="B157" s="46" t="s">
        <v>116</v>
      </c>
      <c r="C157" s="20"/>
      <c r="D157" s="20"/>
      <c r="E157" s="20"/>
      <c r="F157" s="20"/>
      <c r="G157" s="20"/>
      <c r="H157" s="20"/>
      <c r="I157" s="20"/>
      <c r="J157" s="20"/>
      <c r="K157" s="20"/>
    </row>
    <row r="158" spans="1:11" x14ac:dyDescent="0.3">
      <c r="A158" s="18"/>
      <c r="B158" s="19" t="s">
        <v>36</v>
      </c>
      <c r="C158" s="20">
        <v>1</v>
      </c>
      <c r="D158" s="21">
        <f>D154</f>
        <v>650</v>
      </c>
      <c r="E158" s="20"/>
      <c r="F158" s="20"/>
      <c r="G158" s="21">
        <f t="shared" ref="G158" si="14">PRODUCT(C158:F158)</f>
        <v>650</v>
      </c>
      <c r="H158" s="20"/>
      <c r="I158" s="20"/>
      <c r="J158" s="17"/>
      <c r="K158" s="20"/>
    </row>
    <row r="159" spans="1:11" s="10" customFormat="1" x14ac:dyDescent="0.3">
      <c r="A159" s="12"/>
      <c r="B159" s="47" t="s">
        <v>28</v>
      </c>
      <c r="C159" s="14"/>
      <c r="D159" s="1"/>
      <c r="E159" s="15"/>
      <c r="F159" s="15"/>
      <c r="G159" s="48">
        <f>SUM(G158:G158)</f>
        <v>650</v>
      </c>
      <c r="H159" s="16" t="s">
        <v>37</v>
      </c>
      <c r="I159" s="2">
        <f>5319.5/1000</f>
        <v>5.3194999999999997</v>
      </c>
      <c r="J159" s="48">
        <f>G159*I159</f>
        <v>3457.6749999999997</v>
      </c>
      <c r="K159" s="15"/>
    </row>
    <row r="160" spans="1:11" x14ac:dyDescent="0.3">
      <c r="A160" s="18"/>
      <c r="B160" s="46"/>
      <c r="C160" s="20"/>
      <c r="D160" s="20"/>
      <c r="E160" s="20"/>
      <c r="F160" s="20"/>
      <c r="G160" s="20"/>
      <c r="H160" s="20"/>
      <c r="I160" s="20"/>
      <c r="J160" s="20"/>
      <c r="K160" s="20"/>
    </row>
    <row r="161" spans="1:11" ht="43.2" x14ac:dyDescent="0.3">
      <c r="A161" s="18">
        <v>21</v>
      </c>
      <c r="B161" s="50" t="s">
        <v>30</v>
      </c>
      <c r="C161" s="20"/>
      <c r="D161" s="27" t="s">
        <v>27</v>
      </c>
      <c r="E161" s="27" t="s">
        <v>31</v>
      </c>
      <c r="F161" s="27" t="s">
        <v>32</v>
      </c>
      <c r="G161" s="20"/>
      <c r="H161" s="20"/>
      <c r="I161" s="20"/>
      <c r="J161" s="17"/>
      <c r="K161" s="20"/>
    </row>
    <row r="162" spans="1:11" s="10" customFormat="1" ht="28.8" x14ac:dyDescent="0.3">
      <c r="A162" s="18"/>
      <c r="B162" s="51" t="s">
        <v>115</v>
      </c>
      <c r="C162" s="28">
        <v>1</v>
      </c>
      <c r="D162" s="37">
        <f>D154</f>
        <v>650</v>
      </c>
      <c r="E162" s="28">
        <v>0.33800000000000002</v>
      </c>
      <c r="F162" s="28">
        <f>C162*D162*E162</f>
        <v>219.70000000000002</v>
      </c>
      <c r="G162" s="37">
        <f>F162</f>
        <v>219.70000000000002</v>
      </c>
      <c r="H162" s="28"/>
      <c r="I162" s="28"/>
      <c r="J162" s="16"/>
      <c r="K162" s="28"/>
    </row>
    <row r="163" spans="1:11" ht="15" customHeight="1" x14ac:dyDescent="0.3">
      <c r="A163" s="12"/>
      <c r="B163" s="13" t="s">
        <v>16</v>
      </c>
      <c r="C163" s="14"/>
      <c r="D163" s="1"/>
      <c r="E163" s="15"/>
      <c r="F163" s="15"/>
      <c r="G163" s="2">
        <f>SUM(G162:G162)</f>
        <v>219.70000000000002</v>
      </c>
      <c r="H163" s="16" t="s">
        <v>33</v>
      </c>
      <c r="I163" s="2">
        <v>287</v>
      </c>
      <c r="J163" s="17">
        <f>G163*I163</f>
        <v>63053.9</v>
      </c>
      <c r="K163" s="15"/>
    </row>
    <row r="164" spans="1:11" x14ac:dyDescent="0.3">
      <c r="A164" s="18"/>
      <c r="B164" s="19" t="s">
        <v>35</v>
      </c>
      <c r="C164" s="20"/>
      <c r="D164" s="20"/>
      <c r="E164" s="20"/>
      <c r="F164" s="20"/>
      <c r="G164" s="20"/>
      <c r="H164" s="20"/>
      <c r="I164" s="20"/>
      <c r="J164" s="17">
        <f>0.13*J163</f>
        <v>8197.0069999999996</v>
      </c>
      <c r="K164" s="20"/>
    </row>
    <row r="165" spans="1:11" x14ac:dyDescent="0.3">
      <c r="A165" s="18"/>
      <c r="B165" s="20"/>
      <c r="C165" s="20"/>
      <c r="D165" s="20"/>
      <c r="E165" s="20"/>
      <c r="F165" s="20"/>
      <c r="G165" s="20"/>
      <c r="H165" s="20"/>
      <c r="I165" s="20"/>
      <c r="J165" s="20"/>
      <c r="K165" s="20"/>
    </row>
    <row r="166" spans="1:11" ht="15" customHeight="1" x14ac:dyDescent="0.3">
      <c r="A166" s="12">
        <v>22</v>
      </c>
      <c r="B166" s="29" t="s">
        <v>17</v>
      </c>
      <c r="C166" s="14">
        <v>1</v>
      </c>
      <c r="D166" s="1"/>
      <c r="E166" s="15"/>
      <c r="F166" s="15"/>
      <c r="G166" s="16">
        <f t="shared" ref="G166" si="15">PRODUCT(C166:F166)</f>
        <v>1</v>
      </c>
      <c r="H166" s="16" t="s">
        <v>18</v>
      </c>
      <c r="I166" s="2">
        <v>500</v>
      </c>
      <c r="J166" s="16">
        <f>G166*I166</f>
        <v>500</v>
      </c>
      <c r="K166" s="15"/>
    </row>
    <row r="167" spans="1:11" x14ac:dyDescent="0.3">
      <c r="A167" s="12"/>
      <c r="B167" s="30"/>
      <c r="C167" s="14"/>
      <c r="D167" s="1"/>
      <c r="E167" s="15"/>
      <c r="F167" s="15"/>
      <c r="G167" s="2"/>
      <c r="H167" s="16"/>
      <c r="I167" s="2"/>
      <c r="J167" s="17"/>
      <c r="K167" s="15"/>
    </row>
    <row r="168" spans="1:11" x14ac:dyDescent="0.3">
      <c r="A168" s="31"/>
      <c r="B168" s="32" t="s">
        <v>20</v>
      </c>
      <c r="C168" s="33"/>
      <c r="D168" s="34"/>
      <c r="E168" s="34"/>
      <c r="F168" s="34"/>
      <c r="G168" s="17"/>
      <c r="H168" s="17"/>
      <c r="I168" s="17"/>
      <c r="J168" s="17">
        <f>SUM(J10:J166)</f>
        <v>583080.07077105879</v>
      </c>
      <c r="K168" s="35"/>
    </row>
    <row r="170" spans="1:11" s="10" customFormat="1" x14ac:dyDescent="0.3">
      <c r="A170" s="36"/>
      <c r="B170" s="28" t="s">
        <v>19</v>
      </c>
      <c r="C170" s="60">
        <f>J168</f>
        <v>583080.07077105879</v>
      </c>
      <c r="D170" s="61"/>
      <c r="E170" s="37">
        <v>100</v>
      </c>
      <c r="F170" s="36"/>
      <c r="G170" s="38"/>
      <c r="H170" s="36"/>
      <c r="I170" s="39"/>
      <c r="J170" s="40"/>
      <c r="K170" s="41"/>
    </row>
    <row r="171" spans="1:11" x14ac:dyDescent="0.3">
      <c r="B171" s="28" t="s">
        <v>21</v>
      </c>
      <c r="C171" s="62">
        <v>500000</v>
      </c>
      <c r="D171" s="63"/>
      <c r="E171" s="37"/>
    </row>
    <row r="172" spans="1:11" x14ac:dyDescent="0.3">
      <c r="B172" s="28" t="s">
        <v>22</v>
      </c>
      <c r="C172" s="62">
        <f>C171-C174-C175</f>
        <v>475000</v>
      </c>
      <c r="D172" s="63"/>
      <c r="E172" s="37">
        <f>C172/C170*100</f>
        <v>81.463940170663889</v>
      </c>
    </row>
    <row r="173" spans="1:11" x14ac:dyDescent="0.3">
      <c r="B173" s="28" t="s">
        <v>26</v>
      </c>
      <c r="C173" s="64">
        <f>C170-C172</f>
        <v>108080.07077105879</v>
      </c>
      <c r="D173" s="64"/>
      <c r="E173" s="37">
        <f>100-E172</f>
        <v>18.536059829336111</v>
      </c>
    </row>
    <row r="174" spans="1:11" x14ac:dyDescent="0.3">
      <c r="B174" s="28" t="s">
        <v>23</v>
      </c>
      <c r="C174" s="60">
        <f>C171*0.03</f>
        <v>15000</v>
      </c>
      <c r="D174" s="61"/>
      <c r="E174" s="37">
        <v>3</v>
      </c>
    </row>
    <row r="175" spans="1:11" x14ac:dyDescent="0.3">
      <c r="B175" s="28" t="s">
        <v>24</v>
      </c>
      <c r="C175" s="60">
        <f>C171*0.02</f>
        <v>10000</v>
      </c>
      <c r="D175" s="61"/>
      <c r="E175" s="37">
        <v>2</v>
      </c>
    </row>
  </sheetData>
  <mergeCells count="15">
    <mergeCell ref="C175:D175"/>
    <mergeCell ref="C170:D170"/>
    <mergeCell ref="C171:D171"/>
    <mergeCell ref="C172:D172"/>
    <mergeCell ref="C173:D173"/>
    <mergeCell ref="C174:D174"/>
    <mergeCell ref="A7:F7"/>
    <mergeCell ref="H7:K7"/>
    <mergeCell ref="A1:K1"/>
    <mergeCell ref="A2:K2"/>
    <mergeCell ref="A3:K3"/>
    <mergeCell ref="A4:K4"/>
    <mergeCell ref="A5:K5"/>
    <mergeCell ref="A6:F6"/>
    <mergeCell ref="H6:K6"/>
  </mergeCells>
  <pageMargins left="0.7" right="0.7" top="0.75" bottom="0.75" header="0.3" footer="0.3"/>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water tank</vt:lpstr>
      <vt:lpstr>'water tank'!Print_Area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2026-01-10T03:23:22Z</dcterms:modified>
</cp:coreProperties>
</file>