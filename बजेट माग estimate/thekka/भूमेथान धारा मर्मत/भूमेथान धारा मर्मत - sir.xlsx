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124226"/>
  <xr:revisionPtr revIDLastSave="0" documentId="13_ncr:1_{7AA7503B-DF60-49D0-9E2C-25511D25A0BF}" xr6:coauthVersionLast="47" xr6:coauthVersionMax="47" xr10:uidLastSave="{00000000-0000-0000-0000-000000000000}"/>
  <bookViews>
    <workbookView xWindow="-120" yWindow="-120" windowWidth="20730" windowHeight="11040" xr2:uid="{00000000-000D-0000-FFFF-FFFF00000000}"/>
  </bookViews>
  <sheets>
    <sheet name="estimate" sheetId="12" r:id="rId1"/>
  </sheets>
  <externalReferences>
    <externalReference r:id="rId2"/>
    <externalReference r:id="rId3"/>
    <externalReference r:id="rId4"/>
  </externalReferences>
  <definedNames>
    <definedName name="description_103">[1]Abstract!$B$16</definedName>
    <definedName name="description_124" localSheetId="0">#REF!</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 localSheetId="0">#REF!</definedName>
    <definedName name="description_310">#REF!</definedName>
    <definedName name="description_312" localSheetId="0">#REF!</definedName>
    <definedName name="description_312">#REF!</definedName>
    <definedName name="description_5">[1]Abstract!$B$171</definedName>
    <definedName name="description_6" localSheetId="0">#REF!</definedName>
    <definedName name="description_6">#REF!</definedName>
    <definedName name="description_759">[1]Abstract!$B$278</definedName>
    <definedName name="description_781" localSheetId="0">#REF!</definedName>
    <definedName name="description_781">#REF!</definedName>
    <definedName name="description_783">[1]Abstract!$B$301</definedName>
    <definedName name="description_784">[3]Abstract!$B$300</definedName>
    <definedName name="_xlnm.Print_Area" localSheetId="0">estimate!$A$1:$K$30</definedName>
    <definedName name="_xlnm.Print_Titles" localSheetId="0">estimate!$1:$8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4" i="12" l="1"/>
  <c r="I20" i="12"/>
  <c r="I15" i="12"/>
  <c r="I11" i="12"/>
  <c r="E10" i="12"/>
  <c r="E23" i="12" l="1"/>
  <c r="D23" i="12"/>
  <c r="N23" i="12"/>
  <c r="M23" i="12"/>
  <c r="N18" i="12"/>
  <c r="M18" i="12"/>
  <c r="D14" i="12"/>
  <c r="D18" i="12" s="1"/>
  <c r="D19" i="12" s="1"/>
  <c r="G19" i="12" s="1"/>
  <c r="B14" i="12"/>
  <c r="B18" i="12" s="1"/>
  <c r="B23" i="12" s="1"/>
  <c r="E14" i="12"/>
  <c r="N14" i="12"/>
  <c r="M14" i="12"/>
  <c r="P18" i="12" l="1"/>
  <c r="P23" i="12"/>
  <c r="G23" i="12"/>
  <c r="G24" i="12" s="1"/>
  <c r="G10" i="12"/>
  <c r="P14" i="12"/>
  <c r="G14" i="12"/>
  <c r="G15" i="12" s="1"/>
  <c r="E18" i="12"/>
  <c r="G18" i="12" s="1"/>
  <c r="G20" i="12" s="1"/>
  <c r="J24" i="12" l="1"/>
  <c r="J15" i="12"/>
  <c r="J20" i="12"/>
  <c r="N10" i="12" l="1"/>
  <c r="M10" i="12"/>
  <c r="P10" i="12" l="1"/>
  <c r="G11" i="12"/>
  <c r="J11" i="12" l="1"/>
  <c r="G26" i="12"/>
  <c r="J26" i="12" s="1"/>
  <c r="J28" i="12" l="1"/>
  <c r="C30" i="12" s="1"/>
</calcChain>
</file>

<file path=xl/sharedStrings.xml><?xml version="1.0" encoding="utf-8"?>
<sst xmlns="http://schemas.openxmlformats.org/spreadsheetml/2006/main" count="37" uniqueCount="31">
  <si>
    <t>Government of Nepal</t>
  </si>
  <si>
    <t>Shankharapur Municipality Office</t>
  </si>
  <si>
    <t>Bagmati Province</t>
  </si>
  <si>
    <t>Sankhu, Kathmandu</t>
  </si>
  <si>
    <t>Detail Estimated Sheet</t>
  </si>
  <si>
    <t>Location:- Shankharapur Municipality 9</t>
  </si>
  <si>
    <t>S.N.</t>
  </si>
  <si>
    <t>Description of work</t>
  </si>
  <si>
    <t>No.</t>
  </si>
  <si>
    <t>Length</t>
  </si>
  <si>
    <t>Breadth</t>
  </si>
  <si>
    <t>Height</t>
  </si>
  <si>
    <t>Quantity</t>
  </si>
  <si>
    <t>Unit</t>
  </si>
  <si>
    <t>Rate</t>
  </si>
  <si>
    <t>Amount</t>
  </si>
  <si>
    <t>Remark</t>
  </si>
  <si>
    <t>Sub-total</t>
  </si>
  <si>
    <t>m3</t>
  </si>
  <si>
    <t>Information board (सुचना पाटि)</t>
  </si>
  <si>
    <t>no.</t>
  </si>
  <si>
    <t>Total Estimated</t>
  </si>
  <si>
    <t>Total</t>
  </si>
  <si>
    <t xml:space="preserve">Date:                </t>
  </si>
  <si>
    <t>F.Y.: 2082/2083</t>
  </si>
  <si>
    <t>-for masonary wall</t>
  </si>
  <si>
    <t>Providing and laying of hand pack locally available Stone soling with 150 to 200 mm thick stones and packing with smaller stone on prepared surface as per Drawing and Technical Specifications.</t>
  </si>
  <si>
    <t>Providing and laying of Plain/Reinforced Cement Concrete in Foundation complete as per Drawing and Technical Specifications, PCC Grade M 15</t>
  </si>
  <si>
    <t>Random Rubble Masonry, Providing and laying of Stone Masonry Work in Cement Mortar 1:6 in Foundation complete as per Drawing and Technical Specifications., Using Concrete Mixer</t>
  </si>
  <si>
    <r>
      <t xml:space="preserve">Project:- </t>
    </r>
    <r>
      <rPr>
        <sz val="12"/>
        <rFont val="Preeti"/>
      </rPr>
      <t xml:space="preserve">e'd]yfg wf/f dd{t </t>
    </r>
  </si>
  <si>
    <t>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</si>
</sst>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4"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color theme="1"/>
      <name val="Times New Roman"/>
      <family val="2"/>
    </font>
    <font>
      <sz val="12"/>
      <name val="Preeti"/>
    </font>
  </fonts>
  <fills count="3">
    <fill>
      <patternFill patternType="none"/>
    </fill>
    <fill>
      <patternFill patternType="gray125"/>
    </fill>
    <fill>
      <patternFill patternType="solid">
        <fgColor theme="0"/>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48">
    <xf numFmtId="0" fontId="0" fillId="0" borderId="0" xfId="0"/>
    <xf numFmtId="1" fontId="2" fillId="0" borderId="2" xfId="0" applyNumberFormat="1" applyFont="1" applyBorder="1" applyAlignment="1">
      <alignment vertical="center" wrapText="1"/>
    </xf>
    <xf numFmtId="1" fontId="3" fillId="0" borderId="2" xfId="0" applyNumberFormat="1" applyFont="1" applyBorder="1" applyAlignment="1">
      <alignment vertical="center"/>
    </xf>
    <xf numFmtId="164" fontId="2" fillId="0" borderId="2" xfId="0" applyNumberFormat="1" applyFont="1" applyBorder="1" applyAlignment="1">
      <alignment vertical="center"/>
    </xf>
    <xf numFmtId="2" fontId="2" fillId="0" borderId="2" xfId="1" applyNumberFormat="1" applyFont="1" applyFill="1" applyBorder="1" applyAlignment="1">
      <alignment vertical="center"/>
    </xf>
    <xf numFmtId="2" fontId="2" fillId="0" borderId="2" xfId="0" applyNumberFormat="1" applyFont="1" applyBorder="1" applyAlignment="1">
      <alignment vertical="center"/>
    </xf>
    <xf numFmtId="2" fontId="3" fillId="0" borderId="2" xfId="1" applyNumberFormat="1" applyFont="1" applyFill="1" applyBorder="1" applyAlignment="1">
      <alignment vertical="center"/>
    </xf>
    <xf numFmtId="2" fontId="3" fillId="0" borderId="2" xfId="0" applyNumberFormat="1" applyFont="1" applyBorder="1" applyAlignment="1">
      <alignment vertical="center"/>
    </xf>
    <xf numFmtId="1" fontId="2" fillId="0" borderId="2" xfId="0" applyNumberFormat="1" applyFont="1" applyBorder="1" applyAlignment="1">
      <alignment horizontal="right" vertical="center" wrapText="1"/>
    </xf>
    <xf numFmtId="2" fontId="4" fillId="0" borderId="2" xfId="0" applyNumberFormat="1" applyFont="1" applyBorder="1" applyAlignment="1">
      <alignment vertical="center"/>
    </xf>
    <xf numFmtId="0" fontId="9" fillId="0" borderId="0" xfId="0" applyFont="1" applyAlignment="1">
      <alignment horizontal="center"/>
    </xf>
    <xf numFmtId="43" fontId="9" fillId="0" borderId="0" xfId="1" applyFont="1"/>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Border="1" applyAlignment="1">
      <alignment horizontal="center"/>
    </xf>
    <xf numFmtId="0" fontId="9" fillId="0" borderId="2" xfId="0" applyFont="1" applyBorder="1" applyAlignment="1">
      <alignment horizontal="center" wrapText="1"/>
    </xf>
    <xf numFmtId="0" fontId="6" fillId="0" borderId="2" xfId="0" applyFont="1" applyBorder="1" applyAlignment="1">
      <alignment vertical="center"/>
    </xf>
    <xf numFmtId="0" fontId="4" fillId="0" borderId="2" xfId="0" applyFont="1" applyBorder="1"/>
    <xf numFmtId="2" fontId="3" fillId="0" borderId="2" xfId="0" applyNumberFormat="1" applyFont="1" applyBorder="1"/>
    <xf numFmtId="0" fontId="4" fillId="0" borderId="0" xfId="0" applyFont="1"/>
    <xf numFmtId="0" fontId="4" fillId="0" borderId="0" xfId="0" applyFont="1" applyAlignment="1">
      <alignment vertical="center"/>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0" fontId="4" fillId="0" borderId="2" xfId="0"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Border="1" applyAlignment="1">
      <alignment vertical="center"/>
    </xf>
    <xf numFmtId="0" fontId="3" fillId="0" borderId="0" xfId="0" applyFont="1" applyAlignment="1">
      <alignment vertical="center"/>
    </xf>
    <xf numFmtId="0" fontId="4" fillId="0" borderId="2" xfId="0" quotePrefix="1" applyFont="1" applyBorder="1" applyAlignment="1">
      <alignment horizontal="right"/>
    </xf>
    <xf numFmtId="2" fontId="4" fillId="0" borderId="2" xfId="0" applyNumberFormat="1" applyFont="1" applyBorder="1"/>
    <xf numFmtId="0" fontId="2" fillId="0" borderId="2" xfId="0" quotePrefix="1" applyFont="1" applyBorder="1" applyAlignment="1">
      <alignment horizontal="right" wrapText="1"/>
    </xf>
    <xf numFmtId="0" fontId="12" fillId="2" borderId="2" xfId="0" applyFont="1" applyFill="1" applyBorder="1" applyAlignment="1">
      <alignment vertical="center" wrapText="1"/>
    </xf>
    <xf numFmtId="2" fontId="4" fillId="0" borderId="0" xfId="0" applyNumberFormat="1" applyFont="1"/>
    <xf numFmtId="1" fontId="4" fillId="0" borderId="2" xfId="0" applyNumberFormat="1" applyFont="1" applyBorder="1"/>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right"/>
    </xf>
    <xf numFmtId="0" fontId="8" fillId="0" borderId="0" xfId="0" applyFont="1" applyAlignment="1">
      <alignment horizontal="left"/>
    </xf>
    <xf numFmtId="0" fontId="8" fillId="0" borderId="0" xfId="0" applyFont="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0"/>
  <sheetViews>
    <sheetView tabSelected="1" view="pageBreakPreview" zoomScale="95" zoomScaleNormal="90" zoomScaleSheetLayoutView="95" workbookViewId="0">
      <selection activeCell="I9" sqref="I9"/>
    </sheetView>
  </sheetViews>
  <sheetFormatPr defaultColWidth="9.140625" defaultRowHeight="15" x14ac:dyDescent="0.25"/>
  <cols>
    <col min="1" max="1" width="4.7109375" style="19" customWidth="1"/>
    <col min="2" max="2" width="30.85546875" style="19" customWidth="1"/>
    <col min="3" max="3" width="4.42578125" style="19" bestFit="1" customWidth="1"/>
    <col min="4" max="4" width="8.42578125" style="19" customWidth="1"/>
    <col min="5" max="5" width="8.5703125" style="19" customWidth="1"/>
    <col min="6" max="6" width="7.28515625" style="19" customWidth="1"/>
    <col min="7" max="7" width="9.140625" style="19"/>
    <col min="8" max="8" width="5" style="19" bestFit="1" customWidth="1"/>
    <col min="9" max="9" width="9.5703125" style="19" bestFit="1" customWidth="1"/>
    <col min="10" max="10" width="10.7109375" style="19" bestFit="1" customWidth="1"/>
    <col min="11" max="12" width="9.140625" style="19"/>
    <col min="13" max="16" width="0" style="19" hidden="1" customWidth="1"/>
    <col min="17" max="16384" width="9.140625" style="19"/>
  </cols>
  <sheetData>
    <row r="1" spans="1:16" x14ac:dyDescent="0.25">
      <c r="A1" s="44" t="s">
        <v>0</v>
      </c>
      <c r="B1" s="44"/>
      <c r="C1" s="44"/>
      <c r="D1" s="44"/>
      <c r="E1" s="44"/>
      <c r="F1" s="44"/>
      <c r="G1" s="44"/>
      <c r="H1" s="44"/>
      <c r="I1" s="44"/>
      <c r="J1" s="44"/>
      <c r="K1" s="44"/>
    </row>
    <row r="2" spans="1:16" ht="22.5" x14ac:dyDescent="0.25">
      <c r="A2" s="45" t="s">
        <v>1</v>
      </c>
      <c r="B2" s="45"/>
      <c r="C2" s="45"/>
      <c r="D2" s="45"/>
      <c r="E2" s="45"/>
      <c r="F2" s="45"/>
      <c r="G2" s="45"/>
      <c r="H2" s="45"/>
      <c r="I2" s="45"/>
      <c r="J2" s="45"/>
      <c r="K2" s="45"/>
    </row>
    <row r="3" spans="1:16" x14ac:dyDescent="0.25">
      <c r="A3" s="46" t="s">
        <v>2</v>
      </c>
      <c r="B3" s="46"/>
      <c r="C3" s="46"/>
      <c r="D3" s="46"/>
      <c r="E3" s="46"/>
      <c r="F3" s="46"/>
      <c r="G3" s="46"/>
      <c r="H3" s="46"/>
      <c r="I3" s="46"/>
      <c r="J3" s="46"/>
      <c r="K3" s="46"/>
    </row>
    <row r="4" spans="1:16" x14ac:dyDescent="0.25">
      <c r="A4" s="46" t="s">
        <v>3</v>
      </c>
      <c r="B4" s="46"/>
      <c r="C4" s="46"/>
      <c r="D4" s="46"/>
      <c r="E4" s="46"/>
      <c r="F4" s="46"/>
      <c r="G4" s="46"/>
      <c r="H4" s="46"/>
      <c r="I4" s="46"/>
      <c r="J4" s="46"/>
      <c r="K4" s="46"/>
    </row>
    <row r="5" spans="1:16" ht="18.75" x14ac:dyDescent="0.3">
      <c r="A5" s="47" t="s">
        <v>4</v>
      </c>
      <c r="B5" s="47"/>
      <c r="C5" s="47"/>
      <c r="D5" s="47"/>
      <c r="E5" s="47"/>
      <c r="F5" s="47"/>
      <c r="G5" s="47"/>
      <c r="H5" s="47"/>
      <c r="I5" s="47"/>
      <c r="J5" s="47"/>
      <c r="K5" s="47"/>
    </row>
    <row r="6" spans="1:16" ht="15.75" x14ac:dyDescent="0.25">
      <c r="A6" s="42" t="s">
        <v>29</v>
      </c>
      <c r="B6" s="42"/>
      <c r="C6" s="42"/>
      <c r="D6" s="42"/>
      <c r="E6" s="42"/>
      <c r="F6" s="42"/>
      <c r="G6" s="10"/>
      <c r="H6" s="43" t="s">
        <v>24</v>
      </c>
      <c r="I6" s="43"/>
      <c r="J6" s="43"/>
      <c r="K6" s="43"/>
    </row>
    <row r="7" spans="1:16" ht="15.75" x14ac:dyDescent="0.25">
      <c r="A7" s="40" t="s">
        <v>5</v>
      </c>
      <c r="B7" s="40"/>
      <c r="C7" s="40"/>
      <c r="D7" s="40"/>
      <c r="E7" s="40"/>
      <c r="F7" s="40"/>
      <c r="G7" s="11"/>
      <c r="H7" s="41" t="s">
        <v>23</v>
      </c>
      <c r="I7" s="41"/>
      <c r="J7" s="41"/>
      <c r="K7" s="41"/>
    </row>
    <row r="8" spans="1:16" ht="15.75" x14ac:dyDescent="0.25">
      <c r="A8" s="12" t="s">
        <v>6</v>
      </c>
      <c r="B8" s="13" t="s">
        <v>7</v>
      </c>
      <c r="C8" s="12" t="s">
        <v>8</v>
      </c>
      <c r="D8" s="14" t="s">
        <v>9</v>
      </c>
      <c r="E8" s="14" t="s">
        <v>10</v>
      </c>
      <c r="F8" s="14" t="s">
        <v>11</v>
      </c>
      <c r="G8" s="14" t="s">
        <v>12</v>
      </c>
      <c r="H8" s="12" t="s">
        <v>13</v>
      </c>
      <c r="I8" s="14" t="s">
        <v>14</v>
      </c>
      <c r="J8" s="14" t="s">
        <v>15</v>
      </c>
      <c r="K8" s="15" t="s">
        <v>16</v>
      </c>
    </row>
    <row r="9" spans="1:16" ht="157.5" x14ac:dyDescent="0.25">
      <c r="A9" s="16">
        <v>1</v>
      </c>
      <c r="B9" s="35" t="s">
        <v>30</v>
      </c>
      <c r="C9" s="17"/>
      <c r="D9" s="17"/>
      <c r="E9" s="17"/>
      <c r="F9" s="17"/>
      <c r="G9" s="17"/>
      <c r="H9" s="17"/>
      <c r="I9" s="17"/>
      <c r="J9" s="17"/>
      <c r="K9" s="17"/>
    </row>
    <row r="10" spans="1:16" x14ac:dyDescent="0.25">
      <c r="A10" s="16"/>
      <c r="B10" s="32" t="s">
        <v>25</v>
      </c>
      <c r="C10" s="37">
        <v>1</v>
      </c>
      <c r="D10" s="33">
        <v>8</v>
      </c>
      <c r="E10" s="33">
        <f>F23/2</f>
        <v>1.8</v>
      </c>
      <c r="F10" s="33">
        <v>1</v>
      </c>
      <c r="G10" s="33">
        <f>PRODUCT(C10:F10)</f>
        <v>14.4</v>
      </c>
      <c r="H10" s="17"/>
      <c r="I10" s="17"/>
      <c r="J10" s="17"/>
      <c r="K10" s="17"/>
      <c r="M10" s="33">
        <f>7</f>
        <v>7</v>
      </c>
      <c r="N10" s="33">
        <f>2</f>
        <v>2</v>
      </c>
      <c r="O10" s="33"/>
      <c r="P10" s="33">
        <f>PI()*M10*SQRT(M10^2+N10^2)</f>
        <v>160.09797821843054</v>
      </c>
    </row>
    <row r="11" spans="1:16" ht="15" customHeight="1" x14ac:dyDescent="0.25">
      <c r="A11" s="2"/>
      <c r="B11" s="34" t="s">
        <v>17</v>
      </c>
      <c r="C11" s="3"/>
      <c r="D11" s="4"/>
      <c r="E11" s="5"/>
      <c r="F11" s="5"/>
      <c r="G11" s="6">
        <f>SUM(G10:G10)</f>
        <v>14.4</v>
      </c>
      <c r="H11" s="7" t="s">
        <v>18</v>
      </c>
      <c r="I11" s="6">
        <f>1.15*748.9</f>
        <v>861.2349999999999</v>
      </c>
      <c r="J11" s="18">
        <f>G11*I11</f>
        <v>12401.784</v>
      </c>
      <c r="K11" s="5"/>
    </row>
    <row r="12" spans="1:16" x14ac:dyDescent="0.25">
      <c r="A12" s="16"/>
      <c r="B12" s="17"/>
      <c r="C12" s="17"/>
      <c r="D12" s="17"/>
      <c r="E12" s="17"/>
      <c r="F12" s="17"/>
      <c r="G12" s="17"/>
      <c r="H12" s="17"/>
      <c r="I12" s="17"/>
      <c r="J12" s="17"/>
      <c r="K12" s="17"/>
    </row>
    <row r="13" spans="1:16" ht="110.25" x14ac:dyDescent="0.25">
      <c r="A13" s="16">
        <v>2</v>
      </c>
      <c r="B13" s="35" t="s">
        <v>26</v>
      </c>
      <c r="C13" s="17"/>
      <c r="D13" s="17"/>
      <c r="E13" s="17"/>
      <c r="F13" s="17"/>
      <c r="G13" s="17"/>
      <c r="H13" s="17"/>
      <c r="I13" s="17"/>
      <c r="J13" s="17"/>
      <c r="K13" s="17"/>
    </row>
    <row r="14" spans="1:16" x14ac:dyDescent="0.25">
      <c r="A14" s="16"/>
      <c r="B14" s="32" t="str">
        <f>B10</f>
        <v>-for masonary wall</v>
      </c>
      <c r="C14" s="17">
        <v>1</v>
      </c>
      <c r="D14" s="33">
        <f>D10</f>
        <v>8</v>
      </c>
      <c r="E14" s="33">
        <f>E10</f>
        <v>1.8</v>
      </c>
      <c r="F14" s="33">
        <v>0.15</v>
      </c>
      <c r="G14" s="33">
        <f>PRODUCT(C14:F14)</f>
        <v>2.16</v>
      </c>
      <c r="H14" s="17"/>
      <c r="I14" s="17"/>
      <c r="J14" s="17"/>
      <c r="K14" s="17"/>
      <c r="M14" s="33">
        <f>7</f>
        <v>7</v>
      </c>
      <c r="N14" s="33">
        <f>2</f>
        <v>2</v>
      </c>
      <c r="O14" s="33"/>
      <c r="P14" s="33">
        <f>PI()*M14*SQRT(M14^2+N14^2)</f>
        <v>160.09797821843054</v>
      </c>
    </row>
    <row r="15" spans="1:16" ht="15" customHeight="1" x14ac:dyDescent="0.25">
      <c r="A15" s="2"/>
      <c r="B15" s="34" t="s">
        <v>17</v>
      </c>
      <c r="C15" s="3"/>
      <c r="D15" s="4"/>
      <c r="E15" s="5"/>
      <c r="F15" s="5"/>
      <c r="G15" s="6">
        <f>SUM(G14:G14)</f>
        <v>2.16</v>
      </c>
      <c r="H15" s="7" t="s">
        <v>18</v>
      </c>
      <c r="I15" s="6">
        <f>1.15*4458.52</f>
        <v>5127.2979999999998</v>
      </c>
      <c r="J15" s="18">
        <f>G15*I15</f>
        <v>11074.963680000001</v>
      </c>
      <c r="K15" s="5"/>
    </row>
    <row r="16" spans="1:16" x14ac:dyDescent="0.25">
      <c r="A16" s="16"/>
      <c r="B16" s="17"/>
      <c r="C16" s="17"/>
      <c r="D16" s="17"/>
      <c r="E16" s="17"/>
      <c r="F16" s="17"/>
      <c r="G16" s="17"/>
      <c r="H16" s="17"/>
      <c r="I16" s="17"/>
      <c r="J16" s="17"/>
      <c r="K16" s="17"/>
    </row>
    <row r="17" spans="1:19" ht="94.5" x14ac:dyDescent="0.25">
      <c r="A17" s="16">
        <v>3</v>
      </c>
      <c r="B17" s="35" t="s">
        <v>27</v>
      </c>
      <c r="C17" s="17"/>
      <c r="D17" s="17"/>
      <c r="E17" s="17"/>
      <c r="F17" s="17"/>
      <c r="G17" s="17"/>
      <c r="H17" s="17"/>
      <c r="I17" s="17"/>
      <c r="J17" s="17"/>
      <c r="K17" s="17"/>
    </row>
    <row r="18" spans="1:19" x14ac:dyDescent="0.25">
      <c r="A18" s="16"/>
      <c r="B18" s="32" t="str">
        <f>B14</f>
        <v>-for masonary wall</v>
      </c>
      <c r="C18" s="17">
        <v>1</v>
      </c>
      <c r="D18" s="33">
        <f>D14</f>
        <v>8</v>
      </c>
      <c r="E18" s="33">
        <f>E14</f>
        <v>1.8</v>
      </c>
      <c r="F18" s="33">
        <v>7.4999999999999997E-2</v>
      </c>
      <c r="G18" s="33">
        <f>PRODUCT(C18:F18)</f>
        <v>1.08</v>
      </c>
      <c r="H18" s="17"/>
      <c r="I18" s="17"/>
      <c r="J18" s="17"/>
      <c r="K18" s="17"/>
      <c r="M18" s="33">
        <f>7</f>
        <v>7</v>
      </c>
      <c r="N18" s="33">
        <f>2</f>
        <v>2</v>
      </c>
      <c r="O18" s="33"/>
      <c r="P18" s="33">
        <f>PI()*M18*SQRT(M18^2+N18^2)</f>
        <v>160.09797821843054</v>
      </c>
    </row>
    <row r="19" spans="1:19" x14ac:dyDescent="0.25">
      <c r="A19" s="16"/>
      <c r="B19" s="32"/>
      <c r="C19" s="17">
        <v>1</v>
      </c>
      <c r="D19" s="33">
        <f>D18</f>
        <v>8</v>
      </c>
      <c r="E19" s="33">
        <v>0.45</v>
      </c>
      <c r="F19" s="33">
        <v>0.05</v>
      </c>
      <c r="G19" s="33">
        <f>PRODUCT(C19:F19)</f>
        <v>0.18000000000000002</v>
      </c>
      <c r="H19" s="17"/>
      <c r="I19" s="17"/>
      <c r="J19" s="17"/>
      <c r="K19" s="17"/>
      <c r="M19" s="36"/>
      <c r="N19" s="36"/>
      <c r="O19" s="36"/>
      <c r="P19" s="36"/>
    </row>
    <row r="20" spans="1:19" ht="15" customHeight="1" x14ac:dyDescent="0.25">
      <c r="A20" s="2"/>
      <c r="B20" s="34" t="s">
        <v>17</v>
      </c>
      <c r="C20" s="3"/>
      <c r="D20" s="4"/>
      <c r="E20" s="5"/>
      <c r="F20" s="5"/>
      <c r="G20" s="6">
        <f>SUM(G18:G19)</f>
        <v>1.26</v>
      </c>
      <c r="H20" s="7" t="s">
        <v>18</v>
      </c>
      <c r="I20" s="6">
        <f>1.15*10964.46</f>
        <v>12609.128999999997</v>
      </c>
      <c r="J20" s="18">
        <f>G20*I20</f>
        <v>15887.502539999996</v>
      </c>
      <c r="K20" s="5"/>
    </row>
    <row r="21" spans="1:19" x14ac:dyDescent="0.25">
      <c r="A21" s="16"/>
      <c r="B21" s="17"/>
      <c r="C21" s="17"/>
      <c r="D21" s="17"/>
      <c r="E21" s="17"/>
      <c r="F21" s="17"/>
      <c r="G21" s="17"/>
      <c r="H21" s="17"/>
      <c r="I21" s="17"/>
      <c r="J21" s="17"/>
      <c r="K21" s="17"/>
    </row>
    <row r="22" spans="1:19" ht="110.25" x14ac:dyDescent="0.25">
      <c r="A22" s="16">
        <v>4</v>
      </c>
      <c r="B22" s="35" t="s">
        <v>28</v>
      </c>
      <c r="C22" s="17"/>
      <c r="D22" s="17"/>
      <c r="E22" s="17"/>
      <c r="F22" s="17"/>
      <c r="G22" s="17"/>
      <c r="H22" s="17"/>
      <c r="I22" s="17"/>
      <c r="J22" s="17"/>
      <c r="K22" s="17"/>
    </row>
    <row r="23" spans="1:19" x14ac:dyDescent="0.25">
      <c r="A23" s="16"/>
      <c r="B23" s="32" t="str">
        <f>B18</f>
        <v>-for masonary wall</v>
      </c>
      <c r="C23" s="17">
        <v>1</v>
      </c>
      <c r="D23" s="33">
        <f>D10</f>
        <v>8</v>
      </c>
      <c r="E23" s="33">
        <f>((F23/2)+0.45)/2</f>
        <v>1.125</v>
      </c>
      <c r="F23" s="33">
        <v>3.6</v>
      </c>
      <c r="G23" s="33">
        <f>PRODUCT(C23:F23)</f>
        <v>32.4</v>
      </c>
      <c r="H23" s="17"/>
      <c r="I23" s="17"/>
      <c r="J23" s="17"/>
      <c r="K23" s="17"/>
      <c r="M23" s="33">
        <f>7</f>
        <v>7</v>
      </c>
      <c r="N23" s="33">
        <f>2</f>
        <v>2</v>
      </c>
      <c r="O23" s="33"/>
      <c r="P23" s="33">
        <f>PI()*M23*SQRT(M23^2+N23^2)</f>
        <v>160.09797821843054</v>
      </c>
    </row>
    <row r="24" spans="1:19" ht="15" customHeight="1" x14ac:dyDescent="0.25">
      <c r="A24" s="2"/>
      <c r="B24" s="34" t="s">
        <v>17</v>
      </c>
      <c r="C24" s="3"/>
      <c r="D24" s="4"/>
      <c r="E24" s="5"/>
      <c r="F24" s="5"/>
      <c r="G24" s="6">
        <f>SUM(G23:G23)</f>
        <v>32.4</v>
      </c>
      <c r="H24" s="7" t="s">
        <v>18</v>
      </c>
      <c r="I24" s="6">
        <f>1.15*8987.83</f>
        <v>10336.004499999999</v>
      </c>
      <c r="J24" s="18">
        <f>G24*I24</f>
        <v>334886.54579999996</v>
      </c>
      <c r="K24" s="5"/>
    </row>
    <row r="25" spans="1:19" x14ac:dyDescent="0.25">
      <c r="A25" s="16"/>
      <c r="B25" s="17"/>
      <c r="C25" s="17"/>
      <c r="D25" s="17"/>
      <c r="E25" s="17"/>
      <c r="F25" s="17"/>
      <c r="G25" s="17"/>
      <c r="H25" s="17"/>
      <c r="I25" s="17"/>
      <c r="J25" s="17"/>
      <c r="K25" s="17"/>
    </row>
    <row r="26" spans="1:19" ht="15" customHeight="1" x14ac:dyDescent="0.25">
      <c r="A26" s="2">
        <v>5</v>
      </c>
      <c r="B26" s="1" t="s">
        <v>19</v>
      </c>
      <c r="C26" s="3">
        <v>1</v>
      </c>
      <c r="D26" s="4"/>
      <c r="E26" s="5"/>
      <c r="F26" s="5"/>
      <c r="G26" s="7">
        <f t="shared" ref="G26" si="0">PRODUCT(C26:F26)</f>
        <v>1</v>
      </c>
      <c r="H26" s="7" t="s">
        <v>20</v>
      </c>
      <c r="I26" s="6">
        <v>500</v>
      </c>
      <c r="J26" s="7">
        <f>G26*I26</f>
        <v>500</v>
      </c>
      <c r="K26" s="5"/>
    </row>
    <row r="27" spans="1:19" x14ac:dyDescent="0.25">
      <c r="A27" s="2"/>
      <c r="B27" s="8"/>
      <c r="C27" s="3"/>
      <c r="D27" s="4"/>
      <c r="E27" s="5"/>
      <c r="F27" s="5"/>
      <c r="G27" s="6"/>
      <c r="H27" s="7"/>
      <c r="I27" s="6"/>
      <c r="J27" s="18"/>
      <c r="K27" s="5"/>
    </row>
    <row r="28" spans="1:19" x14ac:dyDescent="0.25">
      <c r="A28" s="21"/>
      <c r="B28" s="22" t="s">
        <v>22</v>
      </c>
      <c r="C28" s="23"/>
      <c r="D28" s="24"/>
      <c r="E28" s="24"/>
      <c r="F28" s="24"/>
      <c r="G28" s="18"/>
      <c r="H28" s="18"/>
      <c r="I28" s="18"/>
      <c r="J28" s="18">
        <f>SUM(J9:J26)</f>
        <v>374750.79601999995</v>
      </c>
      <c r="K28" s="25"/>
    </row>
    <row r="29" spans="1:19" x14ac:dyDescent="0.25">
      <c r="M29" s="20"/>
      <c r="N29" s="20"/>
      <c r="O29" s="20"/>
      <c r="P29" s="20"/>
      <c r="Q29" s="20"/>
      <c r="R29" s="20"/>
      <c r="S29" s="20"/>
    </row>
    <row r="30" spans="1:19" s="20" customFormat="1" x14ac:dyDescent="0.25">
      <c r="A30" s="26"/>
      <c r="B30" s="27" t="s">
        <v>21</v>
      </c>
      <c r="C30" s="38">
        <f>J28</f>
        <v>374750.79601999995</v>
      </c>
      <c r="D30" s="39"/>
      <c r="E30" s="9"/>
      <c r="F30" s="26"/>
      <c r="G30" s="28"/>
      <c r="H30" s="26"/>
      <c r="I30" s="29"/>
      <c r="J30" s="30"/>
      <c r="K30" s="31"/>
      <c r="M30" s="19"/>
      <c r="N30" s="19"/>
      <c r="O30" s="19"/>
      <c r="P30" s="19"/>
      <c r="Q30" s="19"/>
      <c r="R30" s="19"/>
      <c r="S30" s="19"/>
    </row>
  </sheetData>
  <mergeCells count="10">
    <mergeCell ref="A6:F6"/>
    <mergeCell ref="H6:K6"/>
    <mergeCell ref="A1:K1"/>
    <mergeCell ref="A2:K2"/>
    <mergeCell ref="A3:K3"/>
    <mergeCell ref="A4:K4"/>
    <mergeCell ref="A5:K5"/>
    <mergeCell ref="A7:F7"/>
    <mergeCell ref="H7:K7"/>
    <mergeCell ref="C30:D30"/>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rowBreaks count="1" manualBreakCount="1">
    <brk id="21" max="10"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estimate</vt:lpstr>
      <vt:lpstr>estimate!Print_Area</vt:lpstr>
      <vt:lpstr>estimate!Print_Titles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2026-03-30T06:21:01Z</dcterms:modified>
</cp:coreProperties>
</file>