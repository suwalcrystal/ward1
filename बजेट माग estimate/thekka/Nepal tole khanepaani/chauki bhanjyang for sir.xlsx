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8C6F8D4D-F605-49AC-B2D7-D98C0D07327A}"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8" i="13" l="1"/>
  <c r="I84" i="13"/>
  <c r="I80" i="13"/>
  <c r="I74" i="13"/>
  <c r="I69" i="13"/>
  <c r="I65" i="13"/>
  <c r="I55" i="13"/>
  <c r="I45" i="13"/>
  <c r="I36" i="13"/>
  <c r="I30" i="13"/>
  <c r="I25" i="13"/>
  <c r="I20" i="13"/>
  <c r="I16" i="13"/>
  <c r="I12" i="13"/>
  <c r="J10" i="14"/>
  <c r="H10" i="14"/>
  <c r="G10" i="14"/>
  <c r="F10" i="14"/>
  <c r="E10" i="14"/>
  <c r="D10" i="14"/>
  <c r="B10" i="14"/>
  <c r="A10" i="14"/>
  <c r="B53" i="13"/>
  <c r="F53" i="13"/>
  <c r="C24" i="13"/>
  <c r="C29" i="13" s="1"/>
  <c r="B15" i="13"/>
  <c r="B24" i="13"/>
  <c r="C44" i="13" l="1"/>
  <c r="C43" i="13"/>
  <c r="C28" i="13"/>
  <c r="F11" i="13"/>
  <c r="D58" i="13"/>
  <c r="G79" i="13"/>
  <c r="D92" i="13"/>
  <c r="F92" i="13" s="1"/>
  <c r="G92" i="13" s="1"/>
  <c r="G83" i="13"/>
  <c r="G84" i="13" s="1"/>
  <c r="D64" i="13"/>
  <c r="E64" i="13"/>
  <c r="D73" i="13"/>
  <c r="C72" i="13" s="1"/>
  <c r="E73" i="13"/>
  <c r="E72" i="13"/>
  <c r="D72" i="13"/>
  <c r="C73" i="13" s="1"/>
  <c r="F73" i="13" s="1"/>
  <c r="G73" i="13" s="1"/>
  <c r="E68" i="13"/>
  <c r="D68" i="13"/>
  <c r="C53" i="13" l="1"/>
  <c r="G64" i="13"/>
  <c r="G65" i="13" s="1"/>
  <c r="J84" i="13"/>
  <c r="G68" i="13"/>
  <c r="G69" i="13" s="1"/>
  <c r="F72" i="13"/>
  <c r="G72" i="13" s="1"/>
  <c r="G74" i="13" s="1"/>
  <c r="C54" i="13" l="1"/>
  <c r="G43" i="13"/>
  <c r="G29" i="13"/>
  <c r="G24" i="13"/>
  <c r="G28" i="13"/>
  <c r="J65" i="13"/>
  <c r="J69" i="13"/>
  <c r="J74" i="13"/>
  <c r="G30" i="13" l="1"/>
  <c r="G44" i="13"/>
  <c r="D53" i="13"/>
  <c r="G53" i="13" s="1"/>
  <c r="G54" i="13"/>
  <c r="G15" i="13"/>
  <c r="G16" i="13" s="1"/>
  <c r="G11" i="13"/>
  <c r="J30" i="13" l="1"/>
  <c r="J16" i="13"/>
  <c r="D91" i="13" l="1"/>
  <c r="F91" i="13" s="1"/>
  <c r="G91" i="13" s="1"/>
  <c r="D87" i="13"/>
  <c r="G87" i="13" s="1"/>
  <c r="G88" i="13" s="1"/>
  <c r="G78" i="13"/>
  <c r="C23" i="13"/>
  <c r="G80" i="13" l="1"/>
  <c r="J80" i="13" s="1"/>
  <c r="G93" i="13"/>
  <c r="J93" i="13" s="1"/>
  <c r="J88" i="13"/>
  <c r="G95" i="13" l="1"/>
  <c r="J95" i="13" s="1"/>
  <c r="G61" i="13"/>
  <c r="J61" i="13" s="1"/>
  <c r="C58" i="13"/>
  <c r="C52" i="13"/>
  <c r="C41" i="13"/>
  <c r="C50" i="13" s="1"/>
  <c r="C40" i="13"/>
  <c r="C49" i="13" s="1"/>
  <c r="B40" i="13"/>
  <c r="B49" i="13" s="1"/>
  <c r="C39" i="13"/>
  <c r="B39" i="13"/>
  <c r="B48" i="13" s="1"/>
  <c r="D50" i="13"/>
  <c r="C35" i="13"/>
  <c r="B35" i="13"/>
  <c r="B41" i="13" s="1"/>
  <c r="B50" i="13" s="1"/>
  <c r="C34" i="13"/>
  <c r="C33" i="13"/>
  <c r="F49" i="13"/>
  <c r="G10" i="13"/>
  <c r="G12" i="13" s="1"/>
  <c r="J12" i="13" l="1"/>
  <c r="G58" i="13"/>
  <c r="G59" i="13" s="1"/>
  <c r="J59" i="13" s="1"/>
  <c r="F48" i="13"/>
  <c r="G34" i="13"/>
  <c r="F51" i="13"/>
  <c r="G52" i="13"/>
  <c r="G40" i="13"/>
  <c r="D49" i="13"/>
  <c r="G49" i="13" s="1"/>
  <c r="F50" i="13"/>
  <c r="G50" i="13" s="1"/>
  <c r="C42" i="13"/>
  <c r="D51" i="13"/>
  <c r="C48" i="13"/>
  <c r="G41" i="13" l="1"/>
  <c r="G35" i="13"/>
  <c r="G42" i="13"/>
  <c r="C51" i="13"/>
  <c r="G51" i="13" s="1"/>
  <c r="G19" i="13"/>
  <c r="G20" i="13" s="1"/>
  <c r="G23" i="13" l="1"/>
  <c r="G25" i="13" s="1"/>
  <c r="J20" i="13"/>
  <c r="J25" i="13" l="1"/>
  <c r="G33" i="13"/>
  <c r="G36" i="13" s="1"/>
  <c r="J36" i="13" l="1"/>
  <c r="D48" i="13"/>
  <c r="G48" i="13" s="1"/>
  <c r="G55" i="13" s="1"/>
  <c r="G39" i="13"/>
  <c r="G45" i="13" s="1"/>
  <c r="J45" i="13" l="1"/>
  <c r="J97" i="13"/>
  <c r="J55" i="13"/>
  <c r="C99" i="13" l="1"/>
</calcChain>
</file>

<file path=xl/sharedStrings.xml><?xml version="1.0" encoding="utf-8"?>
<sst xmlns="http://schemas.openxmlformats.org/spreadsheetml/2006/main" count="115" uniqueCount="82">
  <si>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</si>
  <si>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</si>
  <si>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</si>
  <si>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</si>
  <si>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</si>
  <si>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</si>
  <si>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</si>
  <si>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</si>
  <si>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</si>
  <si>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</si>
  <si>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</si>
  <si>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</si>
  <si>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</si>
  <si>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</si>
  <si>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</si>
  <si>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</si>
  <si>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</si>
  <si>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</si>
  <si>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</si>
  <si>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</si>
  <si>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</si>
  <si>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</si>
  <si>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</si>
  <si>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sub-total</t>
  </si>
  <si>
    <t>cum</t>
  </si>
  <si>
    <t>-High Density Polythene Pipe NS 40 pipe material PE 100, PN 16</t>
  </si>
  <si>
    <t>Weight (Kg/m)</t>
  </si>
  <si>
    <t>Total weight (Kg)</t>
  </si>
  <si>
    <t>kg</t>
  </si>
  <si>
    <t>Location:- Shankharapur Municipality 1</t>
  </si>
  <si>
    <t>-for pipe laying</t>
  </si>
  <si>
    <t>rm</t>
  </si>
  <si>
    <t>Provisional sum for other unforseen works</t>
  </si>
  <si>
    <t>PS</t>
  </si>
  <si>
    <t>-for pipe laying from source to tank</t>
  </si>
  <si>
    <t>A</t>
  </si>
  <si>
    <t>Pipe works</t>
  </si>
  <si>
    <t>-for stand taps</t>
  </si>
  <si>
    <t>Plain cement concrete (1:2:4)</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</si>
  <si>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</si>
  <si>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</si>
  <si>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</si>
  <si>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</si>
  <si>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</si>
  <si>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</si>
  <si>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</si>
  <si>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</si>
  <si>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</si>
  <si>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</si>
  <si>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</si>
  <si>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thickness</t>
  </si>
  <si>
    <t>Date:2082</t>
  </si>
  <si>
    <t>Unit Weight (Kg/m)</t>
  </si>
  <si>
    <t>Total Weight (Kg)</t>
  </si>
  <si>
    <t>Earthwork in Excavation in ordinary soil</t>
  </si>
  <si>
    <t>Flat brick  soling</t>
  </si>
  <si>
    <t>Chimney made Brick work in 1:6 cement mortar</t>
  </si>
  <si>
    <t>Width of stand tap</t>
  </si>
  <si>
    <t>Laying and joining of 25 mmØ HDPE pipe with butt-weld joints</t>
  </si>
  <si>
    <t>Laying and joining of 32 mmØ HDPE pipe with butt-weld joints</t>
  </si>
  <si>
    <t>Plain cement concrete (1:1.5:3)</t>
  </si>
  <si>
    <t>-for 32mm pipe laying from source to tank</t>
  </si>
  <si>
    <t>-for intake cover at chaulagain sim</t>
  </si>
  <si>
    <t>Mild steel reinforcement</t>
  </si>
  <si>
    <t>Kg</t>
  </si>
  <si>
    <t>Form work for concrete work</t>
  </si>
  <si>
    <t>-for 25mm pipe laying from intake to sim intake</t>
  </si>
  <si>
    <t>50mm GI pipe threaded-Medium class</t>
  </si>
  <si>
    <t>-for intakes</t>
  </si>
  <si>
    <t>Intake size</t>
  </si>
  <si>
    <t>breadth</t>
  </si>
  <si>
    <t>height</t>
  </si>
  <si>
    <t>wall thickness</t>
  </si>
  <si>
    <t>Dry boulder packing work</t>
  </si>
  <si>
    <t>R.R. masonry in 1:6 cement mortar</t>
  </si>
  <si>
    <t>-for long wall of intake</t>
  </si>
  <si>
    <t>-for short wall of intake</t>
  </si>
  <si>
    <t>-for outer face wall of intake</t>
  </si>
  <si>
    <t>-for inner face wall of intake</t>
  </si>
  <si>
    <t>- for floor area of intake</t>
  </si>
  <si>
    <r>
      <t>Earthwork in Excavation in ordinary soil (</t>
    </r>
    <r>
      <rPr>
        <b/>
        <sz val="14"/>
        <rFont val="Preeti"/>
      </rPr>
      <t>vGg] k'g{] sfo{</t>
    </r>
    <r>
      <rPr>
        <sz val="11"/>
        <rFont val="Calibri"/>
        <family val="2"/>
        <scheme val="minor"/>
      </rPr>
      <t>)</t>
    </r>
  </si>
  <si>
    <r>
      <t>Project:-</t>
    </r>
    <r>
      <rPr>
        <sz val="12"/>
        <rFont val="Preeti"/>
      </rPr>
      <t xml:space="preserve"> </t>
    </r>
    <r>
      <rPr>
        <sz val="14"/>
        <rFont val="Preeti"/>
      </rPr>
      <t>rf}nfufO</t>
    </r>
    <r>
      <rPr>
        <sz val="12"/>
        <rFont val="Preeti"/>
      </rPr>
      <t>{F</t>
    </r>
    <r>
      <rPr>
        <sz val="14"/>
        <rFont val="Preeti"/>
      </rPr>
      <t xml:space="preserve"> l;d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</si>
</sst>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8">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0" xfId="0" applyFont="1" applyAlignment="1">
      <alignment wrapText="1"/>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0" fontId="4" fillId="0" borderId="2" xfId="0"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1" fontId="2" fillId="0" borderId="2" xfId="0" applyNumberFormat="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
  <sheetViews>
    <sheetView tabSelected="1" topLeftCell="A93" workbookViewId="0">
      <selection activeCell="H101" sqref="H101"/>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23" max="23" width="8.42578125" style="9" bestFit="1" customWidth="1"/>
    <col min="24" max="25" width="7.7109375" style="9" bestFit="1" customWidth="1"/>
    <col min="26" max="16384" width="9.140625" style="9"/>
  </cols>
  <sheetData>
    <row r="1" spans="1:27" x14ac:dyDescent="0.25">
      <c r="A1" s="52" t="s">
        <v>0</v>
      </c>
      <c r="B1" s="52"/>
      <c r="C1" s="52"/>
      <c r="D1" s="52"/>
      <c r="E1" s="52"/>
      <c r="F1" s="52"/>
      <c r="G1" s="52"/>
      <c r="H1" s="52"/>
      <c r="I1" s="52"/>
      <c r="J1" s="52"/>
      <c r="K1" s="52"/>
    </row>
    <row r="2" spans="1:27" ht="22.5" x14ac:dyDescent="0.25">
      <c r="A2" s="53" t="s">
        <v>1</v>
      </c>
      <c r="B2" s="53"/>
      <c r="C2" s="53"/>
      <c r="D2" s="53"/>
      <c r="E2" s="53"/>
      <c r="F2" s="53"/>
      <c r="G2" s="53"/>
      <c r="H2" s="53"/>
      <c r="I2" s="53"/>
      <c r="J2" s="53"/>
      <c r="K2" s="53"/>
    </row>
    <row r="3" spans="1:27" x14ac:dyDescent="0.25">
      <c r="A3" s="54" t="s">
        <v>2</v>
      </c>
      <c r="B3" s="54"/>
      <c r="C3" s="54"/>
      <c r="D3" s="54"/>
      <c r="E3" s="54"/>
      <c r="F3" s="54"/>
      <c r="G3" s="54"/>
      <c r="H3" s="54"/>
      <c r="I3" s="54"/>
      <c r="J3" s="54"/>
      <c r="K3" s="54"/>
    </row>
    <row r="4" spans="1:27" x14ac:dyDescent="0.25">
      <c r="A4" s="54" t="s">
        <v>3</v>
      </c>
      <c r="B4" s="54"/>
      <c r="C4" s="54"/>
      <c r="D4" s="54"/>
      <c r="E4" s="54"/>
      <c r="F4" s="54"/>
      <c r="G4" s="54"/>
      <c r="H4" s="54"/>
      <c r="I4" s="54"/>
      <c r="J4" s="54"/>
      <c r="K4" s="54"/>
    </row>
    <row r="5" spans="1:27" ht="18.75" x14ac:dyDescent="0.3">
      <c r="A5" s="55" t="s">
        <v>4</v>
      </c>
      <c r="B5" s="55"/>
      <c r="C5" s="55"/>
      <c r="D5" s="55"/>
      <c r="E5" s="55"/>
      <c r="F5" s="55"/>
      <c r="G5" s="55"/>
      <c r="H5" s="55"/>
      <c r="I5" s="55"/>
      <c r="J5" s="55"/>
      <c r="K5" s="55"/>
    </row>
    <row r="6" spans="1:27" ht="18" x14ac:dyDescent="0.25">
      <c r="A6" s="56" t="s">
        <v>81</v>
      </c>
      <c r="B6" s="56"/>
      <c r="C6" s="56"/>
      <c r="D6" s="56"/>
      <c r="E6" s="56"/>
      <c r="F6" s="56"/>
      <c r="G6" s="3"/>
      <c r="H6" s="57" t="s">
        <v>21</v>
      </c>
      <c r="I6" s="57"/>
      <c r="J6" s="57"/>
      <c r="K6" s="57"/>
    </row>
    <row r="7" spans="1:27" ht="15.75" x14ac:dyDescent="0.25">
      <c r="A7" s="50" t="s">
        <v>29</v>
      </c>
      <c r="B7" s="50"/>
      <c r="C7" s="50"/>
      <c r="D7" s="50"/>
      <c r="E7" s="50"/>
      <c r="F7" s="50"/>
      <c r="G7" s="4"/>
      <c r="H7" s="51" t="s">
        <v>51</v>
      </c>
      <c r="I7" s="51"/>
      <c r="J7" s="51"/>
      <c r="K7" s="51"/>
    </row>
    <row r="8" spans="1:27" ht="15.75" x14ac:dyDescent="0.25">
      <c r="A8" s="5" t="s">
        <v>5</v>
      </c>
      <c r="B8" s="6" t="s">
        <v>6</v>
      </c>
      <c r="C8" s="5" t="s">
        <v>7</v>
      </c>
      <c r="D8" s="7" t="s">
        <v>8</v>
      </c>
      <c r="E8" s="7" t="s">
        <v>9</v>
      </c>
      <c r="F8" s="7" t="s">
        <v>10</v>
      </c>
      <c r="G8" s="7" t="s">
        <v>11</v>
      </c>
      <c r="H8" s="5" t="s">
        <v>12</v>
      </c>
      <c r="I8" s="7" t="s">
        <v>13</v>
      </c>
      <c r="J8" s="7" t="s">
        <v>14</v>
      </c>
      <c r="K8" s="8" t="s">
        <v>15</v>
      </c>
      <c r="W8" s="10"/>
      <c r="X8" s="10"/>
      <c r="Y8" s="10"/>
      <c r="Z8" s="10"/>
      <c r="AA8" s="10"/>
    </row>
    <row r="9" spans="1:27" s="10" customFormat="1" ht="30" x14ac:dyDescent="0.25">
      <c r="A9" s="11">
        <v>1</v>
      </c>
      <c r="B9" s="40" t="s">
        <v>54</v>
      </c>
      <c r="C9" s="11"/>
      <c r="D9" s="12"/>
      <c r="E9" s="12"/>
      <c r="F9" s="12"/>
      <c r="G9" s="12"/>
      <c r="H9" s="11"/>
      <c r="I9" s="12"/>
      <c r="J9" s="12"/>
      <c r="K9" s="13"/>
      <c r="W9" s="9"/>
      <c r="X9" s="9"/>
      <c r="Y9" s="9"/>
      <c r="Z9" s="9"/>
      <c r="AA9" s="9"/>
    </row>
    <row r="10" spans="1:27" x14ac:dyDescent="0.25">
      <c r="A10" s="15"/>
      <c r="B10" s="16" t="s">
        <v>37</v>
      </c>
      <c r="C10" s="17">
        <v>2</v>
      </c>
      <c r="D10" s="18">
        <v>1.68</v>
      </c>
      <c r="E10" s="18">
        <v>1.68</v>
      </c>
      <c r="F10" s="17">
        <v>0.15</v>
      </c>
      <c r="G10" s="18">
        <f>PRODUCT(C10:F10)</f>
        <v>0.84671999999999981</v>
      </c>
      <c r="H10" s="17"/>
      <c r="I10" s="17"/>
      <c r="J10" s="17"/>
      <c r="K10" s="17"/>
    </row>
    <row r="11" spans="1:27" x14ac:dyDescent="0.25">
      <c r="A11" s="15"/>
      <c r="B11" s="16" t="s">
        <v>68</v>
      </c>
      <c r="C11" s="17">
        <v>2</v>
      </c>
      <c r="D11" s="18">
        <v>1.46</v>
      </c>
      <c r="E11" s="18">
        <v>1.46</v>
      </c>
      <c r="F11" s="18">
        <f>0.15+0.075+0.15</f>
        <v>0.375</v>
      </c>
      <c r="G11" s="18">
        <f>PRODUCT(C11:F11)</f>
        <v>1.5986999999999998</v>
      </c>
      <c r="H11" s="17"/>
      <c r="I11" s="17"/>
      <c r="J11" s="17"/>
      <c r="K11" s="17"/>
    </row>
    <row r="12" spans="1:27" ht="15" customHeight="1" x14ac:dyDescent="0.25">
      <c r="A12" s="20"/>
      <c r="B12" s="21" t="s">
        <v>16</v>
      </c>
      <c r="C12" s="22"/>
      <c r="D12" s="1"/>
      <c r="E12" s="23"/>
      <c r="F12" s="23"/>
      <c r="G12" s="2">
        <f>SUM(G10:G11)</f>
        <v>2.4454199999999995</v>
      </c>
      <c r="H12" s="24" t="s">
        <v>24</v>
      </c>
      <c r="I12" s="2">
        <f>1.15*963.05</f>
        <v>1107.5074999999999</v>
      </c>
      <c r="J12" s="25">
        <f>G12*I12</f>
        <v>2708.3209906499992</v>
      </c>
      <c r="K12" s="23"/>
    </row>
    <row r="13" spans="1:27" ht="15.75" x14ac:dyDescent="0.25">
      <c r="A13" s="5"/>
      <c r="B13" s="6"/>
      <c r="C13" s="5"/>
      <c r="D13" s="7"/>
      <c r="E13" s="7"/>
      <c r="F13" s="7"/>
      <c r="G13" s="7"/>
      <c r="H13" s="5"/>
      <c r="I13" s="7"/>
      <c r="J13" s="7"/>
      <c r="K13" s="8"/>
    </row>
    <row r="14" spans="1:27" x14ac:dyDescent="0.25">
      <c r="A14" s="15">
        <v>2</v>
      </c>
      <c r="B14" s="17" t="s">
        <v>73</v>
      </c>
      <c r="C14" s="17"/>
      <c r="D14" s="17"/>
      <c r="E14" s="17"/>
      <c r="F14" s="17"/>
      <c r="G14" s="17"/>
      <c r="H14" s="17"/>
      <c r="I14" s="17"/>
      <c r="J14" s="17"/>
      <c r="K14" s="17"/>
    </row>
    <row r="15" spans="1:27" x14ac:dyDescent="0.25">
      <c r="A15" s="15"/>
      <c r="B15" s="16" t="str">
        <f>B11</f>
        <v>-for intakes</v>
      </c>
      <c r="C15" s="17">
        <v>2</v>
      </c>
      <c r="D15" s="18">
        <v>1.46</v>
      </c>
      <c r="E15" s="18">
        <v>1.46</v>
      </c>
      <c r="F15" s="17">
        <v>0.15</v>
      </c>
      <c r="G15" s="18">
        <f>PRODUCT(C15:F15)</f>
        <v>0.63947999999999994</v>
      </c>
      <c r="H15" s="17"/>
      <c r="I15" s="17"/>
      <c r="J15" s="17"/>
      <c r="K15" s="17"/>
    </row>
    <row r="16" spans="1:27" ht="15" customHeight="1" x14ac:dyDescent="0.25">
      <c r="A16" s="20"/>
      <c r="B16" s="21" t="s">
        <v>16</v>
      </c>
      <c r="C16" s="22"/>
      <c r="D16" s="1"/>
      <c r="E16" s="23"/>
      <c r="F16" s="23"/>
      <c r="G16" s="2">
        <f>SUM(G15)</f>
        <v>0.63947999999999994</v>
      </c>
      <c r="H16" s="24" t="s">
        <v>24</v>
      </c>
      <c r="I16" s="2">
        <f>1.15*4493.69</f>
        <v>5167.7434999999996</v>
      </c>
      <c r="J16" s="25">
        <f>G16*I16</f>
        <v>3304.6686133799994</v>
      </c>
      <c r="K16" s="23"/>
    </row>
    <row r="17" spans="1:11" x14ac:dyDescent="0.25">
      <c r="A17" s="15"/>
      <c r="B17" s="17"/>
      <c r="C17" s="17"/>
      <c r="D17" s="17"/>
      <c r="E17" s="17"/>
      <c r="F17" s="17"/>
      <c r="G17" s="17"/>
      <c r="H17" s="17"/>
      <c r="I17" s="17"/>
      <c r="J17" s="17"/>
      <c r="K17" s="17"/>
    </row>
    <row r="18" spans="1:11" x14ac:dyDescent="0.25">
      <c r="A18" s="15">
        <v>3</v>
      </c>
      <c r="B18" s="17" t="s">
        <v>55</v>
      </c>
      <c r="C18" s="17"/>
      <c r="D18" s="17"/>
      <c r="E18" s="17"/>
      <c r="F18" s="17"/>
      <c r="G18" s="17"/>
      <c r="H18" s="17"/>
      <c r="I18" s="17"/>
      <c r="J18" s="17"/>
      <c r="K18" s="17"/>
    </row>
    <row r="19" spans="1:11" x14ac:dyDescent="0.25">
      <c r="A19" s="15"/>
      <c r="B19" s="16" t="s">
        <v>37</v>
      </c>
      <c r="C19" s="17">
        <v>2</v>
      </c>
      <c r="D19" s="18">
        <v>1.68</v>
      </c>
      <c r="E19" s="18">
        <v>1.68</v>
      </c>
      <c r="F19" s="17"/>
      <c r="G19" s="18">
        <f>PRODUCT(C19:F19)</f>
        <v>5.6447999999999992</v>
      </c>
      <c r="H19" s="17"/>
      <c r="I19" s="17"/>
      <c r="J19" s="17"/>
      <c r="K19" s="17"/>
    </row>
    <row r="20" spans="1:11" ht="13.9" customHeight="1" x14ac:dyDescent="0.25">
      <c r="A20" s="20"/>
      <c r="B20" s="21" t="s">
        <v>16</v>
      </c>
      <c r="C20" s="22"/>
      <c r="D20" s="1"/>
      <c r="E20" s="23"/>
      <c r="F20" s="23"/>
      <c r="G20" s="2">
        <f>SUM(G19)</f>
        <v>5.6447999999999992</v>
      </c>
      <c r="H20" s="24" t="s">
        <v>39</v>
      </c>
      <c r="I20" s="2">
        <f>1.15*1014.15</f>
        <v>1166.2724999999998</v>
      </c>
      <c r="J20" s="25">
        <f>G20*I20</f>
        <v>6583.3750079999982</v>
      </c>
      <c r="K20" s="23"/>
    </row>
    <row r="21" spans="1:11" x14ac:dyDescent="0.25">
      <c r="A21" s="15"/>
      <c r="B21" s="17"/>
      <c r="C21" s="17"/>
      <c r="D21" s="17"/>
      <c r="E21" s="17"/>
      <c r="F21" s="17"/>
      <c r="G21" s="17"/>
      <c r="H21" s="17"/>
      <c r="I21" s="17"/>
      <c r="J21" s="17"/>
      <c r="K21" s="17"/>
    </row>
    <row r="22" spans="1:11" x14ac:dyDescent="0.25">
      <c r="A22" s="15">
        <v>4</v>
      </c>
      <c r="B22" s="17" t="s">
        <v>38</v>
      </c>
      <c r="C22" s="17"/>
      <c r="D22" s="17"/>
      <c r="E22" s="17"/>
      <c r="F22" s="17"/>
      <c r="G22" s="17"/>
      <c r="H22" s="17"/>
      <c r="I22" s="17"/>
      <c r="J22" s="17"/>
      <c r="K22" s="17"/>
    </row>
    <row r="23" spans="1:11" x14ac:dyDescent="0.25">
      <c r="A23" s="15"/>
      <c r="B23" s="16" t="s">
        <v>42</v>
      </c>
      <c r="C23" s="17">
        <f>C19</f>
        <v>2</v>
      </c>
      <c r="D23" s="18">
        <v>1.68</v>
      </c>
      <c r="E23" s="18">
        <v>1.68</v>
      </c>
      <c r="F23" s="18">
        <v>0.1</v>
      </c>
      <c r="G23" s="18">
        <f>PRODUCT(C23:F23)</f>
        <v>0.56447999999999998</v>
      </c>
      <c r="H23" s="17"/>
      <c r="I23" s="17"/>
      <c r="J23" s="17"/>
      <c r="K23" s="17"/>
    </row>
    <row r="24" spans="1:11" x14ac:dyDescent="0.25">
      <c r="A24" s="15"/>
      <c r="B24" s="16" t="str">
        <f>B11</f>
        <v>-for intakes</v>
      </c>
      <c r="C24" s="17">
        <f>C11</f>
        <v>2</v>
      </c>
      <c r="D24" s="18">
        <v>1.46</v>
      </c>
      <c r="E24" s="18">
        <v>1.46</v>
      </c>
      <c r="F24" s="18">
        <v>0.1</v>
      </c>
      <c r="G24" s="18">
        <f>PRODUCT(C24:F24)</f>
        <v>0.42631999999999998</v>
      </c>
      <c r="H24" s="17"/>
      <c r="I24" s="17"/>
      <c r="J24" s="17"/>
      <c r="K24" s="17"/>
    </row>
    <row r="25" spans="1:11" ht="15" customHeight="1" x14ac:dyDescent="0.25">
      <c r="A25" s="20"/>
      <c r="B25" s="21" t="s">
        <v>16</v>
      </c>
      <c r="C25" s="22"/>
      <c r="D25" s="1"/>
      <c r="E25" s="23"/>
      <c r="F25" s="23"/>
      <c r="G25" s="2">
        <f>SUM(G23:G24)</f>
        <v>0.9907999999999999</v>
      </c>
      <c r="H25" s="24" t="s">
        <v>24</v>
      </c>
      <c r="I25" s="2">
        <f>1.15*13343.7</f>
        <v>15345.254999999999</v>
      </c>
      <c r="J25" s="25">
        <f>G25*I25</f>
        <v>15204.078653999997</v>
      </c>
      <c r="K25" s="23"/>
    </row>
    <row r="26" spans="1:11" x14ac:dyDescent="0.25">
      <c r="A26" s="15"/>
      <c r="B26" s="17"/>
      <c r="C26" s="17"/>
      <c r="D26" s="17"/>
      <c r="E26" s="17"/>
      <c r="F26" s="17"/>
      <c r="G26" s="17"/>
      <c r="H26" s="17"/>
      <c r="I26" s="17"/>
      <c r="J26" s="17"/>
      <c r="K26" s="17"/>
    </row>
    <row r="27" spans="1:11" x14ac:dyDescent="0.25">
      <c r="A27" s="15">
        <v>5</v>
      </c>
      <c r="B27" s="17" t="s">
        <v>74</v>
      </c>
      <c r="C27" s="17"/>
      <c r="D27" s="17"/>
      <c r="E27" s="17"/>
      <c r="F27" s="17"/>
      <c r="G27" s="17"/>
      <c r="H27" s="17"/>
      <c r="I27" s="17"/>
      <c r="J27" s="17"/>
      <c r="K27" s="17"/>
    </row>
    <row r="28" spans="1:11" x14ac:dyDescent="0.25">
      <c r="A28" s="15"/>
      <c r="B28" s="16" t="s">
        <v>76</v>
      </c>
      <c r="C28" s="17">
        <f>C24*2</f>
        <v>4</v>
      </c>
      <c r="D28" s="18">
        <v>1.46</v>
      </c>
      <c r="E28" s="18">
        <v>0.35599999999999998</v>
      </c>
      <c r="F28" s="18">
        <v>0.75</v>
      </c>
      <c r="G28" s="18">
        <f>PRODUCT(C28:F28)</f>
        <v>1.55928</v>
      </c>
      <c r="H28" s="17"/>
      <c r="I28" s="17"/>
      <c r="J28" s="17"/>
      <c r="K28" s="17"/>
    </row>
    <row r="29" spans="1:11" x14ac:dyDescent="0.25">
      <c r="A29" s="15"/>
      <c r="B29" s="16" t="s">
        <v>75</v>
      </c>
      <c r="C29" s="17">
        <f>C24*2</f>
        <v>4</v>
      </c>
      <c r="D29" s="18">
        <v>0.75</v>
      </c>
      <c r="E29" s="18">
        <v>0.35599999999999998</v>
      </c>
      <c r="F29" s="18">
        <v>0.75</v>
      </c>
      <c r="G29" s="18">
        <f>PRODUCT(C29:F29)</f>
        <v>0.80100000000000005</v>
      </c>
      <c r="H29" s="17"/>
      <c r="I29" s="17"/>
      <c r="J29" s="17"/>
      <c r="K29" s="17"/>
    </row>
    <row r="30" spans="1:11" ht="15" customHeight="1" x14ac:dyDescent="0.25">
      <c r="A30" s="20"/>
      <c r="B30" s="21" t="s">
        <v>16</v>
      </c>
      <c r="C30" s="22"/>
      <c r="D30" s="1"/>
      <c r="E30" s="23"/>
      <c r="F30" s="23"/>
      <c r="G30" s="2">
        <f>SUM(G28:G29)</f>
        <v>2.3602799999999999</v>
      </c>
      <c r="H30" s="24" t="s">
        <v>24</v>
      </c>
      <c r="I30" s="2">
        <f>1.15*12225.55</f>
        <v>14059.382499999998</v>
      </c>
      <c r="J30" s="25">
        <f>G30*I30</f>
        <v>33184.079327099993</v>
      </c>
      <c r="K30" s="23"/>
    </row>
    <row r="31" spans="1:11" x14ac:dyDescent="0.25">
      <c r="A31" s="15"/>
      <c r="B31" s="17"/>
      <c r="C31" s="17"/>
      <c r="D31" s="17"/>
      <c r="E31" s="17"/>
      <c r="F31" s="17"/>
      <c r="G31" s="17"/>
      <c r="H31" s="17"/>
      <c r="I31" s="17"/>
      <c r="J31" s="17"/>
      <c r="K31" s="17"/>
    </row>
    <row r="32" spans="1:11" ht="30" x14ac:dyDescent="0.25">
      <c r="A32" s="15">
        <v>6</v>
      </c>
      <c r="B32" s="26" t="s">
        <v>56</v>
      </c>
      <c r="C32" s="17"/>
      <c r="D32" s="17"/>
      <c r="E32" s="17"/>
      <c r="F32" s="17"/>
      <c r="G32" s="17"/>
      <c r="H32" s="17"/>
      <c r="I32" s="17"/>
      <c r="J32" s="17"/>
      <c r="K32" s="17"/>
    </row>
    <row r="33" spans="1:11" x14ac:dyDescent="0.25">
      <c r="A33" s="15"/>
      <c r="B33" s="16" t="s">
        <v>40</v>
      </c>
      <c r="C33" s="17">
        <f>C19*2</f>
        <v>4</v>
      </c>
      <c r="D33" s="18">
        <v>1.2</v>
      </c>
      <c r="E33" s="18">
        <v>0.23</v>
      </c>
      <c r="F33" s="18">
        <v>0.6</v>
      </c>
      <c r="G33" s="18">
        <f>PRODUCT(C33:F33)</f>
        <v>0.66239999999999999</v>
      </c>
      <c r="H33" s="17"/>
      <c r="I33" s="17"/>
      <c r="J33" s="17"/>
      <c r="K33" s="17"/>
    </row>
    <row r="34" spans="1:11" x14ac:dyDescent="0.25">
      <c r="A34" s="15"/>
      <c r="B34" s="16" t="s">
        <v>41</v>
      </c>
      <c r="C34" s="17">
        <f>C19</f>
        <v>2</v>
      </c>
      <c r="D34" s="18">
        <v>1.32</v>
      </c>
      <c r="E34" s="18">
        <v>0.23</v>
      </c>
      <c r="F34" s="18">
        <v>0.6</v>
      </c>
      <c r="G34" s="18">
        <f>PRODUCT(C34:F34)</f>
        <v>0.36432000000000003</v>
      </c>
      <c r="H34" s="17"/>
      <c r="I34" s="17"/>
      <c r="J34" s="17"/>
      <c r="K34" s="17"/>
    </row>
    <row r="35" spans="1:11" x14ac:dyDescent="0.25">
      <c r="A35" s="15"/>
      <c r="B35" s="16" t="str">
        <f>B23</f>
        <v>-for stand tap</v>
      </c>
      <c r="C35" s="17">
        <f>C19</f>
        <v>2</v>
      </c>
      <c r="D35" s="18">
        <v>0.35599999999999998</v>
      </c>
      <c r="E35" s="18">
        <v>0.23</v>
      </c>
      <c r="F35" s="18">
        <v>1.2</v>
      </c>
      <c r="G35" s="18">
        <f>PRODUCT(C35:F35)</f>
        <v>0.19651199999999999</v>
      </c>
      <c r="H35" s="17"/>
      <c r="I35" s="17"/>
      <c r="J35" s="17"/>
      <c r="K35" s="17"/>
    </row>
    <row r="36" spans="1:11" ht="15" customHeight="1" x14ac:dyDescent="0.25">
      <c r="A36" s="20"/>
      <c r="B36" s="21" t="s">
        <v>16</v>
      </c>
      <c r="C36" s="22"/>
      <c r="D36" s="1"/>
      <c r="E36" s="23"/>
      <c r="F36" s="23"/>
      <c r="G36" s="2">
        <f>SUM(G33:G35)</f>
        <v>1.2232320000000001</v>
      </c>
      <c r="H36" s="24" t="s">
        <v>24</v>
      </c>
      <c r="I36" s="2">
        <f>16124.46*1.15</f>
        <v>18543.128999999997</v>
      </c>
      <c r="J36" s="25">
        <f>G36*I36</f>
        <v>22682.548772927999</v>
      </c>
      <c r="K36" s="23"/>
    </row>
    <row r="37" spans="1:11" x14ac:dyDescent="0.25">
      <c r="A37" s="15"/>
      <c r="B37" s="17"/>
      <c r="C37" s="17"/>
      <c r="D37" s="17"/>
      <c r="E37" s="17"/>
      <c r="F37" s="17"/>
      <c r="G37" s="17"/>
      <c r="H37" s="17"/>
      <c r="I37" s="17"/>
      <c r="J37" s="17"/>
      <c r="K37" s="17"/>
    </row>
    <row r="38" spans="1:11" x14ac:dyDescent="0.25">
      <c r="A38" s="15">
        <v>7</v>
      </c>
      <c r="B38" s="26" t="s">
        <v>47</v>
      </c>
      <c r="C38" s="17"/>
      <c r="D38" s="17"/>
      <c r="E38" s="17"/>
      <c r="F38" s="17"/>
      <c r="G38" s="17"/>
      <c r="H38" s="17"/>
      <c r="I38" s="17"/>
      <c r="J38" s="17"/>
      <c r="K38" s="17"/>
    </row>
    <row r="39" spans="1:11" x14ac:dyDescent="0.25">
      <c r="A39" s="15"/>
      <c r="B39" s="16" t="str">
        <f>B33</f>
        <v>-for wing walls of stand tap</v>
      </c>
      <c r="C39" s="17">
        <f>C19*4</f>
        <v>8</v>
      </c>
      <c r="D39" s="18">
        <v>1.2</v>
      </c>
      <c r="E39" s="18"/>
      <c r="F39" s="18">
        <v>0.6</v>
      </c>
      <c r="G39" s="18">
        <f t="shared" ref="G39:G44" si="0">PRODUCT(C39:F39)</f>
        <v>5.76</v>
      </c>
      <c r="H39" s="17"/>
      <c r="I39" s="17"/>
      <c r="J39" s="17"/>
      <c r="K39" s="17"/>
    </row>
    <row r="40" spans="1:11" x14ac:dyDescent="0.25">
      <c r="A40" s="15"/>
      <c r="B40" s="16" t="str">
        <f>B34</f>
        <v>-for side wall of stand tap</v>
      </c>
      <c r="C40" s="17">
        <f>C19</f>
        <v>2</v>
      </c>
      <c r="D40" s="18">
        <v>1.319</v>
      </c>
      <c r="E40" s="18"/>
      <c r="F40" s="18">
        <v>0.6</v>
      </c>
      <c r="G40" s="18">
        <f t="shared" si="0"/>
        <v>1.5828</v>
      </c>
      <c r="H40" s="17"/>
      <c r="I40" s="17"/>
      <c r="J40" s="17"/>
      <c r="K40" s="17"/>
    </row>
    <row r="41" spans="1:11" x14ac:dyDescent="0.25">
      <c r="A41" s="15"/>
      <c r="B41" s="16" t="str">
        <f>B35</f>
        <v>-for stand tap</v>
      </c>
      <c r="C41" s="17">
        <f>C19</f>
        <v>2</v>
      </c>
      <c r="D41" s="18">
        <v>0.35599999999999998</v>
      </c>
      <c r="E41" s="18"/>
      <c r="F41" s="18">
        <v>1.2</v>
      </c>
      <c r="G41" s="18">
        <f t="shared" si="0"/>
        <v>0.85439999999999994</v>
      </c>
      <c r="H41" s="17"/>
      <c r="I41" s="17"/>
      <c r="J41" s="17"/>
      <c r="K41" s="17"/>
    </row>
    <row r="42" spans="1:11" x14ac:dyDescent="0.25">
      <c r="A42" s="15"/>
      <c r="B42" s="16"/>
      <c r="C42" s="17">
        <f>C41</f>
        <v>2</v>
      </c>
      <c r="D42" s="18">
        <v>0.46</v>
      </c>
      <c r="E42" s="18"/>
      <c r="F42" s="18">
        <v>0.6</v>
      </c>
      <c r="G42" s="18">
        <f t="shared" si="0"/>
        <v>0.55200000000000005</v>
      </c>
      <c r="H42" s="17"/>
      <c r="I42" s="17"/>
      <c r="J42" s="17"/>
      <c r="K42" s="17"/>
    </row>
    <row r="43" spans="1:11" x14ac:dyDescent="0.25">
      <c r="A43" s="15"/>
      <c r="B43" s="16" t="s">
        <v>77</v>
      </c>
      <c r="C43" s="17">
        <f>C24</f>
        <v>2</v>
      </c>
      <c r="D43" s="18">
        <v>5.8527887839073403</v>
      </c>
      <c r="E43" s="18"/>
      <c r="F43" s="18">
        <v>0.75</v>
      </c>
      <c r="G43" s="18">
        <f t="shared" si="0"/>
        <v>8.7791831758610108</v>
      </c>
      <c r="H43" s="17"/>
      <c r="I43" s="17"/>
      <c r="J43" s="17"/>
      <c r="K43" s="17"/>
    </row>
    <row r="44" spans="1:11" x14ac:dyDescent="0.25">
      <c r="A44" s="15"/>
      <c r="B44" s="16" t="s">
        <v>78</v>
      </c>
      <c r="C44" s="17">
        <f>C24</f>
        <v>2</v>
      </c>
      <c r="D44" s="18">
        <v>3</v>
      </c>
      <c r="E44" s="18"/>
      <c r="F44" s="18">
        <v>0.75</v>
      </c>
      <c r="G44" s="18">
        <f t="shared" si="0"/>
        <v>4.5</v>
      </c>
      <c r="H44" s="17"/>
      <c r="I44" s="17"/>
      <c r="J44" s="17"/>
      <c r="K44" s="17"/>
    </row>
    <row r="45" spans="1:11" ht="15" customHeight="1" x14ac:dyDescent="0.25">
      <c r="A45" s="20"/>
      <c r="B45" s="21" t="s">
        <v>16</v>
      </c>
      <c r="C45" s="22"/>
      <c r="D45" s="1"/>
      <c r="E45" s="23"/>
      <c r="F45" s="23"/>
      <c r="G45" s="2">
        <f>SUM(G39:G44)</f>
        <v>22.028383175861009</v>
      </c>
      <c r="H45" s="24" t="s">
        <v>39</v>
      </c>
      <c r="I45" s="2">
        <f>1.15*49954.32/100</f>
        <v>574.47467999999992</v>
      </c>
      <c r="J45" s="25">
        <f>G45*I45</f>
        <v>12654.748375870135</v>
      </c>
      <c r="K45" s="23"/>
    </row>
    <row r="46" spans="1:11" x14ac:dyDescent="0.25">
      <c r="A46" s="15"/>
      <c r="B46" s="17"/>
      <c r="C46" s="17"/>
      <c r="D46" s="17"/>
      <c r="E46" s="17"/>
      <c r="F46" s="17"/>
      <c r="G46" s="17"/>
      <c r="H46" s="17"/>
      <c r="I46" s="17"/>
      <c r="J46" s="17"/>
      <c r="K46" s="17"/>
    </row>
    <row r="47" spans="1:11" x14ac:dyDescent="0.25">
      <c r="A47" s="15">
        <v>8</v>
      </c>
      <c r="B47" s="26" t="s">
        <v>48</v>
      </c>
      <c r="C47" s="17"/>
      <c r="D47" s="17"/>
      <c r="E47" s="17"/>
      <c r="F47" s="17"/>
      <c r="G47" s="17"/>
      <c r="H47" s="17"/>
      <c r="I47" s="17"/>
      <c r="J47" s="17"/>
      <c r="K47" s="17"/>
    </row>
    <row r="48" spans="1:11" x14ac:dyDescent="0.25">
      <c r="A48" s="15"/>
      <c r="B48" s="16" t="str">
        <f>B39</f>
        <v>-for wing walls of stand tap</v>
      </c>
      <c r="C48" s="17">
        <f>C39</f>
        <v>8</v>
      </c>
      <c r="D48" s="18">
        <f>D39</f>
        <v>1.2</v>
      </c>
      <c r="E48" s="18"/>
      <c r="F48" s="18">
        <f>F39</f>
        <v>0.6</v>
      </c>
      <c r="G48" s="18">
        <f t="shared" ref="G48:G54" si="1">PRODUCT(C48:F48)</f>
        <v>5.76</v>
      </c>
      <c r="H48" s="17"/>
      <c r="I48" s="17"/>
      <c r="J48" s="17"/>
      <c r="K48" s="17"/>
    </row>
    <row r="49" spans="1:27" x14ac:dyDescent="0.25">
      <c r="A49" s="15"/>
      <c r="B49" s="16" t="str">
        <f>B40</f>
        <v>-for side wall of stand tap</v>
      </c>
      <c r="C49" s="17">
        <f>C40</f>
        <v>2</v>
      </c>
      <c r="D49" s="18">
        <f>D40</f>
        <v>1.319</v>
      </c>
      <c r="E49" s="18"/>
      <c r="F49" s="18">
        <f>F40</f>
        <v>0.6</v>
      </c>
      <c r="G49" s="18">
        <f t="shared" si="1"/>
        <v>1.5828</v>
      </c>
      <c r="H49" s="17"/>
      <c r="I49" s="17"/>
      <c r="J49" s="17"/>
      <c r="K49" s="17"/>
    </row>
    <row r="50" spans="1:27" x14ac:dyDescent="0.25">
      <c r="A50" s="15"/>
      <c r="B50" s="16" t="str">
        <f>B41</f>
        <v>-for stand tap</v>
      </c>
      <c r="C50" s="17">
        <f>C41</f>
        <v>2</v>
      </c>
      <c r="D50" s="18">
        <f>D41</f>
        <v>0.35599999999999998</v>
      </c>
      <c r="E50" s="18"/>
      <c r="F50" s="18">
        <f>F41</f>
        <v>1.2</v>
      </c>
      <c r="G50" s="18">
        <f t="shared" si="1"/>
        <v>0.85439999999999994</v>
      </c>
      <c r="H50" s="17"/>
      <c r="I50" s="17"/>
      <c r="J50" s="17"/>
      <c r="K50" s="17"/>
    </row>
    <row r="51" spans="1:27" x14ac:dyDescent="0.25">
      <c r="A51" s="15"/>
      <c r="B51" s="16"/>
      <c r="C51" s="17">
        <f>C42</f>
        <v>2</v>
      </c>
      <c r="D51" s="18">
        <f>D42</f>
        <v>0.46</v>
      </c>
      <c r="E51" s="18"/>
      <c r="F51" s="18">
        <f>F42</f>
        <v>0.6</v>
      </c>
      <c r="G51" s="18">
        <f t="shared" si="1"/>
        <v>0.55200000000000005</v>
      </c>
      <c r="H51" s="17"/>
      <c r="I51" s="17"/>
      <c r="J51" s="17"/>
      <c r="K51" s="17"/>
    </row>
    <row r="52" spans="1:27" x14ac:dyDescent="0.25">
      <c r="A52" s="15"/>
      <c r="B52" s="16" t="s">
        <v>49</v>
      </c>
      <c r="C52" s="17">
        <f>C19</f>
        <v>2</v>
      </c>
      <c r="D52" s="18">
        <v>1.68</v>
      </c>
      <c r="E52" s="18">
        <v>1.68</v>
      </c>
      <c r="F52" s="18"/>
      <c r="G52" s="18">
        <f t="shared" si="1"/>
        <v>5.6447999999999992</v>
      </c>
      <c r="H52" s="17"/>
      <c r="I52" s="17"/>
      <c r="J52" s="17"/>
      <c r="K52" s="17"/>
    </row>
    <row r="53" spans="1:27" x14ac:dyDescent="0.25">
      <c r="A53" s="15"/>
      <c r="B53" s="16" t="str">
        <f>B44</f>
        <v>-for inner face wall of intake</v>
      </c>
      <c r="C53" s="17">
        <f>C44</f>
        <v>2</v>
      </c>
      <c r="D53" s="18">
        <f>D44</f>
        <v>3</v>
      </c>
      <c r="E53" s="18"/>
      <c r="F53" s="18">
        <f>F44</f>
        <v>0.75</v>
      </c>
      <c r="G53" s="18">
        <f t="shared" si="1"/>
        <v>4.5</v>
      </c>
      <c r="H53" s="17"/>
      <c r="I53" s="17"/>
      <c r="J53" s="17"/>
      <c r="K53" s="17"/>
    </row>
    <row r="54" spans="1:27" x14ac:dyDescent="0.25">
      <c r="A54" s="15"/>
      <c r="B54" s="16" t="s">
        <v>79</v>
      </c>
      <c r="C54" s="17">
        <f>C53</f>
        <v>2</v>
      </c>
      <c r="D54" s="18">
        <v>0.75</v>
      </c>
      <c r="E54" s="18">
        <v>0.75</v>
      </c>
      <c r="F54" s="18"/>
      <c r="G54" s="18">
        <f t="shared" si="1"/>
        <v>1.125</v>
      </c>
      <c r="H54" s="17"/>
      <c r="I54" s="17"/>
      <c r="J54" s="17"/>
      <c r="K54" s="17"/>
    </row>
    <row r="55" spans="1:27" ht="15" customHeight="1" x14ac:dyDescent="0.25">
      <c r="A55" s="20"/>
      <c r="B55" s="21" t="s">
        <v>16</v>
      </c>
      <c r="C55" s="22"/>
      <c r="D55" s="1"/>
      <c r="E55" s="23"/>
      <c r="F55" s="23"/>
      <c r="G55" s="2">
        <f>SUM(G48:G54)</f>
        <v>20.018999999999998</v>
      </c>
      <c r="H55" s="24" t="s">
        <v>39</v>
      </c>
      <c r="I55" s="2">
        <f>1.15*28609.6/100</f>
        <v>329.01039999999995</v>
      </c>
      <c r="J55" s="25">
        <f>G55*I55</f>
        <v>6586.4591975999983</v>
      </c>
      <c r="K55" s="23"/>
    </row>
    <row r="56" spans="1:27" x14ac:dyDescent="0.25">
      <c r="A56" s="15"/>
      <c r="B56" s="17"/>
      <c r="C56" s="17"/>
      <c r="D56" s="17"/>
      <c r="E56" s="17"/>
      <c r="F56" s="17"/>
      <c r="G56" s="17"/>
      <c r="H56" s="17"/>
      <c r="I56" s="17"/>
      <c r="J56" s="17"/>
      <c r="K56" s="17"/>
    </row>
    <row r="57" spans="1:27" ht="30" x14ac:dyDescent="0.25">
      <c r="A57" s="15">
        <v>9</v>
      </c>
      <c r="B57" s="40" t="s">
        <v>67</v>
      </c>
      <c r="C57" s="17"/>
      <c r="D57" s="17"/>
      <c r="E57" s="17"/>
      <c r="F57" s="17"/>
      <c r="G57" s="17"/>
      <c r="H57" s="17"/>
      <c r="I57" s="17"/>
      <c r="J57" s="17"/>
      <c r="K57" s="17"/>
    </row>
    <row r="58" spans="1:27" x14ac:dyDescent="0.25">
      <c r="A58" s="15"/>
      <c r="B58" s="16" t="s">
        <v>30</v>
      </c>
      <c r="C58" s="17">
        <f>C19</f>
        <v>2</v>
      </c>
      <c r="D58" s="18">
        <f>3/3.281</f>
        <v>0.91435537945748246</v>
      </c>
      <c r="E58" s="17"/>
      <c r="F58" s="17"/>
      <c r="G58" s="18">
        <f>PRODUCT(C58:F58)</f>
        <v>1.8287107589149649</v>
      </c>
      <c r="H58" s="17"/>
      <c r="I58" s="17"/>
      <c r="J58" s="25"/>
      <c r="K58" s="17"/>
      <c r="W58" s="10"/>
      <c r="X58" s="10"/>
      <c r="Y58" s="10"/>
      <c r="Z58" s="10"/>
      <c r="AA58" s="10"/>
    </row>
    <row r="59" spans="1:27" s="10" customFormat="1" x14ac:dyDescent="0.25">
      <c r="A59" s="20"/>
      <c r="B59" s="41" t="s">
        <v>23</v>
      </c>
      <c r="C59" s="22"/>
      <c r="D59" s="1"/>
      <c r="E59" s="23"/>
      <c r="F59" s="23"/>
      <c r="G59" s="42">
        <f>SUM(G58:G58)</f>
        <v>1.8287107589149649</v>
      </c>
      <c r="H59" s="24" t="s">
        <v>31</v>
      </c>
      <c r="I59" s="2">
        <v>705</v>
      </c>
      <c r="J59" s="42">
        <f>G59*I59</f>
        <v>1289.2410850350502</v>
      </c>
      <c r="K59" s="23"/>
      <c r="W59" s="9"/>
      <c r="X59" s="9"/>
      <c r="Y59" s="9"/>
      <c r="Z59" s="9"/>
      <c r="AA59" s="9"/>
    </row>
    <row r="60" spans="1:27" x14ac:dyDescent="0.25">
      <c r="A60" s="15"/>
      <c r="B60" s="40"/>
      <c r="C60" s="17"/>
      <c r="D60" s="17"/>
      <c r="E60" s="17"/>
      <c r="F60" s="17"/>
      <c r="G60" s="17"/>
      <c r="H60" s="17"/>
      <c r="I60" s="17"/>
      <c r="J60" s="17"/>
      <c r="K60" s="17"/>
      <c r="W60" s="10"/>
      <c r="X60" s="10"/>
      <c r="Y60" s="10"/>
      <c r="Z60" s="10"/>
      <c r="AA60" s="10"/>
    </row>
    <row r="61" spans="1:27" s="10" customFormat="1" ht="30" x14ac:dyDescent="0.25">
      <c r="A61" s="20">
        <v>10</v>
      </c>
      <c r="B61" s="43" t="s">
        <v>32</v>
      </c>
      <c r="C61" s="22">
        <v>1</v>
      </c>
      <c r="D61" s="1"/>
      <c r="E61" s="23"/>
      <c r="F61" s="23"/>
      <c r="G61" s="42">
        <f>PRODUCT(C61:F61)</f>
        <v>1</v>
      </c>
      <c r="H61" s="24" t="s">
        <v>33</v>
      </c>
      <c r="I61" s="2">
        <v>5000</v>
      </c>
      <c r="J61" s="42">
        <f>G61*I61</f>
        <v>5000</v>
      </c>
      <c r="K61" s="23"/>
      <c r="W61" s="9"/>
      <c r="X61" s="9"/>
      <c r="Y61" s="9"/>
      <c r="Z61" s="9"/>
      <c r="AA61" s="9"/>
    </row>
    <row r="62" spans="1:27" x14ac:dyDescent="0.25">
      <c r="A62" s="15"/>
      <c r="B62" s="40"/>
      <c r="C62" s="17"/>
      <c r="D62" s="17"/>
      <c r="E62" s="17"/>
      <c r="F62" s="17"/>
      <c r="G62" s="17"/>
      <c r="H62" s="17"/>
      <c r="I62" s="17"/>
      <c r="J62" s="17"/>
      <c r="K62" s="17"/>
    </row>
    <row r="63" spans="1:27" x14ac:dyDescent="0.25">
      <c r="A63" s="15">
        <v>11</v>
      </c>
      <c r="B63" s="17" t="s">
        <v>65</v>
      </c>
      <c r="C63" s="17"/>
      <c r="D63" s="17"/>
      <c r="E63" s="17"/>
      <c r="F63" s="17"/>
      <c r="G63" s="17"/>
      <c r="H63" s="17"/>
      <c r="I63" s="17"/>
      <c r="J63" s="17"/>
      <c r="K63" s="17"/>
    </row>
    <row r="64" spans="1:27" x14ac:dyDescent="0.25">
      <c r="A64" s="15"/>
      <c r="B64" s="16" t="s">
        <v>62</v>
      </c>
      <c r="C64" s="17">
        <v>1</v>
      </c>
      <c r="D64" s="18">
        <f>(8.5/3.281)-0.35</f>
        <v>2.2406735751295335</v>
      </c>
      <c r="E64" s="18">
        <f>(12/3.281)-0.35</f>
        <v>3.3074215178299298</v>
      </c>
      <c r="F64" s="18"/>
      <c r="G64" s="18">
        <f>PRODUCT(C64:F64)</f>
        <v>7.4108519968163371</v>
      </c>
      <c r="H64" s="17"/>
      <c r="I64" s="17"/>
      <c r="J64" s="17"/>
      <c r="K64" s="17"/>
    </row>
    <row r="65" spans="1:27" ht="15" customHeight="1" x14ac:dyDescent="0.25">
      <c r="A65" s="20"/>
      <c r="B65" s="21" t="s">
        <v>16</v>
      </c>
      <c r="C65" s="22"/>
      <c r="D65" s="1"/>
      <c r="E65" s="23"/>
      <c r="F65" s="23"/>
      <c r="G65" s="2">
        <f>SUM(G64)</f>
        <v>7.4108519968163371</v>
      </c>
      <c r="H65" s="24" t="s">
        <v>39</v>
      </c>
      <c r="I65" s="2">
        <f>1.15*11188.35/10</f>
        <v>1286.6602499999999</v>
      </c>
      <c r="J65" s="25">
        <f>G65*I65</f>
        <v>9535.2486829367062</v>
      </c>
      <c r="K65" s="23"/>
    </row>
    <row r="66" spans="1:27" x14ac:dyDescent="0.25">
      <c r="A66" s="15"/>
      <c r="B66" s="17"/>
      <c r="C66" s="17"/>
      <c r="D66" s="17"/>
      <c r="E66" s="17"/>
      <c r="F66" s="17"/>
      <c r="G66" s="17"/>
      <c r="H66" s="17"/>
      <c r="I66" s="17"/>
      <c r="J66" s="17"/>
      <c r="K66" s="17"/>
    </row>
    <row r="67" spans="1:27" x14ac:dyDescent="0.25">
      <c r="A67" s="15">
        <v>12</v>
      </c>
      <c r="B67" s="17" t="s">
        <v>60</v>
      </c>
      <c r="C67" s="17"/>
      <c r="D67" s="17"/>
      <c r="E67" s="17"/>
      <c r="F67" s="17"/>
      <c r="G67" s="17"/>
      <c r="H67" s="17"/>
      <c r="I67" s="17"/>
      <c r="J67" s="17"/>
      <c r="K67" s="17"/>
    </row>
    <row r="68" spans="1:27" x14ac:dyDescent="0.25">
      <c r="A68" s="15"/>
      <c r="B68" s="16" t="s">
        <v>62</v>
      </c>
      <c r="C68" s="17">
        <v>1</v>
      </c>
      <c r="D68" s="18">
        <f>8.5/3.281</f>
        <v>2.5906735751295336</v>
      </c>
      <c r="E68" s="18">
        <f>12/3.281</f>
        <v>3.6574215178299299</v>
      </c>
      <c r="F68" s="18">
        <v>0.1</v>
      </c>
      <c r="G68" s="18">
        <f>PRODUCT(C68:F68)</f>
        <v>0.94751852793521507</v>
      </c>
      <c r="H68" s="17"/>
      <c r="I68" s="17"/>
      <c r="J68" s="17"/>
      <c r="K68" s="17"/>
    </row>
    <row r="69" spans="1:27" ht="15" customHeight="1" x14ac:dyDescent="0.25">
      <c r="A69" s="20"/>
      <c r="B69" s="21" t="s">
        <v>16</v>
      </c>
      <c r="C69" s="22"/>
      <c r="D69" s="1"/>
      <c r="E69" s="23"/>
      <c r="F69" s="23"/>
      <c r="G69" s="2">
        <f>SUM(G68)</f>
        <v>0.94751852793521507</v>
      </c>
      <c r="H69" s="24" t="s">
        <v>24</v>
      </c>
      <c r="I69" s="2">
        <f>1.15*14337.7</f>
        <v>16488.355</v>
      </c>
      <c r="J69" s="25">
        <f>G69*I69</f>
        <v>15623.021857673242</v>
      </c>
      <c r="K69" s="23"/>
    </row>
    <row r="70" spans="1:27" x14ac:dyDescent="0.25">
      <c r="A70" s="15"/>
      <c r="B70" s="17"/>
      <c r="C70" s="17"/>
      <c r="D70" s="17"/>
      <c r="E70" s="17"/>
      <c r="F70" s="17"/>
      <c r="G70" s="17"/>
      <c r="H70" s="17"/>
      <c r="I70" s="17"/>
      <c r="J70" s="17"/>
      <c r="K70" s="17"/>
    </row>
    <row r="71" spans="1:27" s="10" customFormat="1" ht="45" x14ac:dyDescent="0.25">
      <c r="A71" s="15">
        <v>13</v>
      </c>
      <c r="B71" s="27" t="s">
        <v>63</v>
      </c>
      <c r="C71" s="27"/>
      <c r="D71" s="44" t="s">
        <v>22</v>
      </c>
      <c r="E71" s="44" t="s">
        <v>52</v>
      </c>
      <c r="F71" s="44" t="s">
        <v>53</v>
      </c>
      <c r="G71" s="27"/>
      <c r="H71" s="27"/>
      <c r="I71" s="27"/>
      <c r="J71" s="27"/>
      <c r="K71" s="27"/>
    </row>
    <row r="72" spans="1:27" x14ac:dyDescent="0.25">
      <c r="A72" s="15"/>
      <c r="B72" s="16" t="s">
        <v>62</v>
      </c>
      <c r="C72" s="17">
        <f>2*(TRUNC((D73-0.1)/0.15,0)+1)</f>
        <v>48</v>
      </c>
      <c r="D72" s="18">
        <f>8.5/3.281</f>
        <v>2.5906735751295336</v>
      </c>
      <c r="E72" s="18">
        <f>10*10/162</f>
        <v>0.61728395061728392</v>
      </c>
      <c r="F72" s="18">
        <f>PRODUCT(C72:E72)</f>
        <v>76.760698522356535</v>
      </c>
      <c r="G72" s="18">
        <f>F72</f>
        <v>76.760698522356535</v>
      </c>
      <c r="H72" s="17"/>
      <c r="I72" s="17"/>
      <c r="J72" s="17"/>
      <c r="K72" s="17"/>
    </row>
    <row r="73" spans="1:27" x14ac:dyDescent="0.25">
      <c r="A73" s="15"/>
      <c r="B73" s="16"/>
      <c r="C73" s="17">
        <f>2*(TRUNC((D72-0.1)/0.15,0)+1)</f>
        <v>34</v>
      </c>
      <c r="D73" s="18">
        <f>12/3.281</f>
        <v>3.6574215178299299</v>
      </c>
      <c r="E73" s="18">
        <f>10*10/162</f>
        <v>0.61728395061728392</v>
      </c>
      <c r="F73" s="18">
        <f>PRODUCT(C73:E73)</f>
        <v>76.760698522356549</v>
      </c>
      <c r="G73" s="18">
        <f>F73</f>
        <v>76.760698522356549</v>
      </c>
      <c r="H73" s="17"/>
      <c r="I73" s="17"/>
      <c r="J73" s="17"/>
      <c r="K73" s="17"/>
    </row>
    <row r="74" spans="1:27" ht="15" customHeight="1" x14ac:dyDescent="0.25">
      <c r="A74" s="20"/>
      <c r="B74" s="21" t="s">
        <v>16</v>
      </c>
      <c r="C74" s="22"/>
      <c r="D74" s="1"/>
      <c r="E74" s="23"/>
      <c r="F74" s="23"/>
      <c r="G74" s="2">
        <f>SUM(G72:G73)</f>
        <v>153.52139704471307</v>
      </c>
      <c r="H74" s="24" t="s">
        <v>64</v>
      </c>
      <c r="I74" s="2">
        <f>1.15*9831.6/100</f>
        <v>113.0634</v>
      </c>
      <c r="J74" s="25">
        <f>G74*I74</f>
        <v>17357.651122625211</v>
      </c>
      <c r="K74" s="23"/>
    </row>
    <row r="75" spans="1:27" x14ac:dyDescent="0.25">
      <c r="A75" s="15"/>
      <c r="B75" s="17"/>
      <c r="C75" s="17"/>
      <c r="D75" s="17"/>
      <c r="E75" s="17"/>
      <c r="F75" s="17"/>
      <c r="G75" s="17"/>
      <c r="H75" s="17"/>
      <c r="I75" s="17"/>
      <c r="J75" s="17"/>
      <c r="K75" s="17"/>
    </row>
    <row r="76" spans="1:27" ht="15.75" x14ac:dyDescent="0.25">
      <c r="A76" s="5" t="s">
        <v>35</v>
      </c>
      <c r="B76" s="6" t="s">
        <v>36</v>
      </c>
      <c r="C76" s="5"/>
      <c r="D76" s="7"/>
      <c r="E76" s="7"/>
      <c r="F76" s="7"/>
      <c r="G76" s="7"/>
      <c r="H76" s="5"/>
      <c r="I76" s="7"/>
      <c r="J76" s="7"/>
      <c r="K76" s="8"/>
    </row>
    <row r="77" spans="1:27" ht="33" x14ac:dyDescent="0.25">
      <c r="A77" s="15">
        <v>14</v>
      </c>
      <c r="B77" s="40" t="s">
        <v>80</v>
      </c>
      <c r="C77" s="17"/>
      <c r="D77" s="17"/>
      <c r="E77" s="17"/>
      <c r="F77" s="17"/>
      <c r="G77" s="17"/>
      <c r="H77" s="17"/>
      <c r="I77" s="17"/>
      <c r="J77" s="25"/>
      <c r="K77" s="17"/>
    </row>
    <row r="78" spans="1:27" x14ac:dyDescent="0.25">
      <c r="A78" s="15"/>
      <c r="B78" s="16" t="s">
        <v>34</v>
      </c>
      <c r="C78" s="17">
        <v>1</v>
      </c>
      <c r="D78" s="18">
        <v>800</v>
      </c>
      <c r="E78" s="17">
        <v>0.3</v>
      </c>
      <c r="F78" s="17">
        <v>0.45</v>
      </c>
      <c r="G78" s="18">
        <f>PRODUCT(C78:F78)</f>
        <v>108</v>
      </c>
      <c r="H78" s="17"/>
      <c r="I78" s="17"/>
      <c r="J78" s="25"/>
      <c r="K78" s="17"/>
      <c r="W78" s="10"/>
      <c r="X78" s="10"/>
      <c r="Y78" s="10"/>
      <c r="Z78" s="10"/>
      <c r="AA78" s="10"/>
    </row>
    <row r="79" spans="1:27" x14ac:dyDescent="0.25">
      <c r="A79" s="15"/>
      <c r="B79" s="16"/>
      <c r="C79" s="17">
        <v>1</v>
      </c>
      <c r="D79" s="18">
        <v>150</v>
      </c>
      <c r="E79" s="17">
        <v>0.3</v>
      </c>
      <c r="F79" s="17">
        <v>0.45</v>
      </c>
      <c r="G79" s="18">
        <f>PRODUCT(C79:F79)</f>
        <v>20.25</v>
      </c>
      <c r="H79" s="17"/>
      <c r="I79" s="17"/>
      <c r="J79" s="25"/>
      <c r="K79" s="17"/>
      <c r="W79" s="10"/>
      <c r="X79" s="10"/>
      <c r="Y79" s="10"/>
      <c r="Z79" s="10"/>
      <c r="AA79" s="10"/>
    </row>
    <row r="80" spans="1:27" s="10" customFormat="1" x14ac:dyDescent="0.25">
      <c r="A80" s="20"/>
      <c r="B80" s="41" t="s">
        <v>23</v>
      </c>
      <c r="C80" s="22"/>
      <c r="D80" s="1"/>
      <c r="E80" s="23"/>
      <c r="F80" s="23"/>
      <c r="G80" s="42">
        <f>SUM(G78:G79)</f>
        <v>128.25</v>
      </c>
      <c r="H80" s="24" t="s">
        <v>24</v>
      </c>
      <c r="I80" s="2">
        <f>1.15*963.05</f>
        <v>1107.5074999999999</v>
      </c>
      <c r="J80" s="42">
        <f>G80*I80</f>
        <v>142037.83687499998</v>
      </c>
      <c r="K80" s="23"/>
      <c r="W80" s="9"/>
      <c r="X80" s="9"/>
      <c r="Y80" s="9"/>
      <c r="Z80" s="9"/>
      <c r="AA80" s="9"/>
    </row>
    <row r="81" spans="1:27" x14ac:dyDescent="0.25">
      <c r="A81" s="15"/>
      <c r="B81" s="16"/>
      <c r="C81" s="17"/>
      <c r="D81" s="17"/>
      <c r="E81" s="17"/>
      <c r="F81" s="17"/>
      <c r="G81" s="17"/>
      <c r="H81" s="17"/>
      <c r="I81" s="17"/>
      <c r="J81" s="25"/>
      <c r="K81" s="17"/>
    </row>
    <row r="82" spans="1:27" ht="30" x14ac:dyDescent="0.25">
      <c r="A82" s="15">
        <v>15</v>
      </c>
      <c r="B82" s="40" t="s">
        <v>58</v>
      </c>
      <c r="C82" s="17"/>
      <c r="D82" s="17"/>
      <c r="E82" s="17"/>
      <c r="F82" s="17"/>
      <c r="G82" s="17"/>
      <c r="H82" s="17"/>
      <c r="I82" s="17"/>
      <c r="J82" s="17"/>
      <c r="K82" s="17"/>
    </row>
    <row r="83" spans="1:27" x14ac:dyDescent="0.25">
      <c r="A83" s="15"/>
      <c r="B83" s="16" t="s">
        <v>30</v>
      </c>
      <c r="C83" s="17">
        <v>1</v>
      </c>
      <c r="D83" s="18">
        <v>150</v>
      </c>
      <c r="E83" s="17"/>
      <c r="F83" s="17"/>
      <c r="G83" s="18">
        <f>PRODUCT(C83:F83)</f>
        <v>150</v>
      </c>
      <c r="H83" s="17"/>
      <c r="I83" s="17"/>
      <c r="J83" s="25"/>
      <c r="K83" s="17"/>
      <c r="W83" s="10"/>
      <c r="X83" s="10"/>
      <c r="Y83" s="10"/>
      <c r="Z83" s="10"/>
      <c r="AA83" s="10"/>
    </row>
    <row r="84" spans="1:27" s="10" customFormat="1" x14ac:dyDescent="0.25">
      <c r="A84" s="20"/>
      <c r="B84" s="41" t="s">
        <v>23</v>
      </c>
      <c r="C84" s="22"/>
      <c r="D84" s="1"/>
      <c r="E84" s="23"/>
      <c r="F84" s="23"/>
      <c r="G84" s="42">
        <f>SUM(G83:G83)</f>
        <v>150</v>
      </c>
      <c r="H84" s="24" t="s">
        <v>31</v>
      </c>
      <c r="I84" s="2">
        <f>1.15*4308.15/1000</f>
        <v>4.9543724999999998</v>
      </c>
      <c r="J84" s="42">
        <f>G84*I84</f>
        <v>743.15587499999992</v>
      </c>
      <c r="K84" s="23"/>
      <c r="W84" s="9"/>
      <c r="X84" s="9"/>
      <c r="Y84" s="9"/>
      <c r="Z84" s="9"/>
      <c r="AA84" s="9"/>
    </row>
    <row r="85" spans="1:27" x14ac:dyDescent="0.25">
      <c r="A85" s="15"/>
      <c r="B85" s="40"/>
      <c r="C85" s="17"/>
      <c r="D85" s="17"/>
      <c r="E85" s="17"/>
      <c r="F85" s="17"/>
      <c r="G85" s="17"/>
      <c r="H85" s="17"/>
      <c r="I85" s="17"/>
      <c r="J85" s="17"/>
      <c r="K85" s="17"/>
    </row>
    <row r="86" spans="1:27" ht="30" x14ac:dyDescent="0.25">
      <c r="A86" s="15">
        <v>16</v>
      </c>
      <c r="B86" s="40" t="s">
        <v>59</v>
      </c>
      <c r="C86" s="17"/>
      <c r="D86" s="17"/>
      <c r="E86" s="17"/>
      <c r="F86" s="17"/>
      <c r="G86" s="17"/>
      <c r="H86" s="17"/>
      <c r="I86" s="17"/>
      <c r="J86" s="17"/>
      <c r="K86" s="17"/>
    </row>
    <row r="87" spans="1:27" x14ac:dyDescent="0.25">
      <c r="A87" s="15"/>
      <c r="B87" s="16" t="s">
        <v>30</v>
      </c>
      <c r="C87" s="17">
        <v>1</v>
      </c>
      <c r="D87" s="18">
        <f>D78</f>
        <v>800</v>
      </c>
      <c r="E87" s="17"/>
      <c r="F87" s="17"/>
      <c r="G87" s="18">
        <f>PRODUCT(C87:F87)</f>
        <v>800</v>
      </c>
      <c r="H87" s="17"/>
      <c r="I87" s="17"/>
      <c r="J87" s="25"/>
      <c r="K87" s="17"/>
      <c r="W87" s="10"/>
      <c r="X87" s="10"/>
      <c r="Y87" s="10"/>
      <c r="Z87" s="10"/>
      <c r="AA87" s="10"/>
    </row>
    <row r="88" spans="1:27" s="10" customFormat="1" x14ac:dyDescent="0.25">
      <c r="A88" s="20"/>
      <c r="B88" s="41" t="s">
        <v>23</v>
      </c>
      <c r="C88" s="22"/>
      <c r="D88" s="1"/>
      <c r="E88" s="23"/>
      <c r="F88" s="23"/>
      <c r="G88" s="42">
        <f>SUM(G87:G87)</f>
        <v>800</v>
      </c>
      <c r="H88" s="24" t="s">
        <v>31</v>
      </c>
      <c r="I88" s="2">
        <f>1.15*5319.5/1000</f>
        <v>6.117424999999999</v>
      </c>
      <c r="J88" s="42">
        <f>G88*I88</f>
        <v>4893.9399999999996</v>
      </c>
      <c r="K88" s="23"/>
      <c r="W88" s="9"/>
      <c r="X88" s="9"/>
      <c r="Y88" s="9"/>
      <c r="Z88" s="9"/>
      <c r="AA88" s="9"/>
    </row>
    <row r="89" spans="1:27" x14ac:dyDescent="0.25">
      <c r="A89" s="15"/>
      <c r="B89" s="40"/>
      <c r="C89" s="17"/>
      <c r="D89" s="17"/>
      <c r="E89" s="17"/>
      <c r="F89" s="17"/>
      <c r="G89" s="17"/>
      <c r="H89" s="17"/>
      <c r="I89" s="17"/>
      <c r="J89" s="17"/>
      <c r="K89" s="17"/>
    </row>
    <row r="90" spans="1:27" ht="45" x14ac:dyDescent="0.25">
      <c r="A90" s="15">
        <v>17</v>
      </c>
      <c r="B90" s="45" t="s">
        <v>25</v>
      </c>
      <c r="C90" s="17"/>
      <c r="D90" s="26" t="s">
        <v>22</v>
      </c>
      <c r="E90" s="26" t="s">
        <v>26</v>
      </c>
      <c r="F90" s="26" t="s">
        <v>27</v>
      </c>
      <c r="G90" s="17"/>
      <c r="H90" s="17"/>
      <c r="I90" s="17"/>
      <c r="J90" s="25"/>
      <c r="K90" s="17"/>
      <c r="W90" s="10"/>
      <c r="X90" s="10"/>
      <c r="Y90" s="10"/>
      <c r="Z90" s="10"/>
      <c r="AA90" s="10"/>
    </row>
    <row r="91" spans="1:27" s="10" customFormat="1" ht="30" x14ac:dyDescent="0.25">
      <c r="A91" s="15"/>
      <c r="B91" s="46" t="s">
        <v>61</v>
      </c>
      <c r="C91" s="27">
        <v>1</v>
      </c>
      <c r="D91" s="35">
        <f>D78</f>
        <v>800</v>
      </c>
      <c r="E91" s="27">
        <v>0.33800000000000002</v>
      </c>
      <c r="F91" s="27">
        <f>C91*D91*E91</f>
        <v>270.40000000000003</v>
      </c>
      <c r="G91" s="35">
        <f>F91</f>
        <v>270.40000000000003</v>
      </c>
      <c r="H91" s="27"/>
      <c r="I91" s="27"/>
      <c r="J91" s="24"/>
      <c r="K91" s="27"/>
      <c r="W91" s="9"/>
      <c r="X91" s="9"/>
      <c r="Y91" s="9"/>
      <c r="Z91" s="9"/>
      <c r="AA91" s="9"/>
    </row>
    <row r="92" spans="1:27" s="10" customFormat="1" ht="30" x14ac:dyDescent="0.25">
      <c r="A92" s="15"/>
      <c r="B92" s="46" t="s">
        <v>66</v>
      </c>
      <c r="C92" s="27">
        <v>1</v>
      </c>
      <c r="D92" s="35">
        <f>D83</f>
        <v>150</v>
      </c>
      <c r="E92" s="27">
        <v>0.20799999999999999</v>
      </c>
      <c r="F92" s="27">
        <f>C92*D92*E92</f>
        <v>31.2</v>
      </c>
      <c r="G92" s="35">
        <f>F92</f>
        <v>31.2</v>
      </c>
      <c r="H92" s="27"/>
      <c r="I92" s="27"/>
      <c r="J92" s="24"/>
      <c r="K92" s="27"/>
      <c r="W92" s="9"/>
      <c r="X92" s="9"/>
      <c r="Y92" s="9"/>
      <c r="Z92" s="9"/>
      <c r="AA92" s="9"/>
    </row>
    <row r="93" spans="1:27" ht="15" customHeight="1" x14ac:dyDescent="0.25">
      <c r="A93" s="20"/>
      <c r="B93" s="21" t="s">
        <v>16</v>
      </c>
      <c r="C93" s="22"/>
      <c r="D93" s="1"/>
      <c r="E93" s="23"/>
      <c r="F93" s="23"/>
      <c r="G93" s="2">
        <f>SUM(G91:G92)</f>
        <v>301.60000000000002</v>
      </c>
      <c r="H93" s="24" t="s">
        <v>28</v>
      </c>
      <c r="I93" s="2">
        <v>287</v>
      </c>
      <c r="J93" s="25">
        <f>G93*I93</f>
        <v>86559.200000000012</v>
      </c>
      <c r="K93" s="23"/>
    </row>
    <row r="94" spans="1:27" x14ac:dyDescent="0.25">
      <c r="A94" s="15"/>
      <c r="B94" s="17"/>
      <c r="C94" s="17"/>
      <c r="D94" s="17"/>
      <c r="E94" s="17"/>
      <c r="F94" s="17"/>
      <c r="G94" s="17"/>
      <c r="H94" s="17"/>
      <c r="I94" s="17"/>
      <c r="J94" s="17"/>
      <c r="K94" s="17"/>
    </row>
    <row r="95" spans="1:27" ht="15" customHeight="1" x14ac:dyDescent="0.25">
      <c r="A95" s="20">
        <v>18</v>
      </c>
      <c r="B95" s="47" t="s">
        <v>17</v>
      </c>
      <c r="C95" s="22">
        <v>1</v>
      </c>
      <c r="D95" s="1"/>
      <c r="E95" s="23"/>
      <c r="F95" s="23"/>
      <c r="G95" s="24">
        <f>PRODUCT(C95:F95)</f>
        <v>1</v>
      </c>
      <c r="H95" s="24" t="s">
        <v>18</v>
      </c>
      <c r="I95" s="2">
        <v>500</v>
      </c>
      <c r="J95" s="24">
        <f>G95*I95</f>
        <v>500</v>
      </c>
      <c r="K95" s="23"/>
    </row>
    <row r="96" spans="1:27" x14ac:dyDescent="0.25">
      <c r="A96" s="20"/>
      <c r="B96" s="28"/>
      <c r="C96" s="22"/>
      <c r="D96" s="1"/>
      <c r="E96" s="23"/>
      <c r="F96" s="23"/>
      <c r="G96" s="2"/>
      <c r="H96" s="24"/>
      <c r="I96" s="2"/>
      <c r="J96" s="25"/>
      <c r="K96" s="23"/>
    </row>
    <row r="97" spans="1:27" x14ac:dyDescent="0.25">
      <c r="A97" s="29"/>
      <c r="B97" s="30" t="s">
        <v>20</v>
      </c>
      <c r="C97" s="31"/>
      <c r="D97" s="32"/>
      <c r="E97" s="32"/>
      <c r="F97" s="32"/>
      <c r="G97" s="25"/>
      <c r="H97" s="25"/>
      <c r="I97" s="25"/>
      <c r="J97" s="25">
        <f>SUM(J11:J95)</f>
        <v>386447.57443779835</v>
      </c>
      <c r="K97" s="33"/>
    </row>
    <row r="98" spans="1:27" x14ac:dyDescent="0.25">
      <c r="W98" s="10"/>
      <c r="X98" s="10"/>
      <c r="Y98" s="10"/>
      <c r="Z98" s="10"/>
      <c r="AA98" s="10"/>
    </row>
    <row r="99" spans="1:27" s="10" customFormat="1" x14ac:dyDescent="0.25">
      <c r="A99" s="34"/>
      <c r="B99" s="27" t="s">
        <v>19</v>
      </c>
      <c r="C99" s="48">
        <f>J97</f>
        <v>386447.57443779835</v>
      </c>
      <c r="D99" s="49"/>
      <c r="E99" s="35"/>
      <c r="F99" s="34"/>
      <c r="G99" s="36"/>
      <c r="H99" s="34"/>
      <c r="I99" s="37"/>
      <c r="J99" s="38"/>
      <c r="K99" s="39"/>
      <c r="W99" s="9"/>
      <c r="X99" s="9"/>
      <c r="Y99" s="9"/>
      <c r="Z99" s="9"/>
      <c r="AA99" s="9"/>
    </row>
  </sheetData>
  <mergeCells count="10">
    <mergeCell ref="A7:F7"/>
    <mergeCell ref="H7:K7"/>
    <mergeCell ref="A1:K1"/>
    <mergeCell ref="A2:K2"/>
    <mergeCell ref="A3:K3"/>
    <mergeCell ref="A4:K4"/>
    <mergeCell ref="A5:K5"/>
    <mergeCell ref="A6:F6"/>
    <mergeCell ref="H6:K6"/>
    <mergeCell ref="C99:D9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2860-19E2-415C-9355-7D92F783F6B0}">
  <dimension ref="A8:J122"/>
  <sheetViews>
    <sheetView workbookViewId="0">
      <selection activeCell="L9" sqref="L9"/>
    </sheetView>
  </sheetViews>
  <sheetFormatPr defaultRowHeight="15" x14ac:dyDescent="0.25"/>
  <cols>
    <col min="1" max="1" width="6.42578125" style="9" bestFit="1" customWidth="1"/>
    <col min="2" max="2" width="7.42578125" style="9" bestFit="1" customWidth="1"/>
    <col min="3" max="4" width="8.42578125" style="9" bestFit="1" customWidth="1"/>
    <col min="5" max="5" width="9.140625" style="9"/>
    <col min="6" max="6" width="8.85546875" style="9" customWidth="1"/>
    <col min="7" max="8" width="8.5703125" style="9" bestFit="1" customWidth="1"/>
    <col min="9" max="9" width="6.5703125" style="9" customWidth="1"/>
    <col min="10" max="10" width="9.42578125" style="9" customWidth="1"/>
  </cols>
  <sheetData>
    <row r="8" spans="1:10" x14ac:dyDescent="0.25">
      <c r="A8" s="9" t="s">
        <v>43</v>
      </c>
      <c r="G8" s="10" t="s">
        <v>69</v>
      </c>
      <c r="H8" s="10"/>
      <c r="I8" s="10"/>
      <c r="J8" s="10"/>
    </row>
    <row r="9" spans="1:10" ht="45" x14ac:dyDescent="0.25">
      <c r="A9" s="9" t="s">
        <v>44</v>
      </c>
      <c r="B9" s="9" t="s">
        <v>9</v>
      </c>
      <c r="C9" s="9" t="s">
        <v>50</v>
      </c>
      <c r="D9" s="9" t="s">
        <v>45</v>
      </c>
      <c r="E9" s="9" t="s">
        <v>46</v>
      </c>
      <c r="F9" s="14" t="s">
        <v>57</v>
      </c>
      <c r="G9" s="9" t="s">
        <v>44</v>
      </c>
      <c r="H9" s="9" t="s">
        <v>70</v>
      </c>
      <c r="I9" s="9" t="s">
        <v>71</v>
      </c>
      <c r="J9" s="14" t="s">
        <v>72</v>
      </c>
    </row>
    <row r="10" spans="1:10" x14ac:dyDescent="0.25">
      <c r="A10" s="19">
        <f>5.5/3.281</f>
        <v>1.6763181956720512</v>
      </c>
      <c r="B10" s="19">
        <f>5.5/3.281</f>
        <v>1.6763181956720512</v>
      </c>
      <c r="C10" s="19">
        <v>0.23</v>
      </c>
      <c r="D10" s="19">
        <f>TRUNC(2/3.281,1)</f>
        <v>0.6</v>
      </c>
      <c r="E10" s="19">
        <f>TRUNC(4/3.281,1)</f>
        <v>1.2</v>
      </c>
      <c r="F10" s="19">
        <f>1.17/3.281</f>
        <v>0.35659859798841814</v>
      </c>
      <c r="G10" s="19">
        <f>0.75+J10+J10</f>
        <v>1.4631971959768362</v>
      </c>
      <c r="H10" s="19">
        <f>0.75+J10+J10</f>
        <v>1.4631971959768362</v>
      </c>
      <c r="I10" s="9">
        <v>0.75</v>
      </c>
      <c r="J10" s="19">
        <f>1.17/3.281</f>
        <v>0.35659859798841814</v>
      </c>
    </row>
    <row r="73" spans="1:10" x14ac:dyDescent="0.25">
      <c r="A73" s="10"/>
      <c r="B73" s="10"/>
      <c r="C73" s="10"/>
      <c r="D73" s="10"/>
      <c r="E73" s="10"/>
      <c r="F73" s="10"/>
      <c r="G73" s="10"/>
      <c r="H73" s="10"/>
      <c r="I73" s="10"/>
      <c r="J73" s="10"/>
    </row>
    <row r="76" spans="1:10" x14ac:dyDescent="0.25">
      <c r="A76" s="10"/>
      <c r="B76" s="10"/>
      <c r="C76" s="10"/>
      <c r="D76" s="10"/>
      <c r="E76" s="10"/>
      <c r="F76" s="10"/>
      <c r="G76" s="10"/>
      <c r="H76" s="10"/>
      <c r="I76" s="10"/>
      <c r="J76" s="10"/>
    </row>
    <row r="92" spans="1:10" x14ac:dyDescent="0.25">
      <c r="A92" s="10"/>
      <c r="B92" s="10"/>
      <c r="C92" s="10"/>
      <c r="D92" s="10"/>
      <c r="E92" s="10"/>
      <c r="F92" s="10"/>
      <c r="G92" s="10"/>
      <c r="H92" s="10"/>
      <c r="I92" s="10"/>
      <c r="J92" s="10"/>
    </row>
    <row r="101" spans="1:10" x14ac:dyDescent="0.25">
      <c r="A101" s="10"/>
      <c r="B101" s="10"/>
      <c r="C101" s="10"/>
      <c r="D101" s="10"/>
      <c r="E101" s="10"/>
      <c r="F101" s="10"/>
      <c r="G101" s="10"/>
      <c r="H101" s="10"/>
      <c r="I101" s="10"/>
      <c r="J101" s="10"/>
    </row>
    <row r="102" spans="1:10" x14ac:dyDescent="0.25">
      <c r="A102" s="10"/>
      <c r="B102" s="10"/>
      <c r="C102" s="10"/>
      <c r="D102" s="10"/>
      <c r="E102" s="10"/>
      <c r="F102" s="10"/>
      <c r="G102" s="10"/>
      <c r="H102" s="10"/>
      <c r="I102" s="10"/>
      <c r="J102" s="10"/>
    </row>
    <row r="106" spans="1:10" x14ac:dyDescent="0.25">
      <c r="A106" s="10"/>
      <c r="B106" s="10"/>
      <c r="C106" s="10"/>
      <c r="D106" s="10"/>
      <c r="E106" s="10"/>
      <c r="F106" s="10"/>
      <c r="G106" s="10"/>
      <c r="H106" s="10"/>
      <c r="I106" s="10"/>
      <c r="J106" s="10"/>
    </row>
    <row r="110" spans="1:10" x14ac:dyDescent="0.25">
      <c r="A110" s="10"/>
      <c r="B110" s="10"/>
      <c r="C110" s="10"/>
      <c r="D110" s="10"/>
      <c r="E110" s="10"/>
      <c r="F110" s="10"/>
      <c r="G110" s="10"/>
      <c r="H110" s="10"/>
      <c r="I110" s="10"/>
      <c r="J110" s="10"/>
    </row>
    <row r="113" spans="1:10" x14ac:dyDescent="0.25">
      <c r="A113" s="10"/>
      <c r="B113" s="10"/>
      <c r="C113" s="10"/>
      <c r="D113" s="10"/>
      <c r="E113" s="10"/>
      <c r="F113" s="10"/>
      <c r="G113" s="10"/>
      <c r="H113" s="10"/>
      <c r="I113" s="10"/>
      <c r="J113" s="10"/>
    </row>
    <row r="122" spans="1:10" x14ac:dyDescent="0.25">
      <c r="A122" s="10"/>
      <c r="B122" s="10"/>
      <c r="C122" s="10"/>
      <c r="D122" s="10"/>
      <c r="E122" s="10"/>
      <c r="F122" s="10"/>
      <c r="G122" s="10"/>
      <c r="H122" s="10"/>
      <c r="I122" s="10"/>
      <c r="J122" s="10"/>
    </row>
  </sheetData>
  <sheetProtection algorithmName="SHA-512" hashValue="JddMpgINT0sh89356hsRw9s8FX4O3M6zyfacTNATsAEQzljf7cypWEoI/4cZ1XlmggI6PoE6FpBI1/kqM8yUbQ==" saltValue="/hUBMNhPSP/iuQZcIFirF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2026-03-30T05:56:53Z</dcterms:modified>
</cp:coreProperties>
</file>