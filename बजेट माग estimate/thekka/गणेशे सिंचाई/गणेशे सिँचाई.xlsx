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FAFA9771-442C-46DC-A8F2-D92BF8F25E2B}" xr6:coauthVersionLast="47" xr6:coauthVersionMax="47" xr10:uidLastSave="{00000000-0000-0000-0000-000000000000}"/>
  <bookViews>
    <workbookView xWindow="-120" yWindow="-120" windowWidth="20730" windowHeight="11040" xr2:uid="{00000000-000D-0000-FFFF-FFFF00000000}"/>
  </bookViews>
  <sheets>
    <sheet name="water tank"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 i="13" l="1"/>
  <c r="D52" i="13" l="1"/>
  <c r="F10" i="13"/>
  <c r="F30" i="13"/>
  <c r="F11" i="13" s="1"/>
  <c r="C30" i="13"/>
  <c r="B30" i="13"/>
  <c r="C16" i="13"/>
  <c r="B16" i="13"/>
  <c r="B22" i="13" s="1"/>
  <c r="D30" i="13"/>
  <c r="D23" i="13" s="1"/>
  <c r="G23" i="13" s="1"/>
  <c r="E22" i="13" l="1"/>
  <c r="E11" i="13"/>
  <c r="E16" i="13" s="1"/>
  <c r="F16" i="13"/>
  <c r="E30" i="13"/>
  <c r="D22" i="13"/>
  <c r="D16" i="13"/>
  <c r="E52" i="13"/>
  <c r="E51" i="13"/>
  <c r="C37" i="13"/>
  <c r="B37" i="13"/>
  <c r="F44" i="13"/>
  <c r="F37" i="13" s="1"/>
  <c r="E44" i="13"/>
  <c r="F43" i="13"/>
  <c r="N10" i="13"/>
  <c r="D51" i="13" s="1"/>
  <c r="C51" i="13"/>
  <c r="B15" i="13"/>
  <c r="B21" i="13" s="1"/>
  <c r="B51" i="13" s="1"/>
  <c r="C15" i="13"/>
  <c r="C21" i="13" s="1"/>
  <c r="C43" i="13" s="1"/>
  <c r="G11" i="13" l="1"/>
  <c r="G16" i="13"/>
  <c r="G22" i="13"/>
  <c r="E15" i="13"/>
  <c r="E21" i="13"/>
  <c r="E43" i="13" s="1"/>
  <c r="D10" i="13"/>
  <c r="D15" i="13" s="1"/>
  <c r="E10" i="13"/>
  <c r="D44" i="13"/>
  <c r="D21" i="13"/>
  <c r="D43" i="13" s="1"/>
  <c r="F51" i="13"/>
  <c r="G51" i="13" s="1"/>
  <c r="C52" i="13"/>
  <c r="I17" i="13"/>
  <c r="G43" i="13" l="1"/>
  <c r="G10" i="13"/>
  <c r="G12" i="13" s="1"/>
  <c r="G15" i="13"/>
  <c r="F52" i="13"/>
  <c r="G52" i="13" s="1"/>
  <c r="G21" i="13"/>
  <c r="G24" i="13" s="1"/>
  <c r="G44" i="13"/>
  <c r="D37" i="13"/>
  <c r="I38" i="13"/>
  <c r="I53" i="13"/>
  <c r="G45" i="13" l="1"/>
  <c r="G53" i="13"/>
  <c r="G17" i="13"/>
  <c r="G37" i="13"/>
  <c r="G38" i="13" l="1"/>
  <c r="J40" i="13" s="1"/>
  <c r="J46" i="13"/>
  <c r="G30" i="13"/>
  <c r="J53" i="13" l="1"/>
  <c r="G31" i="13"/>
  <c r="J31" i="13" s="1"/>
  <c r="J48" i="13"/>
  <c r="J47" i="13"/>
  <c r="J45" i="13"/>
  <c r="J38" i="13"/>
  <c r="J39" i="13"/>
  <c r="J54" i="13" l="1"/>
  <c r="J55" i="13"/>
  <c r="J34" i="13"/>
  <c r="J33" i="13"/>
  <c r="J32" i="13"/>
  <c r="J18" i="13"/>
  <c r="J17" i="13"/>
  <c r="C68" i="13" l="1"/>
  <c r="C67" i="13"/>
  <c r="G59" i="13"/>
  <c r="J59" i="13" s="1"/>
  <c r="G57" i="13"/>
  <c r="J57" i="13" s="1"/>
  <c r="C65" i="13" l="1"/>
  <c r="J12" i="13"/>
  <c r="J27" i="13" l="1"/>
  <c r="J24" i="13"/>
  <c r="J26" i="13"/>
  <c r="J25" i="13"/>
  <c r="J61" i="13" l="1"/>
  <c r="C63" i="13" s="1"/>
  <c r="C66" i="13" s="1"/>
  <c r="E65" i="13" l="1"/>
  <c r="E66" i="13" s="1"/>
</calcChain>
</file>

<file path=xl/sharedStrings.xml><?xml version="1.0" encoding="utf-8"?>
<sst xmlns="http://schemas.openxmlformats.org/spreadsheetml/2006/main" count="80" uniqueCount="63">
  <si>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</si>
  <si>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</si>
  <si>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</si>
  <si>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</si>
  <si>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</si>
  <si>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</si>
  <si>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</si>
  <si>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</si>
  <si>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</si>
  <si>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</si>
  <si>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</si>
  <si>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</si>
  <si>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</si>
  <si>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</si>
  <si>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</si>
  <si>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</si>
  <si>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</si>
  <si>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</si>
  <si>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</si>
  <si>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</si>
  <si>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</si>
  <si>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</si>
  <si>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</si>
  <si>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</si>
  <si>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</si>
  <si>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</si>
  <si>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</si>
  <si>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</si>
  <si>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cum</t>
  </si>
  <si>
    <t>Location:- Shankharapur Municipality 1</t>
  </si>
  <si>
    <t>PS</t>
  </si>
  <si>
    <t>-13% VAT for sand</t>
  </si>
  <si>
    <t>Plain cement concrete (1:2:4)</t>
  </si>
  <si>
    <t>-13% VAT for cement</t>
  </si>
  <si>
    <t>-13% VAT for aggregate</t>
  </si>
  <si>
    <t>sqm</t>
  </si>
  <si>
    <t>length</t>
  </si>
  <si>
    <t>-13% VAT for block stone</t>
  </si>
  <si>
    <t>thickness</t>
  </si>
  <si>
    <t>Date:2082</t>
  </si>
  <si>
    <t>Unit Weight (Kg/m)</t>
  </si>
  <si>
    <t>Total Weight (Kg)</t>
  </si>
  <si>
    <t>-13% VAT for nails</t>
  </si>
  <si>
    <t>Earthwork in Excavation in ordinary soil</t>
  </si>
  <si>
    <t>Plain cement concrete (1:1.5:3)</t>
  </si>
  <si>
    <t>Mild steel reinforcement</t>
  </si>
  <si>
    <t>Kg</t>
  </si>
  <si>
    <t>-13% VAT for MS bars</t>
  </si>
  <si>
    <t>-13% VAT for Bind wire</t>
  </si>
  <si>
    <t>Form work for concrete work</t>
  </si>
  <si>
    <t>-13% VAT for local wood</t>
  </si>
  <si>
    <t>breadth</t>
  </si>
  <si>
    <t>height</t>
  </si>
  <si>
    <t>Dry boulder packing work</t>
  </si>
  <si>
    <t>R.R. masonry in 1:6 cement mortar</t>
  </si>
  <si>
    <t>-for kulo</t>
  </si>
  <si>
    <t>kulo</t>
  </si>
  <si>
    <t>-for kulo base</t>
  </si>
  <si>
    <t>-for kulo shear wall</t>
  </si>
  <si>
    <t>-distribution bars</t>
  </si>
  <si>
    <t>-for masonary wall 1</t>
  </si>
  <si>
    <t>Provisional sum for other unforseen works and lab tests</t>
  </si>
  <si>
    <r>
      <t>Project:-</t>
    </r>
    <r>
      <rPr>
        <sz val="12"/>
        <rFont val="Preeti"/>
      </rPr>
      <t xml:space="preserve"> </t>
    </r>
    <r>
      <rPr>
        <sz val="14"/>
        <rFont val="Preeti"/>
      </rPr>
      <t>u0f]z] l;FrfO{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</si>
</sst>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7">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xf numFmtId="0" fontId="4" fillId="0" borderId="0" xfId="0" applyFont="1"/>
    <xf numFmtId="0" fontId="4" fillId="0" borderId="0" xfId="0" applyFont="1" applyAlignment="1">
      <alignment vertical="center"/>
    </xf>
    <xf numFmtId="2" fontId="4" fillId="0" borderId="2" xfId="0" applyNumberFormat="1" applyFont="1" applyBorder="1"/>
    <xf numFmtId="0" fontId="0" fillId="0" borderId="0" xfId="0" applyAlignment="1">
      <alignment vertical="center"/>
    </xf>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9" fillId="0" borderId="2" xfId="0" applyFont="1" applyBorder="1" applyAlignment="1">
      <alignment vertical="center"/>
    </xf>
    <xf numFmtId="43" fontId="9" fillId="0" borderId="2" xfId="1" applyFont="1" applyFill="1" applyBorder="1" applyAlignment="1">
      <alignment vertical="center"/>
    </xf>
    <xf numFmtId="0" fontId="9" fillId="0" borderId="2" xfId="0" applyFont="1" applyBorder="1" applyAlignment="1">
      <alignment vertical="center" wrapText="1"/>
    </xf>
    <xf numFmtId="0" fontId="6" fillId="0" borderId="2" xfId="0" applyFont="1" applyBorder="1" applyAlignment="1">
      <alignment vertical="center"/>
    </xf>
    <xf numFmtId="0" fontId="4" fillId="0" borderId="2" xfId="0" quotePrefix="1" applyFont="1" applyBorder="1" applyAlignment="1">
      <alignment horizontal="right"/>
    </xf>
    <xf numFmtId="1" fontId="4" fillId="0" borderId="2" xfId="0" applyNumberFormat="1" applyFont="1" applyBorder="1"/>
    <xf numFmtId="0" fontId="4" fillId="0" borderId="2" xfId="0" applyFont="1" applyBorder="1"/>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wrapText="1"/>
    </xf>
    <xf numFmtId="0" fontId="4" fillId="0" borderId="2" xfId="0" applyFont="1" applyBorder="1" applyAlignment="1">
      <alignment vertical="center" wrapText="1"/>
    </xf>
    <xf numFmtId="0" fontId="2" fillId="0" borderId="2" xfId="0" quotePrefix="1" applyFont="1" applyBorder="1" applyAlignment="1">
      <alignment vertical="center" wrapText="1"/>
    </xf>
    <xf numFmtId="2" fontId="6" fillId="0" borderId="2" xfId="0" applyNumberFormat="1" applyFont="1" applyBorder="1" applyAlignment="1">
      <alignment vertical="center"/>
    </xf>
    <xf numFmtId="1" fontId="2" fillId="0" borderId="2" xfId="0" applyNumberFormat="1" applyFont="1" applyBorder="1" applyAlignment="1">
      <alignment vertical="center"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8"/>
  <sheetViews>
    <sheetView tabSelected="1" topLeftCell="A3" workbookViewId="0">
      <selection activeCell="C10" sqref="C10"/>
    </sheetView>
  </sheetViews>
  <sheetFormatPr defaultColWidth="9.140625" defaultRowHeight="15" x14ac:dyDescent="0.25"/>
  <cols>
    <col min="1" max="1" width="4.7109375" customWidth="1"/>
    <col min="2" max="2" width="30.85546875" customWidth="1"/>
    <col min="3" max="3" width="4.42578125" bestFit="1" customWidth="1"/>
    <col min="4" max="4" width="8.42578125" customWidth="1"/>
    <col min="5" max="5" width="8.5703125" customWidth="1"/>
    <col min="6" max="6" width="7.28515625" customWidth="1"/>
    <col min="8" max="8" width="5" bestFit="1" customWidth="1"/>
    <col min="9" max="9" width="9.5703125" customWidth="1"/>
    <col min="10" max="10" width="10.7109375" bestFit="1" customWidth="1"/>
    <col min="13" max="13" width="8.42578125" bestFit="1" customWidth="1"/>
    <col min="14" max="15" width="7.7109375" bestFit="1" customWidth="1"/>
  </cols>
  <sheetData>
    <row r="1" spans="1:17" x14ac:dyDescent="0.25">
      <c r="A1" s="51" t="s">
        <v>0</v>
      </c>
      <c r="B1" s="51"/>
      <c r="C1" s="51"/>
      <c r="D1" s="51"/>
      <c r="E1" s="51"/>
      <c r="F1" s="51"/>
      <c r="G1" s="51"/>
      <c r="H1" s="51"/>
      <c r="I1" s="51"/>
      <c r="J1" s="51"/>
      <c r="K1" s="51"/>
    </row>
    <row r="2" spans="1:17" ht="22.5" x14ac:dyDescent="0.25">
      <c r="A2" s="52" t="s">
        <v>1</v>
      </c>
      <c r="B2" s="52"/>
      <c r="C2" s="52"/>
      <c r="D2" s="52"/>
      <c r="E2" s="52"/>
      <c r="F2" s="52"/>
      <c r="G2" s="52"/>
      <c r="H2" s="52"/>
      <c r="I2" s="52"/>
      <c r="J2" s="52"/>
      <c r="K2" s="52"/>
    </row>
    <row r="3" spans="1:17" x14ac:dyDescent="0.25">
      <c r="A3" s="53" t="s">
        <v>2</v>
      </c>
      <c r="B3" s="53"/>
      <c r="C3" s="53"/>
      <c r="D3" s="53"/>
      <c r="E3" s="53"/>
      <c r="F3" s="53"/>
      <c r="G3" s="53"/>
      <c r="H3" s="53"/>
      <c r="I3" s="53"/>
      <c r="J3" s="53"/>
      <c r="K3" s="53"/>
    </row>
    <row r="4" spans="1:17" x14ac:dyDescent="0.25">
      <c r="A4" s="53" t="s">
        <v>3</v>
      </c>
      <c r="B4" s="53"/>
      <c r="C4" s="53"/>
      <c r="D4" s="53"/>
      <c r="E4" s="53"/>
      <c r="F4" s="53"/>
      <c r="G4" s="53"/>
      <c r="H4" s="53"/>
      <c r="I4" s="53"/>
      <c r="J4" s="53"/>
      <c r="K4" s="53"/>
    </row>
    <row r="5" spans="1:17" ht="18.75" x14ac:dyDescent="0.3">
      <c r="A5" s="54" t="s">
        <v>4</v>
      </c>
      <c r="B5" s="54"/>
      <c r="C5" s="54"/>
      <c r="D5" s="54"/>
      <c r="E5" s="54"/>
      <c r="F5" s="54"/>
      <c r="G5" s="54"/>
      <c r="H5" s="54"/>
      <c r="I5" s="54"/>
      <c r="J5" s="54"/>
      <c r="K5" s="54"/>
    </row>
    <row r="6" spans="1:17" ht="18" x14ac:dyDescent="0.25">
      <c r="A6" s="55" t="s">
        <v>62</v>
      </c>
      <c r="B6" s="55"/>
      <c r="C6" s="55"/>
      <c r="D6" s="55"/>
      <c r="E6" s="55"/>
      <c r="F6" s="55"/>
      <c r="G6" s="3"/>
      <c r="H6" s="56" t="s">
        <v>25</v>
      </c>
      <c r="I6" s="56"/>
      <c r="J6" s="56"/>
      <c r="K6" s="56"/>
    </row>
    <row r="7" spans="1:17" ht="15.75" x14ac:dyDescent="0.25">
      <c r="A7" s="49" t="s">
        <v>29</v>
      </c>
      <c r="B7" s="49"/>
      <c r="C7" s="49"/>
      <c r="D7" s="49"/>
      <c r="E7" s="49"/>
      <c r="F7" s="49"/>
      <c r="G7" s="4"/>
      <c r="H7" s="50" t="s">
        <v>39</v>
      </c>
      <c r="I7" s="50"/>
      <c r="J7" s="50"/>
      <c r="K7" s="50"/>
    </row>
    <row r="8" spans="1:17" s="5" customFormat="1" ht="15.75" x14ac:dyDescent="0.25">
      <c r="A8" s="9" t="s">
        <v>5</v>
      </c>
      <c r="B8" s="10" t="s">
        <v>6</v>
      </c>
      <c r="C8" s="9" t="s">
        <v>7</v>
      </c>
      <c r="D8" s="11" t="s">
        <v>8</v>
      </c>
      <c r="E8" s="11" t="s">
        <v>9</v>
      </c>
      <c r="F8" s="11" t="s">
        <v>10</v>
      </c>
      <c r="G8" s="11" t="s">
        <v>11</v>
      </c>
      <c r="H8" s="9" t="s">
        <v>12</v>
      </c>
      <c r="I8" s="11" t="s">
        <v>13</v>
      </c>
      <c r="J8" s="11" t="s">
        <v>14</v>
      </c>
      <c r="K8" s="12" t="s">
        <v>15</v>
      </c>
      <c r="M8" s="6" t="s">
        <v>56</v>
      </c>
      <c r="N8" s="6"/>
      <c r="O8" s="6"/>
      <c r="P8" s="6"/>
      <c r="Q8" s="6"/>
    </row>
    <row r="9" spans="1:17" s="6" customFormat="1" ht="30" x14ac:dyDescent="0.25">
      <c r="A9" s="13">
        <v>1</v>
      </c>
      <c r="B9" s="39" t="s">
        <v>43</v>
      </c>
      <c r="C9" s="13"/>
      <c r="D9" s="14"/>
      <c r="E9" s="14"/>
      <c r="F9" s="14"/>
      <c r="G9" s="14"/>
      <c r="H9" s="13"/>
      <c r="I9" s="14"/>
      <c r="J9" s="14"/>
      <c r="K9" s="15"/>
      <c r="M9" s="5" t="s">
        <v>36</v>
      </c>
      <c r="N9" s="5" t="s">
        <v>51</v>
      </c>
      <c r="O9" s="5" t="s">
        <v>52</v>
      </c>
      <c r="P9" s="5" t="s">
        <v>38</v>
      </c>
      <c r="Q9" s="5"/>
    </row>
    <row r="10" spans="1:17" s="5" customFormat="1" x14ac:dyDescent="0.25">
      <c r="A10" s="16"/>
      <c r="B10" s="17" t="s">
        <v>55</v>
      </c>
      <c r="C10" s="18">
        <v>0.5</v>
      </c>
      <c r="D10" s="7">
        <f>M10</f>
        <v>100</v>
      </c>
      <c r="E10" s="7">
        <f>N10</f>
        <v>0.54999999999999993</v>
      </c>
      <c r="F10" s="7">
        <f>O10+P10+F15+F21</f>
        <v>0.67499999999999993</v>
      </c>
      <c r="G10" s="7">
        <f>PRODUCT(C10:F10)</f>
        <v>18.562499999999996</v>
      </c>
      <c r="H10" s="19"/>
      <c r="I10" s="19"/>
      <c r="J10" s="19"/>
      <c r="K10" s="19"/>
      <c r="M10" s="7">
        <f>18+9+27+32+(14)</f>
        <v>100</v>
      </c>
      <c r="N10" s="5">
        <f>0.35+P10+P10</f>
        <v>0.54999999999999993</v>
      </c>
      <c r="O10" s="5">
        <v>0.35</v>
      </c>
      <c r="P10" s="5">
        <v>0.1</v>
      </c>
    </row>
    <row r="11" spans="1:17" s="5" customFormat="1" x14ac:dyDescent="0.25">
      <c r="A11" s="16"/>
      <c r="B11" s="17" t="s">
        <v>60</v>
      </c>
      <c r="C11" s="18">
        <v>0.5</v>
      </c>
      <c r="D11" s="7">
        <v>4.5</v>
      </c>
      <c r="E11" s="7">
        <f>F11/2</f>
        <v>0.75</v>
      </c>
      <c r="F11" s="7">
        <f>F30</f>
        <v>1.5</v>
      </c>
      <c r="G11" s="7">
        <f>PRODUCT(C11:F11)</f>
        <v>2.53125</v>
      </c>
      <c r="H11" s="19"/>
      <c r="I11" s="19"/>
      <c r="J11" s="19"/>
      <c r="K11" s="19"/>
    </row>
    <row r="12" spans="1:17" s="5" customFormat="1" ht="15" customHeight="1" x14ac:dyDescent="0.25">
      <c r="A12" s="20"/>
      <c r="B12" s="21" t="s">
        <v>16</v>
      </c>
      <c r="C12" s="22"/>
      <c r="D12" s="1"/>
      <c r="E12" s="23"/>
      <c r="F12" s="23"/>
      <c r="G12" s="2">
        <f>SUM(G10:G11)</f>
        <v>21.093749999999996</v>
      </c>
      <c r="H12" s="24" t="s">
        <v>28</v>
      </c>
      <c r="I12" s="2">
        <v>963.05</v>
      </c>
      <c r="J12" s="25">
        <f>G12*I12</f>
        <v>20314.335937499996</v>
      </c>
      <c r="K12" s="23"/>
    </row>
    <row r="13" spans="1:17" s="5" customFormat="1" ht="15.75" x14ac:dyDescent="0.25">
      <c r="A13" s="9"/>
      <c r="B13" s="10"/>
      <c r="C13" s="9"/>
      <c r="D13" s="11"/>
      <c r="E13" s="11"/>
      <c r="F13" s="11"/>
      <c r="G13" s="11"/>
      <c r="H13" s="9"/>
      <c r="I13" s="11"/>
      <c r="J13" s="11"/>
      <c r="K13" s="12"/>
    </row>
    <row r="14" spans="1:17" s="5" customFormat="1" x14ac:dyDescent="0.25">
      <c r="A14" s="16">
        <v>2</v>
      </c>
      <c r="B14" s="19" t="s">
        <v>53</v>
      </c>
      <c r="C14" s="19"/>
      <c r="D14" s="19"/>
      <c r="E14" s="19"/>
      <c r="F14" s="19"/>
      <c r="G14" s="19"/>
      <c r="H14" s="19"/>
      <c r="I14" s="19"/>
      <c r="J14" s="19"/>
      <c r="K14" s="19"/>
    </row>
    <row r="15" spans="1:17" s="5" customFormat="1" x14ac:dyDescent="0.25">
      <c r="A15" s="16"/>
      <c r="B15" s="17" t="str">
        <f>B10</f>
        <v>-for kulo</v>
      </c>
      <c r="C15" s="18">
        <f>C10</f>
        <v>0.5</v>
      </c>
      <c r="D15" s="7">
        <f>D10</f>
        <v>100</v>
      </c>
      <c r="E15" s="7">
        <f>N10</f>
        <v>0.54999999999999993</v>
      </c>
      <c r="F15" s="19">
        <v>0.15</v>
      </c>
      <c r="G15" s="7">
        <f>PRODUCT(C15:F15)</f>
        <v>4.1249999999999991</v>
      </c>
      <c r="H15" s="19"/>
      <c r="I15" s="19"/>
      <c r="J15" s="19"/>
      <c r="K15" s="19"/>
    </row>
    <row r="16" spans="1:17" s="5" customFormat="1" x14ac:dyDescent="0.25">
      <c r="A16" s="16"/>
      <c r="B16" s="17" t="str">
        <f>B11</f>
        <v>-for masonary wall 1</v>
      </c>
      <c r="C16" s="18">
        <f>C11</f>
        <v>0.5</v>
      </c>
      <c r="D16" s="7">
        <f>D11</f>
        <v>4.5</v>
      </c>
      <c r="E16" s="7">
        <f>E11</f>
        <v>0.75</v>
      </c>
      <c r="F16" s="7">
        <f>F11</f>
        <v>1.5</v>
      </c>
      <c r="G16" s="7">
        <f t="shared" ref="G16" si="0">PRODUCT(C16:F16)</f>
        <v>2.53125</v>
      </c>
      <c r="H16" s="19"/>
      <c r="I16" s="19"/>
      <c r="J16" s="19"/>
      <c r="K16" s="19"/>
    </row>
    <row r="17" spans="1:11" s="5" customFormat="1" ht="15" customHeight="1" x14ac:dyDescent="0.25">
      <c r="A17" s="20"/>
      <c r="B17" s="21" t="s">
        <v>16</v>
      </c>
      <c r="C17" s="22"/>
      <c r="D17" s="1"/>
      <c r="E17" s="23"/>
      <c r="F17" s="23"/>
      <c r="G17" s="2">
        <f>SUM(G15:G16)</f>
        <v>6.6562499999999991</v>
      </c>
      <c r="H17" s="24" t="s">
        <v>28</v>
      </c>
      <c r="I17" s="2">
        <f>4493.69</f>
        <v>4493.6899999999996</v>
      </c>
      <c r="J17" s="25">
        <f>G17*I17</f>
        <v>29911.124062499992</v>
      </c>
      <c r="K17" s="23"/>
    </row>
    <row r="18" spans="1:11" s="5" customFormat="1" x14ac:dyDescent="0.25">
      <c r="A18" s="16"/>
      <c r="B18" s="17" t="s">
        <v>37</v>
      </c>
      <c r="C18" s="19"/>
      <c r="D18" s="19"/>
      <c r="E18" s="19"/>
      <c r="F18" s="19"/>
      <c r="G18" s="19"/>
      <c r="H18" s="19"/>
      <c r="I18" s="19"/>
      <c r="J18" s="25">
        <f>0.13*G17*3091.19</f>
        <v>2674.8453468749999</v>
      </c>
      <c r="K18" s="19"/>
    </row>
    <row r="19" spans="1:11" s="5" customFormat="1" x14ac:dyDescent="0.25">
      <c r="A19" s="16"/>
      <c r="B19" s="19"/>
      <c r="C19" s="19"/>
      <c r="D19" s="19"/>
      <c r="E19" s="19"/>
      <c r="F19" s="19"/>
      <c r="G19" s="19"/>
      <c r="H19" s="19"/>
      <c r="I19" s="19"/>
      <c r="J19" s="19"/>
      <c r="K19" s="19"/>
    </row>
    <row r="20" spans="1:11" s="5" customFormat="1" x14ac:dyDescent="0.25">
      <c r="A20" s="16">
        <v>3</v>
      </c>
      <c r="B20" s="19" t="s">
        <v>32</v>
      </c>
      <c r="C20" s="19"/>
      <c r="D20" s="19"/>
      <c r="E20" s="19"/>
      <c r="F20" s="19"/>
      <c r="G20" s="19"/>
      <c r="H20" s="19"/>
      <c r="I20" s="19"/>
      <c r="J20" s="19"/>
      <c r="K20" s="19"/>
    </row>
    <row r="21" spans="1:11" s="5" customFormat="1" x14ac:dyDescent="0.25">
      <c r="A21" s="16"/>
      <c r="B21" s="17" t="str">
        <f>B15</f>
        <v>-for kulo</v>
      </c>
      <c r="C21" s="18">
        <f>C15</f>
        <v>0.5</v>
      </c>
      <c r="D21" s="7">
        <f>M10</f>
        <v>100</v>
      </c>
      <c r="E21" s="7">
        <f>N10</f>
        <v>0.54999999999999993</v>
      </c>
      <c r="F21" s="19">
        <v>7.4999999999999997E-2</v>
      </c>
      <c r="G21" s="7">
        <f>PRODUCT(C21:F21)</f>
        <v>2.0624999999999996</v>
      </c>
      <c r="H21" s="19"/>
      <c r="I21" s="19"/>
      <c r="J21" s="19"/>
      <c r="K21" s="19"/>
    </row>
    <row r="22" spans="1:11" s="5" customFormat="1" x14ac:dyDescent="0.25">
      <c r="A22" s="16"/>
      <c r="B22" s="17" t="str">
        <f>B16</f>
        <v>-for masonary wall 1</v>
      </c>
      <c r="C22" s="18">
        <v>1</v>
      </c>
      <c r="D22" s="7">
        <f>D30</f>
        <v>4.5</v>
      </c>
      <c r="E22" s="7">
        <f>F30/2</f>
        <v>0.75</v>
      </c>
      <c r="F22" s="19">
        <v>0.05</v>
      </c>
      <c r="G22" s="7">
        <f t="shared" ref="G22:G23" si="1">PRODUCT(C22:F22)</f>
        <v>0.16875000000000001</v>
      </c>
      <c r="H22" s="19"/>
      <c r="I22" s="19"/>
      <c r="J22" s="19"/>
      <c r="K22" s="19"/>
    </row>
    <row r="23" spans="1:11" s="5" customFormat="1" x14ac:dyDescent="0.25">
      <c r="A23" s="16"/>
      <c r="B23" s="17"/>
      <c r="C23" s="18">
        <v>1</v>
      </c>
      <c r="D23" s="7">
        <f>D30</f>
        <v>4.5</v>
      </c>
      <c r="E23" s="7">
        <v>0.45</v>
      </c>
      <c r="F23" s="19">
        <v>0.05</v>
      </c>
      <c r="G23" s="7">
        <f t="shared" si="1"/>
        <v>0.10125000000000001</v>
      </c>
      <c r="H23" s="19"/>
      <c r="I23" s="19"/>
      <c r="J23" s="19"/>
      <c r="K23" s="19"/>
    </row>
    <row r="24" spans="1:11" s="5" customFormat="1" ht="15" customHeight="1" x14ac:dyDescent="0.25">
      <c r="A24" s="20"/>
      <c r="B24" s="21" t="s">
        <v>16</v>
      </c>
      <c r="C24" s="22"/>
      <c r="D24" s="1"/>
      <c r="E24" s="23"/>
      <c r="F24" s="23"/>
      <c r="G24" s="2">
        <f>SUM(G21:G23)</f>
        <v>2.3324999999999996</v>
      </c>
      <c r="H24" s="24" t="s">
        <v>28</v>
      </c>
      <c r="I24" s="2">
        <v>13343.7</v>
      </c>
      <c r="J24" s="25">
        <f>G24*I24</f>
        <v>31124.180249999998</v>
      </c>
      <c r="K24" s="23"/>
    </row>
    <row r="25" spans="1:11" s="5" customFormat="1" x14ac:dyDescent="0.25">
      <c r="A25" s="16"/>
      <c r="B25" s="17" t="s">
        <v>31</v>
      </c>
      <c r="C25" s="19"/>
      <c r="D25" s="19"/>
      <c r="E25" s="19"/>
      <c r="F25" s="19"/>
      <c r="G25" s="19"/>
      <c r="H25" s="19"/>
      <c r="I25" s="19"/>
      <c r="J25" s="25">
        <f>0.13*G24*1413.27</f>
        <v>428.53879574999996</v>
      </c>
      <c r="K25" s="19"/>
    </row>
    <row r="26" spans="1:11" s="5" customFormat="1" x14ac:dyDescent="0.25">
      <c r="A26" s="16"/>
      <c r="B26" s="17" t="s">
        <v>33</v>
      </c>
      <c r="C26" s="19"/>
      <c r="D26" s="19"/>
      <c r="E26" s="19"/>
      <c r="F26" s="19"/>
      <c r="G26" s="19"/>
      <c r="H26" s="19"/>
      <c r="I26" s="19"/>
      <c r="J26" s="25">
        <f>0.13*G24*4096</f>
        <v>1242.0095999999999</v>
      </c>
      <c r="K26" s="19"/>
    </row>
    <row r="27" spans="1:11" s="5" customFormat="1" x14ac:dyDescent="0.25">
      <c r="A27" s="16"/>
      <c r="B27" s="17" t="s">
        <v>34</v>
      </c>
      <c r="C27" s="19"/>
      <c r="D27" s="19"/>
      <c r="E27" s="19"/>
      <c r="F27" s="19"/>
      <c r="G27" s="19"/>
      <c r="H27" s="19"/>
      <c r="I27" s="19"/>
      <c r="J27" s="25">
        <f>0.13*G24*(368.76+737.51+1743.21)</f>
        <v>864.03357299999993</v>
      </c>
      <c r="K27" s="19"/>
    </row>
    <row r="28" spans="1:11" s="5" customFormat="1" x14ac:dyDescent="0.25">
      <c r="A28" s="16"/>
      <c r="B28" s="19"/>
      <c r="C28" s="19"/>
      <c r="D28" s="19"/>
      <c r="E28" s="19"/>
      <c r="F28" s="19"/>
      <c r="G28" s="19"/>
      <c r="H28" s="19"/>
      <c r="I28" s="19"/>
      <c r="J28" s="19"/>
      <c r="K28" s="19"/>
    </row>
    <row r="29" spans="1:11" s="5" customFormat="1" x14ac:dyDescent="0.25">
      <c r="A29" s="16">
        <v>4</v>
      </c>
      <c r="B29" s="19" t="s">
        <v>54</v>
      </c>
      <c r="C29" s="19"/>
      <c r="D29" s="19"/>
      <c r="E29" s="19"/>
      <c r="F29" s="19"/>
      <c r="G29" s="19"/>
      <c r="H29" s="19"/>
      <c r="I29" s="19"/>
      <c r="J29" s="19"/>
      <c r="K29" s="19"/>
    </row>
    <row r="30" spans="1:11" s="5" customFormat="1" x14ac:dyDescent="0.25">
      <c r="A30" s="16"/>
      <c r="B30" s="17" t="str">
        <f>B11</f>
        <v>-for masonary wall 1</v>
      </c>
      <c r="C30" s="18">
        <f>C11</f>
        <v>0.5</v>
      </c>
      <c r="D30" s="7">
        <f>D11</f>
        <v>4.5</v>
      </c>
      <c r="E30" s="7">
        <f>((F30/2)+0.45)/2</f>
        <v>0.6</v>
      </c>
      <c r="F30" s="7">
        <f>1.5</f>
        <v>1.5</v>
      </c>
      <c r="G30" s="7">
        <f>PRODUCT(C30:F30)</f>
        <v>2.0249999999999999</v>
      </c>
      <c r="H30" s="19"/>
      <c r="I30" s="19"/>
      <c r="J30" s="19"/>
      <c r="K30" s="19"/>
    </row>
    <row r="31" spans="1:11" s="5" customFormat="1" ht="15" customHeight="1" x14ac:dyDescent="0.25">
      <c r="A31" s="20"/>
      <c r="B31" s="21" t="s">
        <v>16</v>
      </c>
      <c r="C31" s="22"/>
      <c r="D31" s="1"/>
      <c r="E31" s="23"/>
      <c r="F31" s="23"/>
      <c r="G31" s="2">
        <f>SUM(G30:G30)</f>
        <v>2.0249999999999999</v>
      </c>
      <c r="H31" s="24" t="s">
        <v>28</v>
      </c>
      <c r="I31" s="2">
        <v>12225.55</v>
      </c>
      <c r="J31" s="25">
        <f>G31*I31</f>
        <v>24756.738749999997</v>
      </c>
      <c r="K31" s="23"/>
    </row>
    <row r="32" spans="1:11" s="5" customFormat="1" x14ac:dyDescent="0.25">
      <c r="A32" s="16"/>
      <c r="B32" s="17" t="s">
        <v>31</v>
      </c>
      <c r="C32" s="19"/>
      <c r="D32" s="19"/>
      <c r="E32" s="19"/>
      <c r="F32" s="19"/>
      <c r="G32" s="19"/>
      <c r="H32" s="19"/>
      <c r="I32" s="19"/>
      <c r="J32" s="25">
        <f>0.13*G31*1492.66</f>
        <v>392.942745</v>
      </c>
      <c r="K32" s="19"/>
    </row>
    <row r="33" spans="1:11" s="5" customFormat="1" x14ac:dyDescent="0.25">
      <c r="A33" s="16"/>
      <c r="B33" s="17" t="s">
        <v>33</v>
      </c>
      <c r="C33" s="19"/>
      <c r="D33" s="19"/>
      <c r="E33" s="19"/>
      <c r="F33" s="19"/>
      <c r="G33" s="19"/>
      <c r="H33" s="19"/>
      <c r="I33" s="19"/>
      <c r="J33" s="25">
        <f>0.13*G31*1356.8</f>
        <v>357.17759999999998</v>
      </c>
      <c r="K33" s="19"/>
    </row>
    <row r="34" spans="1:11" s="5" customFormat="1" x14ac:dyDescent="0.25">
      <c r="A34" s="16"/>
      <c r="B34" s="17" t="s">
        <v>37</v>
      </c>
      <c r="C34" s="19"/>
      <c r="D34" s="19"/>
      <c r="E34" s="19"/>
      <c r="F34" s="19"/>
      <c r="G34" s="19"/>
      <c r="H34" s="19"/>
      <c r="I34" s="19"/>
      <c r="J34" s="25">
        <f>0.13*G31*2833.59</f>
        <v>745.9425675</v>
      </c>
      <c r="K34" s="19"/>
    </row>
    <row r="35" spans="1:11" s="5" customFormat="1" x14ac:dyDescent="0.25">
      <c r="A35" s="16"/>
      <c r="B35" s="19"/>
      <c r="C35" s="19"/>
      <c r="D35" s="19"/>
      <c r="E35" s="19"/>
      <c r="F35" s="19"/>
      <c r="G35" s="19"/>
      <c r="H35" s="19"/>
      <c r="I35" s="19"/>
      <c r="J35" s="19"/>
      <c r="K35" s="19"/>
    </row>
    <row r="36" spans="1:11" s="5" customFormat="1" x14ac:dyDescent="0.25">
      <c r="A36" s="16">
        <v>5</v>
      </c>
      <c r="B36" s="19" t="s">
        <v>49</v>
      </c>
      <c r="C36" s="19"/>
      <c r="D36" s="19"/>
      <c r="E36" s="19"/>
      <c r="F36" s="19"/>
      <c r="G36" s="19"/>
      <c r="H36" s="19"/>
      <c r="I36" s="19"/>
      <c r="J36" s="19"/>
      <c r="K36" s="19"/>
    </row>
    <row r="37" spans="1:11" s="5" customFormat="1" x14ac:dyDescent="0.25">
      <c r="A37" s="16"/>
      <c r="B37" s="17" t="str">
        <f>B44</f>
        <v>-for kulo shear wall</v>
      </c>
      <c r="C37" s="19">
        <f>C44*2</f>
        <v>4</v>
      </c>
      <c r="D37" s="7">
        <f>D44</f>
        <v>100</v>
      </c>
      <c r="E37" s="7"/>
      <c r="F37" s="7">
        <f>F44</f>
        <v>0.35</v>
      </c>
      <c r="G37" s="7">
        <f>PRODUCT(C37:F37)</f>
        <v>140</v>
      </c>
      <c r="H37" s="19"/>
      <c r="I37" s="19"/>
      <c r="J37" s="19"/>
      <c r="K37" s="19"/>
    </row>
    <row r="38" spans="1:11" s="5" customFormat="1" ht="15" customHeight="1" x14ac:dyDescent="0.25">
      <c r="A38" s="20"/>
      <c r="B38" s="21" t="s">
        <v>16</v>
      </c>
      <c r="C38" s="22"/>
      <c r="D38" s="1"/>
      <c r="E38" s="23"/>
      <c r="F38" s="23"/>
      <c r="G38" s="2">
        <f>SUM(G37:G37)</f>
        <v>140</v>
      </c>
      <c r="H38" s="24" t="s">
        <v>35</v>
      </c>
      <c r="I38" s="2">
        <f>11188.35/10</f>
        <v>1118.835</v>
      </c>
      <c r="J38" s="25">
        <f>G38*I38</f>
        <v>156636.9</v>
      </c>
      <c r="K38" s="23"/>
    </row>
    <row r="39" spans="1:11" s="5" customFormat="1" x14ac:dyDescent="0.25">
      <c r="A39" s="16"/>
      <c r="B39" s="17" t="s">
        <v>50</v>
      </c>
      <c r="C39" s="19"/>
      <c r="D39" s="19"/>
      <c r="E39" s="19"/>
      <c r="F39" s="19"/>
      <c r="G39" s="19"/>
      <c r="H39" s="19"/>
      <c r="I39" s="19"/>
      <c r="J39" s="25">
        <f>0.13*G38*6314/10</f>
        <v>11491.48</v>
      </c>
      <c r="K39" s="19"/>
    </row>
    <row r="40" spans="1:11" s="5" customFormat="1" x14ac:dyDescent="0.25">
      <c r="A40" s="16"/>
      <c r="B40" s="17" t="s">
        <v>42</v>
      </c>
      <c r="C40" s="19"/>
      <c r="D40" s="19"/>
      <c r="E40" s="19"/>
      <c r="F40" s="19"/>
      <c r="G40" s="19"/>
      <c r="H40" s="19"/>
      <c r="I40" s="19"/>
      <c r="J40" s="25">
        <f>0.13*G38*330/10</f>
        <v>600.6</v>
      </c>
      <c r="K40" s="19"/>
    </row>
    <row r="41" spans="1:11" s="5" customFormat="1" x14ac:dyDescent="0.25">
      <c r="A41" s="16"/>
      <c r="B41" s="19"/>
      <c r="C41" s="19"/>
      <c r="D41" s="19"/>
      <c r="E41" s="19"/>
      <c r="F41" s="19"/>
      <c r="G41" s="19"/>
      <c r="H41" s="19"/>
      <c r="I41" s="19"/>
      <c r="J41" s="19"/>
      <c r="K41" s="19"/>
    </row>
    <row r="42" spans="1:11" s="5" customFormat="1" x14ac:dyDescent="0.25">
      <c r="A42" s="16">
        <v>6</v>
      </c>
      <c r="B42" s="19" t="s">
        <v>44</v>
      </c>
      <c r="C42" s="19"/>
      <c r="D42" s="19"/>
      <c r="E42" s="19"/>
      <c r="F42" s="19"/>
      <c r="G42" s="19"/>
      <c r="H42" s="19"/>
      <c r="I42" s="19"/>
      <c r="J42" s="19"/>
      <c r="K42" s="19"/>
    </row>
    <row r="43" spans="1:11" s="5" customFormat="1" x14ac:dyDescent="0.25">
      <c r="A43" s="16"/>
      <c r="B43" s="17" t="s">
        <v>57</v>
      </c>
      <c r="C43" s="18">
        <f>C21</f>
        <v>0.5</v>
      </c>
      <c r="D43" s="7">
        <f>D21</f>
        <v>100</v>
      </c>
      <c r="E43" s="7">
        <f>E21</f>
        <v>0.54999999999999993</v>
      </c>
      <c r="F43" s="7">
        <f>P10</f>
        <v>0.1</v>
      </c>
      <c r="G43" s="7">
        <f>PRODUCT(C43:F43)</f>
        <v>2.75</v>
      </c>
      <c r="H43" s="19"/>
      <c r="I43" s="19"/>
      <c r="J43" s="19"/>
      <c r="K43" s="19"/>
    </row>
    <row r="44" spans="1:11" s="5" customFormat="1" x14ac:dyDescent="0.25">
      <c r="A44" s="16"/>
      <c r="B44" s="17" t="s">
        <v>58</v>
      </c>
      <c r="C44" s="18">
        <v>2</v>
      </c>
      <c r="D44" s="7">
        <f>M10</f>
        <v>100</v>
      </c>
      <c r="E44" s="7">
        <f>P10</f>
        <v>0.1</v>
      </c>
      <c r="F44" s="7">
        <f>O10</f>
        <v>0.35</v>
      </c>
      <c r="G44" s="7">
        <f>PRODUCT(C44:F44)</f>
        <v>7</v>
      </c>
      <c r="H44" s="19"/>
      <c r="I44" s="19"/>
      <c r="J44" s="19"/>
      <c r="K44" s="19"/>
    </row>
    <row r="45" spans="1:11" s="5" customFormat="1" ht="15" customHeight="1" x14ac:dyDescent="0.25">
      <c r="A45" s="20"/>
      <c r="B45" s="21" t="s">
        <v>16</v>
      </c>
      <c r="C45" s="22"/>
      <c r="D45" s="1"/>
      <c r="E45" s="23"/>
      <c r="F45" s="23"/>
      <c r="G45" s="2">
        <f>SUM(G43:G44)</f>
        <v>9.75</v>
      </c>
      <c r="H45" s="24" t="s">
        <v>28</v>
      </c>
      <c r="I45" s="2">
        <v>14337.7</v>
      </c>
      <c r="J45" s="25">
        <f>G45*I45</f>
        <v>139792.57500000001</v>
      </c>
      <c r="K45" s="23"/>
    </row>
    <row r="46" spans="1:11" s="5" customFormat="1" x14ac:dyDescent="0.25">
      <c r="A46" s="16"/>
      <c r="B46" s="17" t="s">
        <v>33</v>
      </c>
      <c r="C46" s="19"/>
      <c r="D46" s="19"/>
      <c r="E46" s="19"/>
      <c r="F46" s="19"/>
      <c r="G46" s="19"/>
      <c r="H46" s="19"/>
      <c r="I46" s="19"/>
      <c r="J46" s="25">
        <f>0.13*G45*5120</f>
        <v>6489.6</v>
      </c>
      <c r="K46" s="19"/>
    </row>
    <row r="47" spans="1:11" s="5" customFormat="1" x14ac:dyDescent="0.25">
      <c r="A47" s="16"/>
      <c r="B47" s="17" t="s">
        <v>31</v>
      </c>
      <c r="C47" s="19"/>
      <c r="D47" s="19"/>
      <c r="E47" s="19"/>
      <c r="F47" s="19"/>
      <c r="G47" s="19"/>
      <c r="H47" s="19"/>
      <c r="I47" s="19"/>
      <c r="J47" s="25">
        <f>0.13*G45*1349.75</f>
        <v>1710.808125</v>
      </c>
      <c r="K47" s="19"/>
    </row>
    <row r="48" spans="1:11" s="5" customFormat="1" x14ac:dyDescent="0.25">
      <c r="A48" s="16"/>
      <c r="B48" s="17" t="s">
        <v>34</v>
      </c>
      <c r="C48" s="19"/>
      <c r="D48" s="19"/>
      <c r="E48" s="19"/>
      <c r="F48" s="19"/>
      <c r="G48" s="19"/>
      <c r="H48" s="19"/>
      <c r="I48" s="19"/>
      <c r="J48" s="25">
        <f>0.13*G45*(972.17+1910.82)</f>
        <v>3654.1898249999999</v>
      </c>
      <c r="K48" s="19"/>
    </row>
    <row r="49" spans="1:17" s="5" customFormat="1" x14ac:dyDescent="0.25">
      <c r="A49" s="16"/>
      <c r="B49" s="19"/>
      <c r="C49" s="19"/>
      <c r="D49" s="19"/>
      <c r="E49" s="19"/>
      <c r="F49" s="19"/>
      <c r="G49" s="19"/>
      <c r="H49" s="19"/>
      <c r="I49" s="19"/>
      <c r="J49" s="19"/>
      <c r="K49" s="19"/>
    </row>
    <row r="50" spans="1:17" s="6" customFormat="1" ht="45" x14ac:dyDescent="0.25">
      <c r="A50" s="16">
        <v>7</v>
      </c>
      <c r="B50" s="33" t="s">
        <v>45</v>
      </c>
      <c r="C50" s="33" t="s">
        <v>7</v>
      </c>
      <c r="D50" s="40" t="s">
        <v>27</v>
      </c>
      <c r="E50" s="40" t="s">
        <v>40</v>
      </c>
      <c r="F50" s="40" t="s">
        <v>41</v>
      </c>
      <c r="G50" s="33"/>
      <c r="H50" s="33"/>
      <c r="I50" s="33"/>
      <c r="J50" s="33"/>
      <c r="K50" s="33"/>
    </row>
    <row r="51" spans="1:17" s="5" customFormat="1" x14ac:dyDescent="0.25">
      <c r="A51" s="16"/>
      <c r="B51" s="17" t="str">
        <f>B21</f>
        <v>-for kulo</v>
      </c>
      <c r="C51" s="19">
        <f>TRUNC((M10-0.1)/0.15,0)+1</f>
        <v>667</v>
      </c>
      <c r="D51" s="7">
        <f>(N10-0.1)+(O10-0.05+P10/2)*2</f>
        <v>1.1499999999999999</v>
      </c>
      <c r="E51" s="7">
        <f>10*10/162</f>
        <v>0.61728395061728392</v>
      </c>
      <c r="F51" s="7">
        <f>PRODUCT(C51:E51)</f>
        <v>473.48765432098759</v>
      </c>
      <c r="G51" s="7">
        <f>F51</f>
        <v>473.48765432098759</v>
      </c>
      <c r="H51" s="19"/>
      <c r="I51" s="19"/>
      <c r="J51" s="19"/>
      <c r="K51" s="19"/>
    </row>
    <row r="52" spans="1:17" s="5" customFormat="1" x14ac:dyDescent="0.25">
      <c r="A52" s="16"/>
      <c r="B52" s="17" t="s">
        <v>59</v>
      </c>
      <c r="C52" s="19">
        <f>(TRUNC((N10-P10)/0.15,0)+1)+2*(TRUNC((O10/0.15),0)+1)</f>
        <v>10</v>
      </c>
      <c r="D52" s="7">
        <f>M10-0.1</f>
        <v>99.9</v>
      </c>
      <c r="E52" s="7">
        <f>10*10/162</f>
        <v>0.61728395061728392</v>
      </c>
      <c r="F52" s="7">
        <f>PRODUCT(C52:E52)</f>
        <v>616.66666666666663</v>
      </c>
      <c r="G52" s="7">
        <f>F52</f>
        <v>616.66666666666663</v>
      </c>
      <c r="H52" s="19"/>
      <c r="I52" s="19"/>
      <c r="J52" s="19"/>
      <c r="K52" s="19"/>
    </row>
    <row r="53" spans="1:17" s="5" customFormat="1" ht="15" customHeight="1" x14ac:dyDescent="0.25">
      <c r="A53" s="20"/>
      <c r="B53" s="21" t="s">
        <v>16</v>
      </c>
      <c r="C53" s="22"/>
      <c r="D53" s="1"/>
      <c r="E53" s="23"/>
      <c r="F53" s="23"/>
      <c r="G53" s="2">
        <f>SUM(G51:G52)</f>
        <v>1090.1543209876543</v>
      </c>
      <c r="H53" s="24" t="s">
        <v>46</v>
      </c>
      <c r="I53" s="2">
        <f>9831.6/100</f>
        <v>98.316000000000003</v>
      </c>
      <c r="J53" s="25">
        <f>G53*I53</f>
        <v>107179.61222222222</v>
      </c>
      <c r="K53" s="23"/>
    </row>
    <row r="54" spans="1:17" s="5" customFormat="1" x14ac:dyDescent="0.25">
      <c r="A54" s="16"/>
      <c r="B54" s="17" t="s">
        <v>47</v>
      </c>
      <c r="C54" s="19"/>
      <c r="D54" s="19"/>
      <c r="E54" s="19"/>
      <c r="F54" s="19"/>
      <c r="G54" s="19"/>
      <c r="H54" s="19"/>
      <c r="I54" s="19"/>
      <c r="J54" s="25">
        <f>0.13*G53*9450/100</f>
        <v>13392.545833333332</v>
      </c>
      <c r="K54" s="19"/>
    </row>
    <row r="55" spans="1:17" s="5" customFormat="1" x14ac:dyDescent="0.25">
      <c r="A55" s="16"/>
      <c r="B55" s="17" t="s">
        <v>48</v>
      </c>
      <c r="C55" s="19"/>
      <c r="D55" s="19"/>
      <c r="E55" s="19"/>
      <c r="F55" s="19"/>
      <c r="G55" s="19"/>
      <c r="H55" s="19"/>
      <c r="I55" s="19"/>
      <c r="J55" s="25">
        <f>0.13*G53*120/100</f>
        <v>170.06407407407406</v>
      </c>
      <c r="K55" s="19"/>
    </row>
    <row r="56" spans="1:17" s="5" customFormat="1" x14ac:dyDescent="0.25">
      <c r="A56" s="16"/>
      <c r="B56" s="19"/>
      <c r="C56" s="19"/>
      <c r="D56" s="19"/>
      <c r="E56" s="19"/>
      <c r="F56" s="19"/>
      <c r="G56" s="19"/>
      <c r="H56" s="19"/>
      <c r="I56" s="19"/>
      <c r="J56" s="19"/>
      <c r="K56" s="19"/>
    </row>
    <row r="57" spans="1:17" s="8" customFormat="1" ht="30" x14ac:dyDescent="0.25">
      <c r="A57" s="20">
        <v>8</v>
      </c>
      <c r="B57" s="41" t="s">
        <v>61</v>
      </c>
      <c r="C57" s="22">
        <v>1</v>
      </c>
      <c r="D57" s="1"/>
      <c r="E57" s="23"/>
      <c r="F57" s="23"/>
      <c r="G57" s="42">
        <f t="shared" ref="G57" si="2">PRODUCT(C57:F57)</f>
        <v>1</v>
      </c>
      <c r="H57" s="24" t="s">
        <v>30</v>
      </c>
      <c r="I57" s="2">
        <v>5000</v>
      </c>
      <c r="J57" s="42">
        <f>G57*I57</f>
        <v>5000</v>
      </c>
      <c r="K57" s="23"/>
      <c r="M57" s="5"/>
      <c r="N57" s="5"/>
      <c r="O57" s="5"/>
      <c r="P57" s="5"/>
      <c r="Q57" s="5"/>
    </row>
    <row r="58" spans="1:17" s="5" customFormat="1" x14ac:dyDescent="0.25">
      <c r="A58" s="16"/>
      <c r="B58" s="39"/>
      <c r="C58" s="19"/>
      <c r="D58" s="19"/>
      <c r="E58" s="19"/>
      <c r="F58" s="19"/>
      <c r="G58" s="19"/>
      <c r="H58" s="19"/>
      <c r="I58" s="19"/>
      <c r="J58" s="19"/>
      <c r="K58" s="19"/>
    </row>
    <row r="59" spans="1:17" s="5" customFormat="1" ht="15" customHeight="1" x14ac:dyDescent="0.25">
      <c r="A59" s="20">
        <v>9</v>
      </c>
      <c r="B59" s="43" t="s">
        <v>17</v>
      </c>
      <c r="C59" s="22">
        <v>1</v>
      </c>
      <c r="D59" s="1"/>
      <c r="E59" s="23"/>
      <c r="F59" s="23"/>
      <c r="G59" s="24">
        <f t="shared" ref="G59" si="3">PRODUCT(C59:F59)</f>
        <v>1</v>
      </c>
      <c r="H59" s="24" t="s">
        <v>18</v>
      </c>
      <c r="I59" s="2">
        <v>500</v>
      </c>
      <c r="J59" s="24">
        <f>G59*I59</f>
        <v>500</v>
      </c>
      <c r="K59" s="23"/>
    </row>
    <row r="60" spans="1:17" s="5" customFormat="1" x14ac:dyDescent="0.25">
      <c r="A60" s="20"/>
      <c r="B60" s="26"/>
      <c r="C60" s="22"/>
      <c r="D60" s="1"/>
      <c r="E60" s="23"/>
      <c r="F60" s="23"/>
      <c r="G60" s="2"/>
      <c r="H60" s="24"/>
      <c r="I60" s="2"/>
      <c r="J60" s="25"/>
      <c r="K60" s="23"/>
    </row>
    <row r="61" spans="1:17" s="5" customFormat="1" x14ac:dyDescent="0.25">
      <c r="A61" s="27"/>
      <c r="B61" s="28" t="s">
        <v>20</v>
      </c>
      <c r="C61" s="29"/>
      <c r="D61" s="30"/>
      <c r="E61" s="30"/>
      <c r="F61" s="30"/>
      <c r="G61" s="25"/>
      <c r="H61" s="25"/>
      <c r="I61" s="25"/>
      <c r="J61" s="25">
        <f>SUM(J10:J59)</f>
        <v>559430.24430775444</v>
      </c>
      <c r="K61" s="31"/>
    </row>
    <row r="62" spans="1:17" s="5" customFormat="1" x14ac:dyDescent="0.25">
      <c r="M62" s="6"/>
      <c r="N62" s="6"/>
      <c r="O62" s="6"/>
      <c r="P62" s="6"/>
      <c r="Q62" s="6"/>
    </row>
    <row r="63" spans="1:17" s="6" customFormat="1" x14ac:dyDescent="0.25">
      <c r="A63" s="32"/>
      <c r="B63" s="33" t="s">
        <v>19</v>
      </c>
      <c r="C63" s="44">
        <f>J61</f>
        <v>559430.24430775444</v>
      </c>
      <c r="D63" s="45"/>
      <c r="E63" s="34">
        <v>100</v>
      </c>
      <c r="F63" s="32"/>
      <c r="G63" s="35"/>
      <c r="H63" s="32"/>
      <c r="I63" s="36"/>
      <c r="J63" s="37"/>
      <c r="K63" s="38"/>
      <c r="M63" s="5"/>
      <c r="N63" s="5"/>
      <c r="O63" s="5"/>
      <c r="P63" s="5"/>
      <c r="Q63" s="5"/>
    </row>
    <row r="64" spans="1:17" s="5" customFormat="1" x14ac:dyDescent="0.25">
      <c r="B64" s="33" t="s">
        <v>21</v>
      </c>
      <c r="C64" s="46">
        <v>500000</v>
      </c>
      <c r="D64" s="47"/>
      <c r="E64" s="34"/>
    </row>
    <row r="65" spans="2:17" s="5" customFormat="1" x14ac:dyDescent="0.25">
      <c r="B65" s="33" t="s">
        <v>22</v>
      </c>
      <c r="C65" s="46">
        <f>C64-C67-C68</f>
        <v>475000</v>
      </c>
      <c r="D65" s="47"/>
      <c r="E65" s="34">
        <f>C65/C63*100</f>
        <v>84.907815555766135</v>
      </c>
    </row>
    <row r="66" spans="2:17" s="5" customFormat="1" x14ac:dyDescent="0.25">
      <c r="B66" s="33" t="s">
        <v>26</v>
      </c>
      <c r="C66" s="48">
        <f>C63-C65</f>
        <v>84430.244307754445</v>
      </c>
      <c r="D66" s="48"/>
      <c r="E66" s="34">
        <f>100-E65</f>
        <v>15.092184444233865</v>
      </c>
    </row>
    <row r="67" spans="2:17" s="5" customFormat="1" x14ac:dyDescent="0.25">
      <c r="B67" s="33" t="s">
        <v>23</v>
      </c>
      <c r="C67" s="44">
        <f>C64*0.03</f>
        <v>15000</v>
      </c>
      <c r="D67" s="45"/>
      <c r="E67" s="34">
        <v>3</v>
      </c>
    </row>
    <row r="68" spans="2:17" s="5" customFormat="1" x14ac:dyDescent="0.25">
      <c r="B68" s="33" t="s">
        <v>24</v>
      </c>
      <c r="C68" s="44">
        <f>C64*0.02</f>
        <v>10000</v>
      </c>
      <c r="D68" s="45"/>
      <c r="E68" s="34">
        <v>2</v>
      </c>
      <c r="M68"/>
      <c r="N68"/>
      <c r="O68"/>
      <c r="P68"/>
      <c r="Q68"/>
    </row>
  </sheetData>
  <mergeCells count="15">
    <mergeCell ref="A7:F7"/>
    <mergeCell ref="H7:K7"/>
    <mergeCell ref="A1:K1"/>
    <mergeCell ref="A2:K2"/>
    <mergeCell ref="A3:K3"/>
    <mergeCell ref="A4:K4"/>
    <mergeCell ref="A5:K5"/>
    <mergeCell ref="A6:F6"/>
    <mergeCell ref="H6:K6"/>
    <mergeCell ref="C68:D68"/>
    <mergeCell ref="C63:D63"/>
    <mergeCell ref="C64:D64"/>
    <mergeCell ref="C65:D65"/>
    <mergeCell ref="C66:D66"/>
    <mergeCell ref="C67:D6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water tank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2026-03-16T05:44:14Z</dcterms:modified>
</cp:coreProperties>
</file>