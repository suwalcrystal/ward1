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56B47EB1-5DC3-4019-B581-4AC11C918174}" xr6:coauthVersionLast="47" xr6:coauthVersionMax="47" xr10:uidLastSave="{00000000-0000-0000-0000-000000000000}"/>
  <bookViews>
    <workbookView xWindow="-120" yWindow="-120" windowWidth="20730" windowHeight="11040" xr2:uid="{00000000-000D-0000-FFFF-FFFF00000000}"/>
  </bookViews>
  <sheets>
    <sheet name="estimate" sheetId="14"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estimate!$A$1:$K$55</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14" l="1"/>
  <c r="I30" i="14"/>
  <c r="I25" i="14"/>
  <c r="I21" i="14"/>
  <c r="I16" i="14"/>
  <c r="I12" i="14"/>
  <c r="G41" i="14"/>
  <c r="G42" i="14" s="1"/>
  <c r="J42" i="14" s="1"/>
  <c r="D33" i="14" l="1"/>
  <c r="D37" i="14" s="1"/>
  <c r="G29" i="14"/>
  <c r="G30" i="14" s="1"/>
  <c r="J30" i="14" s="1"/>
  <c r="G44" i="14"/>
  <c r="J44" i="14" s="1"/>
  <c r="C33" i="14"/>
  <c r="C37" i="14" s="1"/>
  <c r="F37" i="14" l="1"/>
  <c r="G37" i="14" s="1"/>
  <c r="G38" i="14" s="1"/>
  <c r="J38" i="14" s="1"/>
  <c r="G33" i="14"/>
  <c r="G34" i="14" s="1"/>
  <c r="J34" i="14" s="1"/>
  <c r="E20" i="14" l="1"/>
  <c r="C19" i="14"/>
  <c r="C15" i="14" s="1"/>
  <c r="F24" i="14"/>
  <c r="E19" i="14" s="1"/>
  <c r="E15" i="14" s="1"/>
  <c r="D24" i="14"/>
  <c r="D19" i="14" s="1"/>
  <c r="B24" i="14"/>
  <c r="B19" i="14" s="1"/>
  <c r="B15" i="14" s="1"/>
  <c r="E11" i="14"/>
  <c r="F11" i="14"/>
  <c r="D20" i="14" l="1"/>
  <c r="D15" i="14"/>
  <c r="E24" i="14"/>
  <c r="C20" i="14"/>
  <c r="G20" i="14" s="1"/>
  <c r="G15" i="14" l="1"/>
  <c r="G16" i="14" s="1"/>
  <c r="C55" i="14"/>
  <c r="C54" i="14"/>
  <c r="G46" i="14"/>
  <c r="J46" i="14" s="1"/>
  <c r="N11" i="14"/>
  <c r="M11" i="14"/>
  <c r="P11" i="14" s="1"/>
  <c r="G19" i="14" l="1"/>
  <c r="G21" i="14" s="1"/>
  <c r="G24" i="14"/>
  <c r="C52" i="14"/>
  <c r="G11" i="14"/>
  <c r="G12" i="14" s="1"/>
  <c r="G25" i="14" l="1"/>
  <c r="J12" i="14"/>
  <c r="J16" i="14"/>
  <c r="J21" i="14" l="1"/>
  <c r="J25" i="14"/>
  <c r="J48" i="14" l="1"/>
  <c r="C50" i="14" s="1"/>
  <c r="E52" i="14" s="1"/>
  <c r="E53" i="14" s="1"/>
  <c r="C53" i="14" l="1"/>
</calcChain>
</file>

<file path=xl/sharedStrings.xml><?xml version="1.0" encoding="utf-8"?>
<sst xmlns="http://schemas.openxmlformats.org/spreadsheetml/2006/main" count="68" uniqueCount="56">
  <si>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</si>
  <si>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</si>
  <si>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</si>
  <si>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</si>
  <si>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</si>
  <si>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</si>
  <si>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</si>
  <si>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</si>
  <si>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</si>
  <si>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</si>
  <si>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</si>
  <si>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</si>
  <si>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</si>
  <si>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</si>
  <si>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</si>
  <si>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</si>
  <si>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</si>
  <si>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</si>
  <si>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</si>
  <si>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</si>
  <si>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</si>
  <si>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</si>
  <si>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</si>
  <si>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</si>
  <si>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</si>
  <si>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</si>
  <si>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</si>
  <si>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</si>
  <si>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</si>
  <si>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User contribution</t>
  </si>
  <si>
    <t>Location:- Shankharapur Municipality 1</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</si>
  <si>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</si>
  <si>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Random Rubble Masonry, Providing and laying of Stone Masonry Work in Cement Mortar 1:6 in Foundation complete as per Drawing and Technical Specifications., Using Concrete Mixer</t>
  </si>
  <si>
    <t>rm</t>
  </si>
  <si>
    <t>cum</t>
  </si>
  <si>
    <t>PS</t>
  </si>
  <si>
    <t>-for cap</t>
  </si>
  <si>
    <t>-for wall</t>
  </si>
  <si>
    <r>
      <t xml:space="preserve">Project:- </t>
    </r>
    <r>
      <rPr>
        <b/>
        <sz val="14"/>
        <rFont val="Preeti"/>
      </rPr>
      <t>cf]8f/] l;+rfO{</t>
    </r>
  </si>
  <si>
    <t xml:space="preserve">Date:                </t>
  </si>
  <si>
    <r>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Engineer.l (</t>
    </r>
    <r>
      <rPr>
        <b/>
        <sz val="14"/>
        <rFont val="Preeti"/>
      </rPr>
      <t>vGg] k'g{] sfo{</t>
    </r>
    <r>
      <rPr>
        <sz val="11"/>
        <rFont val="Calibri"/>
        <family val="2"/>
        <scheme val="minor"/>
      </rPr>
      <t>)</t>
    </r>
  </si>
  <si>
    <t>sub-total</t>
  </si>
  <si>
    <t>-for pipe laying</t>
  </si>
  <si>
    <t>-High Density Polythene Pipe NS 40 pipe material PE 100, PN 16</t>
  </si>
  <si>
    <t>Length (m)</t>
  </si>
  <si>
    <t>Weight (Kg/m)</t>
  </si>
  <si>
    <t>Total weight (Kg)</t>
  </si>
  <si>
    <t>kg</t>
  </si>
  <si>
    <t>Provisional sum for other unforseen works</t>
  </si>
  <si>
    <t>Laying and joining of 40,50 mmØ HDPE pipe with butt-weld joints</t>
  </si>
  <si>
    <t>-for 50mm pipe laying for distribution</t>
  </si>
  <si>
    <t>50mm GI pipe threaded-medium class</t>
  </si>
  <si>
    <t>A</t>
  </si>
  <si>
    <t>For civil works</t>
  </si>
  <si>
    <t>B</t>
  </si>
  <si>
    <t>For irrigation works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</si>
</sst>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b/>
      <sz val="14"/>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9">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1" fontId="4" fillId="0" borderId="2" xfId="0" applyNumberFormat="1" applyFont="1" applyBorder="1"/>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1" fontId="2" fillId="0" borderId="2" xfId="0" quotePrefix="1" applyNumberFormat="1" applyFont="1" applyBorder="1" applyAlignment="1">
      <alignment vertical="center" wrapText="1"/>
    </xf>
    <xf numFmtId="0" fontId="4" fillId="0" borderId="2" xfId="0" applyFont="1" applyBorder="1" applyAlignment="1">
      <alignment wrapText="1"/>
    </xf>
    <xf numFmtId="0" fontId="4" fillId="0" borderId="2" xfId="0" quotePrefix="1" applyFont="1" applyBorder="1" applyAlignment="1">
      <alignment horizontal="right" vertical="center" wrapText="1"/>
    </xf>
    <xf numFmtId="0" fontId="2" fillId="0" borderId="2" xfId="0" quotePrefix="1" applyFont="1" applyBorder="1" applyAlignment="1">
      <alignment vertical="center" wrapText="1"/>
    </xf>
    <xf numFmtId="0" fontId="0" fillId="0" borderId="0" xfId="0" applyAlignment="1">
      <alignment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55"/>
  <sheetViews>
    <sheetView tabSelected="1" topLeftCell="A40" zoomScale="90" zoomScaleNormal="90" zoomScaleSheetLayoutView="95" workbookViewId="0">
      <selection activeCell="I44" sqref="I44"/>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48" t="s">
        <v>0</v>
      </c>
      <c r="B1" s="48"/>
      <c r="C1" s="48"/>
      <c r="D1" s="48"/>
      <c r="E1" s="48"/>
      <c r="F1" s="48"/>
      <c r="G1" s="48"/>
      <c r="H1" s="48"/>
      <c r="I1" s="48"/>
      <c r="J1" s="48"/>
      <c r="K1" s="48"/>
    </row>
    <row r="2" spans="1:16" ht="22.5" x14ac:dyDescent="0.25">
      <c r="A2" s="49" t="s">
        <v>1</v>
      </c>
      <c r="B2" s="49"/>
      <c r="C2" s="49"/>
      <c r="D2" s="49"/>
      <c r="E2" s="49"/>
      <c r="F2" s="49"/>
      <c r="G2" s="49"/>
      <c r="H2" s="49"/>
      <c r="I2" s="49"/>
      <c r="J2" s="49"/>
      <c r="K2" s="49"/>
    </row>
    <row r="3" spans="1:16" x14ac:dyDescent="0.25">
      <c r="A3" s="50" t="s">
        <v>2</v>
      </c>
      <c r="B3" s="50"/>
      <c r="C3" s="50"/>
      <c r="D3" s="50"/>
      <c r="E3" s="50"/>
      <c r="F3" s="50"/>
      <c r="G3" s="50"/>
      <c r="H3" s="50"/>
      <c r="I3" s="50"/>
      <c r="J3" s="50"/>
      <c r="K3" s="50"/>
    </row>
    <row r="4" spans="1:16" x14ac:dyDescent="0.25">
      <c r="A4" s="50" t="s">
        <v>3</v>
      </c>
      <c r="B4" s="50"/>
      <c r="C4" s="50"/>
      <c r="D4" s="50"/>
      <c r="E4" s="50"/>
      <c r="F4" s="50"/>
      <c r="G4" s="50"/>
      <c r="H4" s="50"/>
      <c r="I4" s="50"/>
      <c r="J4" s="50"/>
      <c r="K4" s="50"/>
    </row>
    <row r="5" spans="1:16" ht="18.75" x14ac:dyDescent="0.3">
      <c r="A5" s="51" t="s">
        <v>4</v>
      </c>
      <c r="B5" s="51"/>
      <c r="C5" s="51"/>
      <c r="D5" s="51"/>
      <c r="E5" s="51"/>
      <c r="F5" s="51"/>
      <c r="G5" s="51"/>
      <c r="H5" s="51"/>
      <c r="I5" s="51"/>
      <c r="J5" s="51"/>
      <c r="K5" s="51"/>
    </row>
    <row r="6" spans="1:16" ht="18" x14ac:dyDescent="0.25">
      <c r="A6" s="46" t="s">
        <v>38</v>
      </c>
      <c r="B6" s="46"/>
      <c r="C6" s="46"/>
      <c r="D6" s="46"/>
      <c r="E6" s="46"/>
      <c r="F6" s="46"/>
      <c r="G6" s="10"/>
      <c r="H6" s="47" t="s">
        <v>26</v>
      </c>
      <c r="I6" s="47"/>
      <c r="J6" s="47"/>
      <c r="K6" s="47"/>
    </row>
    <row r="7" spans="1:16" ht="15.75" x14ac:dyDescent="0.25">
      <c r="A7" s="54" t="s">
        <v>30</v>
      </c>
      <c r="B7" s="54"/>
      <c r="C7" s="54"/>
      <c r="D7" s="54"/>
      <c r="E7" s="54"/>
      <c r="F7" s="54"/>
      <c r="G7" s="11"/>
      <c r="H7" s="55" t="s">
        <v>39</v>
      </c>
      <c r="I7" s="55"/>
      <c r="J7" s="55"/>
      <c r="K7" s="55"/>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5.75" x14ac:dyDescent="0.25">
      <c r="A9" s="12" t="s">
        <v>52</v>
      </c>
      <c r="B9" s="13" t="s">
        <v>53</v>
      </c>
      <c r="C9" s="12"/>
      <c r="D9" s="14"/>
      <c r="E9" s="14"/>
      <c r="F9" s="14"/>
      <c r="G9" s="14"/>
      <c r="H9" s="12"/>
      <c r="I9" s="14"/>
      <c r="J9" s="14"/>
      <c r="K9" s="15"/>
    </row>
    <row r="10" spans="1:16" ht="157.5" x14ac:dyDescent="0.25">
      <c r="A10" s="16">
        <v>1</v>
      </c>
      <c r="B10" s="35" t="s">
        <v>31</v>
      </c>
      <c r="C10" s="17"/>
      <c r="D10" s="17"/>
      <c r="E10" s="17"/>
      <c r="F10" s="17"/>
      <c r="G10" s="17"/>
      <c r="H10" s="17"/>
      <c r="I10" s="17"/>
      <c r="J10" s="17"/>
      <c r="K10" s="17"/>
    </row>
    <row r="11" spans="1:16" x14ac:dyDescent="0.25">
      <c r="A11" s="16"/>
      <c r="B11" s="32" t="s">
        <v>37</v>
      </c>
      <c r="C11" s="37">
        <v>0.5</v>
      </c>
      <c r="D11" s="33">
        <v>10.45</v>
      </c>
      <c r="E11" s="33">
        <f>(5+2.5)/2/3.281</f>
        <v>1.1429442243218531</v>
      </c>
      <c r="F11" s="33">
        <f>0.75</f>
        <v>0.75</v>
      </c>
      <c r="G11" s="33">
        <f>PRODUCT(C11:F11)</f>
        <v>4.4789126790612617</v>
      </c>
      <c r="H11" s="17"/>
      <c r="I11" s="17"/>
      <c r="J11" s="17"/>
      <c r="K11" s="17"/>
      <c r="M11" s="33">
        <f>7</f>
        <v>7</v>
      </c>
      <c r="N11" s="33">
        <f>2</f>
        <v>2</v>
      </c>
      <c r="O11" s="33"/>
      <c r="P11" s="33">
        <f>PI()*M11*SQRT(M11^2+N11^2)</f>
        <v>160.09797821843054</v>
      </c>
    </row>
    <row r="12" spans="1:16" ht="15" customHeight="1" x14ac:dyDescent="0.25">
      <c r="A12" s="2"/>
      <c r="B12" s="34" t="s">
        <v>16</v>
      </c>
      <c r="C12" s="3"/>
      <c r="D12" s="4"/>
      <c r="E12" s="5"/>
      <c r="F12" s="5"/>
      <c r="G12" s="6">
        <f>SUM(G11:G11)</f>
        <v>4.4789126790612617</v>
      </c>
      <c r="H12" s="7" t="s">
        <v>17</v>
      </c>
      <c r="I12" s="6">
        <f>62.95*1.15</f>
        <v>72.392499999999998</v>
      </c>
      <c r="J12" s="18">
        <f>G12*I12</f>
        <v>324.23968611894236</v>
      </c>
      <c r="K12" s="5"/>
    </row>
    <row r="13" spans="1:16" x14ac:dyDescent="0.25">
      <c r="A13" s="16"/>
      <c r="B13" s="17"/>
      <c r="C13" s="17"/>
      <c r="D13" s="17"/>
      <c r="E13" s="17"/>
      <c r="F13" s="17"/>
      <c r="G13" s="17"/>
      <c r="H13" s="17"/>
      <c r="I13" s="17"/>
      <c r="J13" s="17"/>
      <c r="K13" s="17"/>
    </row>
    <row r="14" spans="1:16" ht="94.5" x14ac:dyDescent="0.25">
      <c r="A14" s="16">
        <v>2</v>
      </c>
      <c r="B14" s="35" t="s">
        <v>27</v>
      </c>
      <c r="C14" s="17"/>
      <c r="D14" s="17"/>
      <c r="E14" s="17"/>
      <c r="F14" s="17"/>
      <c r="G14" s="17"/>
      <c r="H14" s="17"/>
      <c r="I14" s="17"/>
      <c r="J14" s="17"/>
      <c r="K14" s="17"/>
    </row>
    <row r="15" spans="1:16" x14ac:dyDescent="0.25">
      <c r="A15" s="16"/>
      <c r="B15" s="32" t="str">
        <f>B19</f>
        <v>-for wall</v>
      </c>
      <c r="C15" s="17">
        <f>C19</f>
        <v>1</v>
      </c>
      <c r="D15" s="33">
        <f>D19</f>
        <v>10.45</v>
      </c>
      <c r="E15" s="33">
        <f>E19</f>
        <v>1.1429442243218531</v>
      </c>
      <c r="F15" s="33">
        <v>0.15</v>
      </c>
      <c r="G15" s="33">
        <f>PRODUCT(C15:F15)</f>
        <v>1.7915650716245044</v>
      </c>
      <c r="H15" s="17"/>
      <c r="I15" s="17"/>
      <c r="J15" s="17"/>
      <c r="K15" s="17"/>
      <c r="M15" s="36"/>
      <c r="N15" s="36"/>
      <c r="O15" s="36"/>
      <c r="P15" s="36"/>
    </row>
    <row r="16" spans="1:16" ht="15" customHeight="1" x14ac:dyDescent="0.25">
      <c r="A16" s="2"/>
      <c r="B16" s="34" t="s">
        <v>16</v>
      </c>
      <c r="C16" s="3"/>
      <c r="D16" s="4"/>
      <c r="E16" s="5"/>
      <c r="F16" s="5"/>
      <c r="G16" s="6">
        <f>SUM(G15:G15)</f>
        <v>1.7915650716245044</v>
      </c>
      <c r="H16" s="7" t="s">
        <v>17</v>
      </c>
      <c r="I16" s="6">
        <f>1.15*4458.52</f>
        <v>5127.2979999999998</v>
      </c>
      <c r="J16" s="18">
        <f>G16*I16</f>
        <v>9185.8880086101781</v>
      </c>
      <c r="K16" s="5"/>
    </row>
    <row r="17" spans="1:25" x14ac:dyDescent="0.25">
      <c r="A17" s="16"/>
      <c r="B17" s="17"/>
      <c r="C17" s="17"/>
      <c r="D17" s="17"/>
      <c r="E17" s="17"/>
      <c r="F17" s="17"/>
      <c r="G17" s="17"/>
      <c r="H17" s="17"/>
      <c r="I17" s="17"/>
      <c r="J17" s="17"/>
      <c r="K17" s="17"/>
    </row>
    <row r="18" spans="1:25" ht="78.75" x14ac:dyDescent="0.25">
      <c r="A18" s="16">
        <v>3</v>
      </c>
      <c r="B18" s="35" t="s">
        <v>28</v>
      </c>
      <c r="C18" s="17"/>
      <c r="D18" s="17"/>
      <c r="E18" s="17"/>
      <c r="F18" s="17"/>
      <c r="G18" s="17"/>
      <c r="H18" s="17"/>
      <c r="I18" s="17"/>
      <c r="J18" s="17"/>
      <c r="K18" s="17"/>
    </row>
    <row r="19" spans="1:25" x14ac:dyDescent="0.25">
      <c r="A19" s="16"/>
      <c r="B19" s="32" t="str">
        <f>B24</f>
        <v>-for wall</v>
      </c>
      <c r="C19" s="17">
        <f>C24</f>
        <v>1</v>
      </c>
      <c r="D19" s="33">
        <f>D24</f>
        <v>10.45</v>
      </c>
      <c r="E19" s="33">
        <f>F24/2</f>
        <v>1.1429442243218531</v>
      </c>
      <c r="F19" s="33">
        <v>0.05</v>
      </c>
      <c r="G19" s="33">
        <f>PRODUCT(C19:F19)</f>
        <v>0.59718835720816821</v>
      </c>
      <c r="H19" s="17"/>
      <c r="I19" s="17"/>
      <c r="J19" s="17"/>
      <c r="K19" s="17"/>
      <c r="M19" s="36"/>
      <c r="N19" s="36"/>
      <c r="O19" s="36"/>
      <c r="P19" s="36"/>
    </row>
    <row r="20" spans="1:25" x14ac:dyDescent="0.25">
      <c r="A20" s="16"/>
      <c r="B20" s="32" t="s">
        <v>36</v>
      </c>
      <c r="C20" s="17">
        <f>C19</f>
        <v>1</v>
      </c>
      <c r="D20" s="33">
        <f>D19</f>
        <v>10.45</v>
      </c>
      <c r="E20" s="33">
        <f>0.45</f>
        <v>0.45</v>
      </c>
      <c r="F20" s="33">
        <v>0.05</v>
      </c>
      <c r="G20" s="33">
        <f>PRODUCT(C20:F20)</f>
        <v>0.235125</v>
      </c>
      <c r="H20" s="17"/>
      <c r="I20" s="17"/>
      <c r="J20" s="17"/>
      <c r="K20" s="17"/>
      <c r="M20" s="36"/>
      <c r="N20" s="36"/>
      <c r="O20" s="36"/>
      <c r="P20" s="36"/>
    </row>
    <row r="21" spans="1:25" ht="15" customHeight="1" x14ac:dyDescent="0.25">
      <c r="A21" s="2"/>
      <c r="B21" s="34" t="s">
        <v>16</v>
      </c>
      <c r="C21" s="3"/>
      <c r="D21" s="4"/>
      <c r="E21" s="5"/>
      <c r="F21" s="5"/>
      <c r="G21" s="6">
        <f>SUM(G19:G20)</f>
        <v>0.83231335720816824</v>
      </c>
      <c r="H21" s="7" t="s">
        <v>17</v>
      </c>
      <c r="I21" s="6">
        <f>1.15*10964.46</f>
        <v>12609.128999999997</v>
      </c>
      <c r="J21" s="18">
        <f>G21*I21</f>
        <v>10494.746489460871</v>
      </c>
      <c r="K21" s="5"/>
    </row>
    <row r="22" spans="1:25" x14ac:dyDescent="0.25">
      <c r="A22" s="16"/>
      <c r="B22" s="17"/>
      <c r="C22" s="17"/>
      <c r="D22" s="17"/>
      <c r="E22" s="17"/>
      <c r="F22" s="17"/>
      <c r="G22" s="17"/>
      <c r="H22" s="17"/>
      <c r="I22" s="17"/>
      <c r="J22" s="17"/>
      <c r="K22" s="17"/>
    </row>
    <row r="23" spans="1:25" ht="110.25" x14ac:dyDescent="0.25">
      <c r="A23" s="16">
        <v>4</v>
      </c>
      <c r="B23" s="35" t="s">
        <v>32</v>
      </c>
      <c r="C23" s="17"/>
      <c r="D23" s="17"/>
      <c r="E23" s="17"/>
      <c r="F23" s="17"/>
      <c r="G23" s="17"/>
      <c r="H23" s="17"/>
      <c r="I23" s="17"/>
      <c r="J23" s="17"/>
      <c r="K23" s="17"/>
    </row>
    <row r="24" spans="1:25" x14ac:dyDescent="0.25">
      <c r="A24" s="16"/>
      <c r="B24" s="32" t="str">
        <f>B11</f>
        <v>-for wall</v>
      </c>
      <c r="C24" s="17">
        <v>1</v>
      </c>
      <c r="D24" s="33">
        <f>10.45</f>
        <v>10.45</v>
      </c>
      <c r="E24" s="33">
        <f>((F24/2)+0.45)/2</f>
        <v>0.7964721121609265</v>
      </c>
      <c r="F24" s="33">
        <f>(5+2.5)/3.281</f>
        <v>2.2858884486437061</v>
      </c>
      <c r="G24" s="33">
        <f>PRODUCT(C24:F24)</f>
        <v>19.025754888940146</v>
      </c>
      <c r="H24" s="17"/>
      <c r="I24" s="17"/>
      <c r="J24" s="17"/>
      <c r="K24" s="17"/>
      <c r="M24" s="36"/>
      <c r="N24" s="36"/>
      <c r="O24" s="36"/>
      <c r="P24" s="36"/>
    </row>
    <row r="25" spans="1:25" ht="15" customHeight="1" x14ac:dyDescent="0.25">
      <c r="A25" s="2"/>
      <c r="B25" s="34" t="s">
        <v>16</v>
      </c>
      <c r="C25" s="3"/>
      <c r="D25" s="4"/>
      <c r="E25" s="5"/>
      <c r="F25" s="5"/>
      <c r="G25" s="6">
        <f>SUM(G24:G24)</f>
        <v>19.025754888940146</v>
      </c>
      <c r="H25" s="7" t="s">
        <v>17</v>
      </c>
      <c r="I25" s="6">
        <f>1.15*8987.83</f>
        <v>10336.004499999999</v>
      </c>
      <c r="J25" s="18">
        <f>G25*I25</f>
        <v>196650.28814798233</v>
      </c>
      <c r="K25" s="5"/>
    </row>
    <row r="26" spans="1:25" x14ac:dyDescent="0.25">
      <c r="A26" s="16"/>
      <c r="B26" s="17"/>
      <c r="C26" s="17"/>
      <c r="D26" s="17"/>
      <c r="E26" s="17"/>
      <c r="F26" s="17"/>
      <c r="G26" s="17"/>
      <c r="H26" s="17"/>
      <c r="I26" s="17"/>
      <c r="J26" s="17"/>
      <c r="K26" s="17"/>
    </row>
    <row r="27" spans="1:25" ht="15.75" x14ac:dyDescent="0.25">
      <c r="A27" s="12" t="s">
        <v>54</v>
      </c>
      <c r="B27" s="13" t="s">
        <v>55</v>
      </c>
      <c r="C27" s="12"/>
      <c r="D27" s="14"/>
      <c r="E27" s="14"/>
      <c r="F27" s="14"/>
      <c r="G27" s="14"/>
      <c r="H27" s="12"/>
      <c r="I27" s="14"/>
      <c r="J27" s="14"/>
      <c r="K27" s="15"/>
    </row>
    <row r="28" spans="1:25" ht="168" x14ac:dyDescent="0.25">
      <c r="A28" s="16">
        <v>5</v>
      </c>
      <c r="B28" s="38" t="s">
        <v>40</v>
      </c>
      <c r="C28" s="17"/>
      <c r="D28" s="17"/>
      <c r="E28" s="17"/>
      <c r="F28" s="17"/>
      <c r="G28" s="17"/>
      <c r="H28" s="17"/>
      <c r="I28" s="17"/>
      <c r="J28" s="18"/>
      <c r="K28" s="17"/>
      <c r="M28" s="20"/>
      <c r="N28" s="20"/>
      <c r="O28" s="20"/>
      <c r="P28" s="20"/>
      <c r="Q28" s="20"/>
      <c r="R28" s="20"/>
      <c r="S28" s="20"/>
      <c r="T28" s="20"/>
      <c r="U28" s="20"/>
      <c r="V28" s="20"/>
      <c r="W28" s="20"/>
      <c r="X28" s="20"/>
      <c r="Y28" s="20"/>
    </row>
    <row r="29" spans="1:25" x14ac:dyDescent="0.25">
      <c r="A29" s="16"/>
      <c r="B29" s="32" t="s">
        <v>42</v>
      </c>
      <c r="C29" s="17">
        <v>1</v>
      </c>
      <c r="D29" s="33">
        <v>275</v>
      </c>
      <c r="E29" s="17">
        <v>0.15</v>
      </c>
      <c r="F29" s="17">
        <v>0.45</v>
      </c>
      <c r="G29" s="33">
        <f t="shared" ref="G29" si="0">PRODUCT(C29:F29)</f>
        <v>18.5625</v>
      </c>
      <c r="H29" s="17"/>
      <c r="I29" s="17"/>
      <c r="J29" s="18"/>
      <c r="K29" s="17"/>
    </row>
    <row r="30" spans="1:25" s="20" customFormat="1" x14ac:dyDescent="0.25">
      <c r="A30" s="2"/>
      <c r="B30" s="39" t="s">
        <v>41</v>
      </c>
      <c r="C30" s="3"/>
      <c r="D30" s="4"/>
      <c r="E30" s="5"/>
      <c r="F30" s="5"/>
      <c r="G30" s="40">
        <f>SUM(G29:G29)</f>
        <v>18.5625</v>
      </c>
      <c r="H30" s="7" t="s">
        <v>34</v>
      </c>
      <c r="I30" s="6">
        <f>1.15*748.9</f>
        <v>861.2349999999999</v>
      </c>
      <c r="J30" s="40">
        <f>G30*I30</f>
        <v>15986.674687499999</v>
      </c>
      <c r="K30" s="5"/>
      <c r="M30" s="19"/>
      <c r="N30" s="19"/>
      <c r="O30" s="19"/>
      <c r="P30" s="19"/>
      <c r="Q30" s="19"/>
      <c r="R30" s="19"/>
      <c r="S30" s="19"/>
      <c r="T30" s="19"/>
      <c r="U30" s="19"/>
      <c r="V30" s="19"/>
      <c r="W30" s="19"/>
      <c r="X30" s="19"/>
      <c r="Y30" s="19"/>
    </row>
    <row r="31" spans="1:25" x14ac:dyDescent="0.25">
      <c r="A31" s="16"/>
      <c r="B31" s="32"/>
      <c r="C31" s="17"/>
      <c r="D31" s="17"/>
      <c r="E31" s="17"/>
      <c r="F31" s="17"/>
      <c r="G31" s="17"/>
      <c r="H31" s="17"/>
      <c r="I31" s="17"/>
      <c r="J31" s="18"/>
      <c r="K31" s="17"/>
    </row>
    <row r="32" spans="1:25" ht="30" x14ac:dyDescent="0.25">
      <c r="A32" s="16">
        <v>6</v>
      </c>
      <c r="B32" s="38" t="s">
        <v>49</v>
      </c>
      <c r="C32" s="17"/>
      <c r="D32" s="17"/>
      <c r="E32" s="17"/>
      <c r="F32" s="17"/>
      <c r="G32" s="17"/>
      <c r="H32" s="17"/>
      <c r="I32" s="17"/>
      <c r="J32" s="17"/>
      <c r="K32" s="17"/>
      <c r="M32" s="20"/>
      <c r="N32" s="20"/>
      <c r="O32" s="20"/>
      <c r="P32" s="20"/>
      <c r="Q32" s="20"/>
      <c r="R32" s="20"/>
      <c r="S32" s="20"/>
      <c r="T32" s="20"/>
      <c r="U32" s="20"/>
      <c r="V32" s="20"/>
      <c r="W32" s="20"/>
      <c r="X32" s="20"/>
      <c r="Y32" s="20"/>
    </row>
    <row r="33" spans="1:25" x14ac:dyDescent="0.25">
      <c r="A33" s="16"/>
      <c r="B33" s="32" t="s">
        <v>42</v>
      </c>
      <c r="C33" s="17">
        <f>C29</f>
        <v>1</v>
      </c>
      <c r="D33" s="33">
        <f>D29</f>
        <v>275</v>
      </c>
      <c r="E33" s="17"/>
      <c r="F33" s="17"/>
      <c r="G33" s="33">
        <f t="shared" ref="G33" si="1">PRODUCT(C33:F33)</f>
        <v>275</v>
      </c>
      <c r="H33" s="17"/>
      <c r="I33" s="17"/>
      <c r="J33" s="18"/>
      <c r="K33" s="17"/>
    </row>
    <row r="34" spans="1:25" s="20" customFormat="1" x14ac:dyDescent="0.25">
      <c r="A34" s="2"/>
      <c r="B34" s="39" t="s">
        <v>41</v>
      </c>
      <c r="C34" s="3"/>
      <c r="D34" s="4"/>
      <c r="E34" s="5"/>
      <c r="F34" s="5"/>
      <c r="G34" s="40">
        <f>SUM(G33:G33)</f>
        <v>275</v>
      </c>
      <c r="H34" s="7" t="s">
        <v>33</v>
      </c>
      <c r="I34" s="6">
        <f>1.15*6461.51/1000</f>
        <v>7.4307365000000001</v>
      </c>
      <c r="J34" s="40">
        <f>G34*I34</f>
        <v>2043.4525375000001</v>
      </c>
      <c r="K34" s="5"/>
      <c r="M34" s="19"/>
      <c r="N34" s="19"/>
      <c r="O34" s="19"/>
      <c r="P34" s="19"/>
      <c r="Q34" s="19"/>
      <c r="R34" s="19"/>
      <c r="S34" s="19"/>
      <c r="T34" s="19"/>
      <c r="U34" s="19"/>
      <c r="V34" s="19"/>
      <c r="W34" s="19"/>
      <c r="X34" s="19"/>
      <c r="Y34" s="19"/>
    </row>
    <row r="35" spans="1:25" x14ac:dyDescent="0.25">
      <c r="A35" s="16"/>
      <c r="B35" s="38"/>
      <c r="C35" s="17"/>
      <c r="D35" s="17"/>
      <c r="E35" s="17"/>
      <c r="F35" s="17"/>
      <c r="G35" s="17"/>
      <c r="H35" s="17"/>
      <c r="I35" s="17"/>
      <c r="J35" s="17"/>
      <c r="K35" s="17"/>
      <c r="M35" s="20"/>
      <c r="N35" s="20"/>
      <c r="O35" s="20"/>
      <c r="P35" s="20"/>
      <c r="Q35" s="20"/>
      <c r="R35" s="20"/>
      <c r="S35" s="20"/>
      <c r="T35" s="20"/>
      <c r="U35" s="20"/>
      <c r="V35" s="20"/>
      <c r="W35" s="20"/>
      <c r="X35" s="20"/>
      <c r="Y35" s="20"/>
    </row>
    <row r="36" spans="1:25" ht="45" x14ac:dyDescent="0.25">
      <c r="A36" s="16">
        <v>7</v>
      </c>
      <c r="B36" s="41" t="s">
        <v>43</v>
      </c>
      <c r="C36" s="17"/>
      <c r="D36" s="42" t="s">
        <v>44</v>
      </c>
      <c r="E36" s="42" t="s">
        <v>45</v>
      </c>
      <c r="F36" s="42" t="s">
        <v>46</v>
      </c>
      <c r="G36" s="17"/>
      <c r="H36" s="17"/>
      <c r="I36" s="17"/>
      <c r="J36" s="18"/>
      <c r="K36" s="17"/>
    </row>
    <row r="37" spans="1:25" s="20" customFormat="1" ht="30" x14ac:dyDescent="0.25">
      <c r="A37" s="16"/>
      <c r="B37" s="43" t="s">
        <v>50</v>
      </c>
      <c r="C37" s="27">
        <f>C33</f>
        <v>1</v>
      </c>
      <c r="D37" s="9">
        <f>D33</f>
        <v>275</v>
      </c>
      <c r="E37" s="27">
        <v>0.80800000000000005</v>
      </c>
      <c r="F37" s="27">
        <f>C37*D37*E37</f>
        <v>222.20000000000002</v>
      </c>
      <c r="G37" s="9">
        <f>F37</f>
        <v>222.20000000000002</v>
      </c>
      <c r="H37" s="27"/>
      <c r="I37" s="27"/>
      <c r="J37" s="7"/>
      <c r="K37" s="27"/>
      <c r="M37" s="19"/>
      <c r="N37" s="19"/>
      <c r="O37" s="19"/>
      <c r="P37" s="19"/>
      <c r="Q37" s="19"/>
      <c r="R37" s="19"/>
      <c r="S37" s="19"/>
      <c r="T37" s="19"/>
      <c r="U37" s="19"/>
      <c r="V37" s="19"/>
      <c r="W37" s="19"/>
      <c r="X37" s="19"/>
      <c r="Y37" s="19"/>
    </row>
    <row r="38" spans="1:25" ht="15" customHeight="1" x14ac:dyDescent="0.25">
      <c r="A38" s="2"/>
      <c r="B38" s="34" t="s">
        <v>16</v>
      </c>
      <c r="C38" s="3"/>
      <c r="D38" s="4"/>
      <c r="E38" s="5"/>
      <c r="F38" s="5"/>
      <c r="G38" s="6">
        <f>SUM(G37:G37)</f>
        <v>222.20000000000002</v>
      </c>
      <c r="H38" s="7" t="s">
        <v>47</v>
      </c>
      <c r="I38" s="6">
        <v>287</v>
      </c>
      <c r="J38" s="18">
        <f>G38*I38</f>
        <v>63771.4</v>
      </c>
      <c r="K38" s="5"/>
    </row>
    <row r="39" spans="1:25" x14ac:dyDescent="0.25">
      <c r="A39" s="16"/>
      <c r="B39" s="17"/>
      <c r="C39" s="17"/>
      <c r="D39" s="17"/>
      <c r="E39" s="17"/>
      <c r="F39" s="17"/>
      <c r="G39" s="17"/>
      <c r="H39" s="17"/>
      <c r="I39" s="17"/>
      <c r="J39" s="17"/>
      <c r="K39" s="17"/>
    </row>
    <row r="40" spans="1:25" ht="30" x14ac:dyDescent="0.25">
      <c r="A40" s="16">
        <v>8</v>
      </c>
      <c r="B40" s="38" t="s">
        <v>51</v>
      </c>
      <c r="C40" s="17"/>
      <c r="D40" s="17"/>
      <c r="E40" s="17"/>
      <c r="F40" s="17"/>
      <c r="G40" s="17"/>
      <c r="H40" s="17"/>
      <c r="I40" s="17"/>
      <c r="J40" s="17"/>
      <c r="K40" s="17"/>
    </row>
    <row r="41" spans="1:25" x14ac:dyDescent="0.25">
      <c r="A41" s="16"/>
      <c r="B41" s="32" t="s">
        <v>42</v>
      </c>
      <c r="C41" s="17">
        <v>1</v>
      </c>
      <c r="D41" s="33">
        <v>12</v>
      </c>
      <c r="E41" s="17"/>
      <c r="F41" s="17"/>
      <c r="G41" s="33">
        <f t="shared" ref="G41" si="2">PRODUCT(C41:F41)</f>
        <v>12</v>
      </c>
      <c r="H41" s="17"/>
      <c r="I41" s="17"/>
      <c r="J41" s="18"/>
      <c r="K41" s="17"/>
    </row>
    <row r="42" spans="1:25" s="45" customFormat="1" x14ac:dyDescent="0.25">
      <c r="A42" s="2"/>
      <c r="B42" s="39" t="s">
        <v>41</v>
      </c>
      <c r="C42" s="3"/>
      <c r="D42" s="4"/>
      <c r="E42" s="5"/>
      <c r="F42" s="5"/>
      <c r="G42" s="40">
        <f>SUM(G41:G41)</f>
        <v>12</v>
      </c>
      <c r="H42" s="7" t="s">
        <v>33</v>
      </c>
      <c r="I42" s="6">
        <v>777</v>
      </c>
      <c r="J42" s="40">
        <f>G42*I42</f>
        <v>9324</v>
      </c>
      <c r="K42" s="5"/>
    </row>
    <row r="43" spans="1:25" x14ac:dyDescent="0.25">
      <c r="A43" s="16"/>
      <c r="B43" s="38"/>
      <c r="C43" s="17"/>
      <c r="D43" s="17"/>
      <c r="E43" s="17"/>
      <c r="F43" s="17"/>
      <c r="G43" s="17"/>
      <c r="H43" s="17"/>
      <c r="I43" s="17"/>
      <c r="J43" s="17"/>
      <c r="K43" s="17"/>
    </row>
    <row r="44" spans="1:25" s="20" customFormat="1" ht="30" x14ac:dyDescent="0.25">
      <c r="A44" s="2">
        <v>9</v>
      </c>
      <c r="B44" s="44" t="s">
        <v>48</v>
      </c>
      <c r="C44" s="3">
        <v>1</v>
      </c>
      <c r="D44" s="4"/>
      <c r="E44" s="5"/>
      <c r="F44" s="5"/>
      <c r="G44" s="40">
        <f t="shared" ref="G44" si="3">PRODUCT(C44:F44)</f>
        <v>1</v>
      </c>
      <c r="H44" s="7" t="s">
        <v>35</v>
      </c>
      <c r="I44" s="6">
        <v>5000</v>
      </c>
      <c r="J44" s="40">
        <f>G44*I44</f>
        <v>5000</v>
      </c>
      <c r="K44" s="5"/>
      <c r="M44" s="19"/>
      <c r="N44" s="19"/>
      <c r="O44" s="19"/>
      <c r="P44" s="19"/>
      <c r="Q44" s="19"/>
      <c r="R44" s="19"/>
      <c r="S44" s="19"/>
      <c r="T44" s="19"/>
      <c r="U44" s="19"/>
      <c r="V44" s="19"/>
      <c r="W44" s="19"/>
      <c r="X44" s="19"/>
      <c r="Y44" s="19"/>
    </row>
    <row r="45" spans="1:25" x14ac:dyDescent="0.25">
      <c r="A45" s="16"/>
      <c r="B45" s="38"/>
      <c r="C45" s="17"/>
      <c r="D45" s="17"/>
      <c r="E45" s="17"/>
      <c r="F45" s="17"/>
      <c r="G45" s="17"/>
      <c r="H45" s="17"/>
      <c r="I45" s="17"/>
      <c r="J45" s="17"/>
      <c r="K45" s="17"/>
    </row>
    <row r="46" spans="1:25" ht="15" customHeight="1" x14ac:dyDescent="0.25">
      <c r="A46" s="2">
        <v>10</v>
      </c>
      <c r="B46" s="1" t="s">
        <v>18</v>
      </c>
      <c r="C46" s="3">
        <v>1</v>
      </c>
      <c r="D46" s="4"/>
      <c r="E46" s="5"/>
      <c r="F46" s="5"/>
      <c r="G46" s="7">
        <f t="shared" ref="G46" si="4">PRODUCT(C46:F46)</f>
        <v>1</v>
      </c>
      <c r="H46" s="7" t="s">
        <v>19</v>
      </c>
      <c r="I46" s="6">
        <v>500</v>
      </c>
      <c r="J46" s="7">
        <f>G46*I46</f>
        <v>500</v>
      </c>
      <c r="K46" s="5"/>
    </row>
    <row r="47" spans="1:25" x14ac:dyDescent="0.25">
      <c r="A47" s="2"/>
      <c r="B47" s="8"/>
      <c r="C47" s="3"/>
      <c r="D47" s="4"/>
      <c r="E47" s="5"/>
      <c r="F47" s="5"/>
      <c r="G47" s="6"/>
      <c r="H47" s="7"/>
      <c r="I47" s="6"/>
      <c r="J47" s="18"/>
      <c r="K47" s="5"/>
    </row>
    <row r="48" spans="1:25" x14ac:dyDescent="0.25">
      <c r="A48" s="21"/>
      <c r="B48" s="22" t="s">
        <v>21</v>
      </c>
      <c r="C48" s="23"/>
      <c r="D48" s="24"/>
      <c r="E48" s="24"/>
      <c r="F48" s="24"/>
      <c r="G48" s="18"/>
      <c r="H48" s="18"/>
      <c r="I48" s="18"/>
      <c r="J48" s="18">
        <f>SUM(J10:J46)</f>
        <v>313280.68955717236</v>
      </c>
      <c r="K48" s="25"/>
    </row>
    <row r="49" spans="1:19" x14ac:dyDescent="0.25">
      <c r="M49" s="20"/>
      <c r="N49" s="20"/>
      <c r="O49" s="20"/>
      <c r="P49" s="20"/>
      <c r="Q49" s="20"/>
      <c r="R49" s="20"/>
      <c r="S49" s="20"/>
    </row>
    <row r="50" spans="1:19" s="20" customFormat="1" x14ac:dyDescent="0.25">
      <c r="A50" s="26"/>
      <c r="B50" s="27" t="s">
        <v>20</v>
      </c>
      <c r="C50" s="52">
        <f>J48</f>
        <v>313280.68955717236</v>
      </c>
      <c r="D50" s="53"/>
      <c r="E50" s="9">
        <v>100</v>
      </c>
      <c r="F50" s="26"/>
      <c r="G50" s="28"/>
      <c r="H50" s="26"/>
      <c r="I50" s="29"/>
      <c r="J50" s="30"/>
      <c r="K50" s="31"/>
      <c r="M50" s="19"/>
      <c r="N50" s="19"/>
      <c r="O50" s="19"/>
      <c r="P50" s="19"/>
      <c r="Q50" s="19"/>
      <c r="R50" s="19"/>
      <c r="S50" s="19"/>
    </row>
    <row r="51" spans="1:19" x14ac:dyDescent="0.25">
      <c r="B51" s="27" t="s">
        <v>22</v>
      </c>
      <c r="C51" s="56">
        <v>275000</v>
      </c>
      <c r="D51" s="57"/>
      <c r="E51" s="9"/>
    </row>
    <row r="52" spans="1:19" x14ac:dyDescent="0.25">
      <c r="B52" s="27" t="s">
        <v>23</v>
      </c>
      <c r="C52" s="56">
        <f>C51-C54-C55</f>
        <v>261250</v>
      </c>
      <c r="D52" s="57"/>
      <c r="E52" s="9">
        <f>C52/C50*100</f>
        <v>83.391670380093132</v>
      </c>
    </row>
    <row r="53" spans="1:19" x14ac:dyDescent="0.25">
      <c r="B53" s="27" t="s">
        <v>29</v>
      </c>
      <c r="C53" s="58">
        <f>C50-C52</f>
        <v>52030.689557172358</v>
      </c>
      <c r="D53" s="58"/>
      <c r="E53" s="9">
        <f>100-E52</f>
        <v>16.608329619906868</v>
      </c>
    </row>
    <row r="54" spans="1:19" x14ac:dyDescent="0.25">
      <c r="B54" s="27" t="s">
        <v>24</v>
      </c>
      <c r="C54" s="52">
        <f>C51*0.03</f>
        <v>8250</v>
      </c>
      <c r="D54" s="53"/>
      <c r="E54" s="9">
        <v>3</v>
      </c>
    </row>
    <row r="55" spans="1:19" x14ac:dyDescent="0.25">
      <c r="B55" s="27" t="s">
        <v>25</v>
      </c>
      <c r="C55" s="52">
        <f>C51*0.02</f>
        <v>5500</v>
      </c>
      <c r="D55" s="53"/>
      <c r="E55" s="9">
        <v>2</v>
      </c>
    </row>
  </sheetData>
  <mergeCells count="15">
    <mergeCell ref="C54:D54"/>
    <mergeCell ref="C55:D55"/>
    <mergeCell ref="A7:F7"/>
    <mergeCell ref="H7:K7"/>
    <mergeCell ref="C50:D50"/>
    <mergeCell ref="C51:D51"/>
    <mergeCell ref="C52:D52"/>
    <mergeCell ref="C53:D53"/>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2026-04-21T04:37:48Z</dcterms:modified>
</cp:coreProperties>
</file>