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filterPrivacy="1" defaultThemeVersion="124226"/>
  <xr:revisionPtr revIDLastSave="0" documentId="13_ncr:1_{E9CD3367-36CA-4B62-9EF9-C8A32B0F9279}" xr6:coauthVersionLast="47" xr6:coauthVersionMax="47" xr10:uidLastSave="{00000000-0000-0000-0000-000000000000}"/>
  <bookViews>
    <workbookView xWindow="-120" yWindow="-120" windowWidth="20730" windowHeight="11040" xr2:uid="{00000000-000D-0000-FFFF-FFFF00000000}"/>
  </bookViews>
  <sheets>
    <sheet name="estimate" sheetId="14" r:id="rId1"/>
  </sheets>
  <externalReferences>
    <externalReference r:id="rId2"/>
    <externalReference r:id="rId3"/>
    <externalReference r:id="rId4"/>
  </externalReferences>
  <definedNames>
    <definedName name="description_103">[1]Abstract!$B$16</definedName>
    <definedName name="description_124" localSheetId="0">#REF!</definedName>
    <definedName name="description_124">#REF!</definedName>
    <definedName name="description_247">[1]Abstract!$B$22</definedName>
    <definedName name="description_248">[1]Abstract!$B$23</definedName>
    <definedName name="description_261">[2]Abstract!$B$33</definedName>
    <definedName name="description_262">[1]Abstract!$B$34</definedName>
    <definedName name="description_276">[3]Abstract!$B$40</definedName>
    <definedName name="description_3">[1]Abstract!$B$169</definedName>
    <definedName name="description_310" localSheetId="0">#REF!</definedName>
    <definedName name="description_310">#REF!</definedName>
    <definedName name="description_312" localSheetId="0">#REF!</definedName>
    <definedName name="description_312">#REF!</definedName>
    <definedName name="description_5">[1]Abstract!$B$171</definedName>
    <definedName name="description_6" localSheetId="0">#REF!</definedName>
    <definedName name="description_6">#REF!</definedName>
    <definedName name="description_759">[1]Abstract!$B$278</definedName>
    <definedName name="description_781" localSheetId="0">#REF!</definedName>
    <definedName name="description_781">#REF!</definedName>
    <definedName name="description_783">[1]Abstract!$B$301</definedName>
    <definedName name="description_784">[3]Abstract!$B$300</definedName>
    <definedName name="_xlnm.Print_Area" localSheetId="0">estimate!$A$1:$K$68</definedName>
    <definedName name="_xlnm.Print_Titles" localSheetId="0">estimate!$1:$8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53" i="14" l="1"/>
  <c r="G54" i="14" s="1"/>
  <c r="J54" i="14" s="1"/>
  <c r="J55" i="14" s="1"/>
  <c r="I45" i="14" l="1"/>
  <c r="D44" i="14" l="1"/>
  <c r="D48" i="14" s="1"/>
  <c r="G40" i="14"/>
  <c r="G41" i="14" s="1"/>
  <c r="J41" i="14" s="1"/>
  <c r="G57" i="14"/>
  <c r="J57" i="14" s="1"/>
  <c r="C44" i="14"/>
  <c r="C48" i="14" s="1"/>
  <c r="F48" i="14" l="1"/>
  <c r="G48" i="14" s="1"/>
  <c r="G49" i="14" s="1"/>
  <c r="J49" i="14" s="1"/>
  <c r="J50" i="14" s="1"/>
  <c r="G44" i="14"/>
  <c r="G45" i="14" s="1"/>
  <c r="J45" i="14" s="1"/>
  <c r="E22" i="14" l="1"/>
  <c r="C21" i="14"/>
  <c r="C16" i="14" s="1"/>
  <c r="F31" i="14"/>
  <c r="E21" i="14" s="1"/>
  <c r="E16" i="14" s="1"/>
  <c r="D31" i="14"/>
  <c r="D21" i="14" s="1"/>
  <c r="B31" i="14"/>
  <c r="B21" i="14" s="1"/>
  <c r="B16" i="14" s="1"/>
  <c r="E11" i="14"/>
  <c r="F11" i="14"/>
  <c r="D22" i="14" l="1"/>
  <c r="D16" i="14"/>
  <c r="E31" i="14"/>
  <c r="C22" i="14"/>
  <c r="G22" i="14" s="1"/>
  <c r="G16" i="14" l="1"/>
  <c r="G17" i="14" s="1"/>
  <c r="C68" i="14"/>
  <c r="C67" i="14"/>
  <c r="G59" i="14"/>
  <c r="J59" i="14" s="1"/>
  <c r="N11" i="14"/>
  <c r="M11" i="14"/>
  <c r="P11" i="14" s="1"/>
  <c r="G21" i="14" l="1"/>
  <c r="G23" i="14" s="1"/>
  <c r="G31" i="14"/>
  <c r="C65" i="14"/>
  <c r="G11" i="14"/>
  <c r="G12" i="14" s="1"/>
  <c r="J28" i="14" l="1"/>
  <c r="G32" i="14"/>
  <c r="J12" i="14"/>
  <c r="J13" i="14"/>
  <c r="J18" i="14"/>
  <c r="J17" i="14"/>
  <c r="J26" i="14" l="1"/>
  <c r="J25" i="14"/>
  <c r="J23" i="14"/>
  <c r="J24" i="14"/>
  <c r="J27" i="14"/>
  <c r="J32" i="14"/>
  <c r="J36" i="14"/>
  <c r="J35" i="14"/>
  <c r="J33" i="14"/>
  <c r="J34" i="14"/>
  <c r="J61" i="14" l="1"/>
  <c r="C63" i="14" s="1"/>
  <c r="E65" i="14" s="1"/>
  <c r="E66" i="14" s="1"/>
  <c r="C66" i="14" l="1"/>
</calcChain>
</file>

<file path=xl/sharedStrings.xml><?xml version="1.0" encoding="utf-8"?>
<sst xmlns="http://schemas.openxmlformats.org/spreadsheetml/2006/main" count="81" uniqueCount="65">
  <si>
    <t>Government of Nepal</t>
  </si>
  <si>
    <t>Shankharapur Municipality Office</t>
  </si>
  <si>
    <t>Bagmati Province</t>
  </si>
  <si>
    <t>Sankhu, Kathmandu</t>
  </si>
  <si>
    <t>Detail Estimated Sheet</t>
  </si>
  <si>
    <t>S.N.</t>
  </si>
  <si>
    <t>Description of work</t>
  </si>
  <si>
    <t>No.</t>
  </si>
  <si>
    <t>Length</t>
  </si>
  <si>
    <t>Breadth</t>
  </si>
  <si>
    <t>Height</t>
  </si>
  <si>
    <t>Quantity</t>
  </si>
  <si>
    <t>Unit</t>
  </si>
  <si>
    <t>Rate</t>
  </si>
  <si>
    <t>Amount</t>
  </si>
  <si>
    <t>Remark</t>
  </si>
  <si>
    <t>Sub-total</t>
  </si>
  <si>
    <t>m3</t>
  </si>
  <si>
    <t>Information board (सुचना पाटि)</t>
  </si>
  <si>
    <t>no.</t>
  </si>
  <si>
    <t>Total Estimated</t>
  </si>
  <si>
    <t>Total</t>
  </si>
  <si>
    <t>-13% VAT for materials</t>
  </si>
  <si>
    <t>Budget allocated</t>
  </si>
  <si>
    <t>Municipal payment</t>
  </si>
  <si>
    <t xml:space="preserve">Contingencies </t>
  </si>
  <si>
    <t xml:space="preserve">Maintanince </t>
  </si>
  <si>
    <t>F.Y.: 2082/2083</t>
  </si>
  <si>
    <t>Providing and laying of hand pack locally available Stone soling with 150 to 200 mm thick stones and packing with smaller stone on prepared surface as per Drawing and Technical Specifications.</t>
  </si>
  <si>
    <t>Providing and laying of Plain/Reinforced Cement Concrete in Foundation complete as per Drawing and Technical Specifications, PCC Grade M 15</t>
  </si>
  <si>
    <t>-13% VAT for cement</t>
  </si>
  <si>
    <t>-13% VAT for sand</t>
  </si>
  <si>
    <t>-13% VAT for aggregate</t>
  </si>
  <si>
    <t>-13% VAT for formworks</t>
  </si>
  <si>
    <t>-13% VAT for water</t>
  </si>
  <si>
    <t>User contribution</t>
  </si>
  <si>
    <t>Location:- Shankharapur Municipality 1</t>
  </si>
  <si>
    <t>Earthwork Excavation in Cutting., Roadway Excavation in all types of Soil by Mechanical  Means ., Road way Excavation in  all types of soil as per Drawing and technical specifications  including  removal of stumps and other deleterious matter, all lifts and lead as per Drawing and instruction of the Engineer.</t>
  </si>
  <si>
    <t>-13% VAT</t>
  </si>
  <si>
    <t>Random Rubble Masonry, Providing and laying of Stone Masonry Work in Cement Mortar 1:6 in Foundation complete as per Drawing and Technical Specifications., Using Concrete Mixer</t>
  </si>
  <si>
    <t>-13% VAT for stone</t>
  </si>
  <si>
    <t>rm</t>
  </si>
  <si>
    <t>cum</t>
  </si>
  <si>
    <t>PS</t>
  </si>
  <si>
    <t>-for cap</t>
  </si>
  <si>
    <t>-for wall</t>
  </si>
  <si>
    <r>
      <t xml:space="preserve">Project:- </t>
    </r>
    <r>
      <rPr>
        <b/>
        <sz val="14"/>
        <rFont val="Preeti"/>
      </rPr>
      <t>cf]8f/] l;+rfO{</t>
    </r>
  </si>
  <si>
    <t xml:space="preserve">Date:                </t>
  </si>
  <si>
    <r>
      <t>Earthwork Excavation in Cutting., Roadway Excavation in all types of Soil by Manual Means ., Roadway Excavation in all types of soil as per drawing and technical specification, including removal of stumps and other deleterious matter, with all lifts and lead as per Drawing and instruction of the Engineer.l (</t>
    </r>
    <r>
      <rPr>
        <b/>
        <sz val="14"/>
        <rFont val="Preeti"/>
      </rPr>
      <t>vGg] k'g{] sfo{</t>
    </r>
    <r>
      <rPr>
        <sz val="11"/>
        <rFont val="Calibri"/>
        <family val="2"/>
        <scheme val="minor"/>
      </rPr>
      <t>)</t>
    </r>
  </si>
  <si>
    <t>sub-total</t>
  </si>
  <si>
    <t>-for pipe laying</t>
  </si>
  <si>
    <t>-High Density Polythene Pipe NS 40 pipe material PE 100, PN 16</t>
  </si>
  <si>
    <t>Length (m)</t>
  </si>
  <si>
    <t>Weight (Kg/m)</t>
  </si>
  <si>
    <t>Total weight (Kg)</t>
  </si>
  <si>
    <t>kg</t>
  </si>
  <si>
    <t>-13% VAT for material</t>
  </si>
  <si>
    <t>Provisional sum for other unforseen works</t>
  </si>
  <si>
    <t>Laying and joining of 40,50 mmØ HDPE pipe with butt-weld joints</t>
  </si>
  <si>
    <t>-for 50mm pipe laying for distribution</t>
  </si>
  <si>
    <t>50mm GI pipe threaded-medium class</t>
  </si>
  <si>
    <t>A</t>
  </si>
  <si>
    <t>For civil works</t>
  </si>
  <si>
    <t>B</t>
  </si>
  <si>
    <t>For irrigation works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</si>
</sst>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_(* \(#,##0.00\);_(* &quot;-&quot;??_);_(@_)"/>
    <numFmt numFmtId="164" formatCode="0.0"/>
  </numFmts>
  <fonts count="14" x14ac:knownFonts="1">
    <font>
      <sz val="11"/>
      <color theme="1"/>
      <name val="Calibri"/>
      <family val="2"/>
      <scheme val="minor"/>
    </font>
    <font>
      <sz val="11"/>
      <color theme="1"/>
      <name val="Calibri"/>
      <family val="2"/>
      <scheme val="minor"/>
    </font>
    <font>
      <sz val="11"/>
      <name val="Times New Roman"/>
      <family val="1"/>
    </font>
    <font>
      <b/>
      <sz val="11"/>
      <name val="Times New Roman"/>
      <family val="1"/>
    </font>
    <font>
      <sz val="11"/>
      <name val="Calibri"/>
      <family val="2"/>
      <scheme val="minor"/>
    </font>
    <font>
      <b/>
      <sz val="18"/>
      <name val="Times New Roman"/>
      <family val="1"/>
    </font>
    <font>
      <b/>
      <sz val="11"/>
      <name val="Calibri"/>
      <family val="2"/>
      <scheme val="minor"/>
    </font>
    <font>
      <b/>
      <sz val="14"/>
      <name val="Times New Roman"/>
      <family val="1"/>
    </font>
    <font>
      <sz val="12"/>
      <name val="Times New Roman"/>
      <family val="1"/>
    </font>
    <font>
      <b/>
      <sz val="12"/>
      <name val="Times New Roman"/>
      <family val="1"/>
    </font>
    <font>
      <sz val="10"/>
      <name val="Arial"/>
      <family val="2"/>
    </font>
    <font>
      <sz val="10"/>
      <name val="Arial"/>
      <family val="2"/>
    </font>
    <font>
      <sz val="12"/>
      <color theme="1"/>
      <name val="Times New Roman"/>
      <family val="2"/>
    </font>
    <font>
      <b/>
      <sz val="14"/>
      <name val="Preeti"/>
    </font>
  </fonts>
  <fills count="3">
    <fill>
      <patternFill patternType="none"/>
    </fill>
    <fill>
      <patternFill patternType="gray125"/>
    </fill>
    <fill>
      <patternFill patternType="solid">
        <fgColor theme="0"/>
        <bgColor indexed="64"/>
      </patternFill>
    </fill>
  </fills>
  <borders count="5">
    <border>
      <left/>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s>
  <cellStyleXfs count="6">
    <xf numFmtId="0" fontId="0" fillId="0" borderId="0"/>
    <xf numFmtId="43" fontId="1" fillId="0" borderId="0" applyFont="0" applyFill="0" applyBorder="0" applyAlignment="0" applyProtection="0"/>
    <xf numFmtId="0" fontId="10" fillId="0" borderId="0"/>
    <xf numFmtId="43" fontId="11" fillId="0" borderId="0" applyFont="0" applyFill="0" applyBorder="0" applyAlignment="0" applyProtection="0"/>
    <xf numFmtId="9" fontId="11" fillId="0" borderId="0" applyFont="0" applyFill="0" applyBorder="0" applyAlignment="0" applyProtection="0"/>
    <xf numFmtId="0" fontId="11" fillId="0" borderId="0"/>
  </cellStyleXfs>
  <cellXfs count="59">
    <xf numFmtId="0" fontId="0" fillId="0" borderId="0" xfId="0"/>
    <xf numFmtId="1" fontId="2" fillId="0" borderId="2" xfId="0" applyNumberFormat="1" applyFont="1" applyBorder="1" applyAlignment="1">
      <alignment vertical="center" wrapText="1"/>
    </xf>
    <xf numFmtId="1" fontId="3" fillId="0" borderId="2" xfId="0" applyNumberFormat="1" applyFont="1" applyBorder="1" applyAlignment="1">
      <alignment vertical="center"/>
    </xf>
    <xf numFmtId="164" fontId="2" fillId="0" borderId="2" xfId="0" applyNumberFormat="1" applyFont="1" applyBorder="1" applyAlignment="1">
      <alignment vertical="center"/>
    </xf>
    <xf numFmtId="2" fontId="2" fillId="0" borderId="2" xfId="1" applyNumberFormat="1" applyFont="1" applyFill="1" applyBorder="1" applyAlignment="1">
      <alignment vertical="center"/>
    </xf>
    <xf numFmtId="2" fontId="2" fillId="0" borderId="2" xfId="0" applyNumberFormat="1" applyFont="1" applyBorder="1" applyAlignment="1">
      <alignment vertical="center"/>
    </xf>
    <xf numFmtId="2" fontId="3" fillId="0" borderId="2" xfId="1" applyNumberFormat="1" applyFont="1" applyFill="1" applyBorder="1" applyAlignment="1">
      <alignment vertical="center"/>
    </xf>
    <xf numFmtId="2" fontId="3" fillId="0" borderId="2" xfId="0" applyNumberFormat="1" applyFont="1" applyBorder="1" applyAlignment="1">
      <alignment vertical="center"/>
    </xf>
    <xf numFmtId="1" fontId="2" fillId="0" borderId="2" xfId="0" applyNumberFormat="1" applyFont="1" applyBorder="1" applyAlignment="1">
      <alignment horizontal="right" vertical="center" wrapText="1"/>
    </xf>
    <xf numFmtId="2" fontId="4" fillId="0" borderId="2" xfId="0" applyNumberFormat="1" applyFont="1" applyBorder="1" applyAlignment="1">
      <alignment vertical="center"/>
    </xf>
    <xf numFmtId="0" fontId="9" fillId="0" borderId="0" xfId="0" applyFont="1" applyAlignment="1">
      <alignment horizontal="center"/>
    </xf>
    <xf numFmtId="43" fontId="9" fillId="0" borderId="0" xfId="1" applyFont="1"/>
    <xf numFmtId="0" fontId="9" fillId="0" borderId="2" xfId="0" applyFont="1" applyBorder="1" applyAlignment="1">
      <alignment horizontal="center"/>
    </xf>
    <xf numFmtId="0" fontId="9" fillId="0" borderId="2" xfId="0" applyFont="1" applyBorder="1" applyAlignment="1">
      <alignment horizontal="center" vertical="top" wrapText="1"/>
    </xf>
    <xf numFmtId="43" fontId="9" fillId="0" borderId="2" xfId="1" applyFont="1" applyBorder="1" applyAlignment="1">
      <alignment horizontal="center"/>
    </xf>
    <xf numFmtId="0" fontId="9" fillId="0" borderId="2" xfId="0" applyFont="1" applyBorder="1" applyAlignment="1">
      <alignment horizontal="center" wrapText="1"/>
    </xf>
    <xf numFmtId="0" fontId="6" fillId="0" borderId="2" xfId="0" applyFont="1" applyBorder="1" applyAlignment="1">
      <alignment vertical="center"/>
    </xf>
    <xf numFmtId="0" fontId="4" fillId="0" borderId="2" xfId="0" applyFont="1" applyBorder="1"/>
    <xf numFmtId="2" fontId="3" fillId="0" borderId="2" xfId="0" applyNumberFormat="1" applyFont="1" applyBorder="1"/>
    <xf numFmtId="0" fontId="4" fillId="0" borderId="0" xfId="0" applyFont="1"/>
    <xf numFmtId="0" fontId="4" fillId="0" borderId="0" xfId="0" applyFont="1" applyAlignment="1">
      <alignment vertical="center"/>
    </xf>
    <xf numFmtId="0" fontId="3" fillId="0" borderId="2" xfId="0" applyFont="1" applyBorder="1"/>
    <xf numFmtId="0" fontId="3" fillId="0" borderId="2" xfId="0" applyFont="1" applyBorder="1" applyAlignment="1">
      <alignment horizontal="right" wrapText="1"/>
    </xf>
    <xf numFmtId="164" fontId="2" fillId="0" borderId="2" xfId="0" applyNumberFormat="1" applyFont="1" applyBorder="1"/>
    <xf numFmtId="2" fontId="2" fillId="0" borderId="2" xfId="0" applyNumberFormat="1" applyFont="1" applyBorder="1"/>
    <xf numFmtId="0" fontId="2" fillId="0" borderId="2" xfId="0" applyFont="1" applyBorder="1"/>
    <xf numFmtId="0" fontId="2" fillId="0" borderId="0" xfId="0" applyFont="1" applyAlignment="1">
      <alignment vertical="center"/>
    </xf>
    <xf numFmtId="0" fontId="4" fillId="0" borderId="2" xfId="0" applyFont="1" applyBorder="1" applyAlignment="1">
      <alignment vertical="center"/>
    </xf>
    <xf numFmtId="2" fontId="2" fillId="0" borderId="0" xfId="0" applyNumberFormat="1" applyFont="1" applyAlignment="1">
      <alignment vertical="center"/>
    </xf>
    <xf numFmtId="0" fontId="3" fillId="0" borderId="0" xfId="0" applyFont="1" applyAlignment="1">
      <alignment horizontal="right" vertical="center"/>
    </xf>
    <xf numFmtId="43" fontId="3" fillId="0" borderId="0" xfId="1" applyFont="1" applyBorder="1" applyAlignment="1">
      <alignment vertical="center"/>
    </xf>
    <xf numFmtId="0" fontId="3" fillId="0" borderId="0" xfId="0" applyFont="1" applyAlignment="1">
      <alignment vertical="center"/>
    </xf>
    <xf numFmtId="0" fontId="4" fillId="0" borderId="2" xfId="0" quotePrefix="1" applyFont="1" applyBorder="1" applyAlignment="1">
      <alignment horizontal="right"/>
    </xf>
    <xf numFmtId="2" fontId="4" fillId="0" borderId="2" xfId="0" applyNumberFormat="1" applyFont="1" applyBorder="1"/>
    <xf numFmtId="0" fontId="2" fillId="0" borderId="2" xfId="0" quotePrefix="1" applyFont="1" applyBorder="1" applyAlignment="1">
      <alignment horizontal="right" wrapText="1"/>
    </xf>
    <xf numFmtId="0" fontId="12" fillId="2" borderId="2" xfId="0" applyFont="1" applyFill="1" applyBorder="1" applyAlignment="1">
      <alignment vertical="center" wrapText="1"/>
    </xf>
    <xf numFmtId="2" fontId="4" fillId="0" borderId="0" xfId="0" applyNumberFormat="1" applyFont="1"/>
    <xf numFmtId="1" fontId="4" fillId="0" borderId="2" xfId="0" applyNumberFormat="1" applyFont="1" applyBorder="1"/>
    <xf numFmtId="2" fontId="4" fillId="0" borderId="3" xfId="0" applyNumberFormat="1" applyFont="1" applyBorder="1" applyAlignment="1">
      <alignment horizontal="center" vertical="center"/>
    </xf>
    <xf numFmtId="2" fontId="4" fillId="0" borderId="4" xfId="0" applyNumberFormat="1" applyFont="1" applyBorder="1" applyAlignment="1">
      <alignment horizontal="center" vertical="center"/>
    </xf>
    <xf numFmtId="0" fontId="8" fillId="0" borderId="1" xfId="0" applyFont="1" applyBorder="1"/>
    <xf numFmtId="0" fontId="8" fillId="0" borderId="1" xfId="0" applyFont="1" applyBorder="1" applyAlignment="1">
      <alignment horizontal="right"/>
    </xf>
    <xf numFmtId="2" fontId="4" fillId="0" borderId="3" xfId="1" applyNumberFormat="1" applyFont="1" applyBorder="1" applyAlignment="1">
      <alignment horizontal="center" vertical="center"/>
    </xf>
    <xf numFmtId="2" fontId="4" fillId="0" borderId="4" xfId="1" applyNumberFormat="1" applyFont="1" applyBorder="1" applyAlignment="1">
      <alignment horizontal="center" vertical="center"/>
    </xf>
    <xf numFmtId="2" fontId="4" fillId="0" borderId="2" xfId="0" applyNumberFormat="1" applyFont="1" applyBorder="1" applyAlignment="1">
      <alignment horizontal="center" vertical="center"/>
    </xf>
    <xf numFmtId="0" fontId="8" fillId="0" borderId="0" xfId="0" applyFont="1" applyAlignment="1">
      <alignment horizontal="left"/>
    </xf>
    <xf numFmtId="0" fontId="8" fillId="0" borderId="0" xfId="0" applyFont="1" applyAlignment="1">
      <alignment horizontal="right"/>
    </xf>
    <xf numFmtId="0" fontId="3" fillId="0" borderId="0" xfId="0" applyFont="1" applyAlignment="1">
      <alignment horizontal="center" vertical="center"/>
    </xf>
    <xf numFmtId="0" fontId="5" fillId="0" borderId="0" xfId="0" applyFont="1" applyAlignment="1">
      <alignment horizontal="center" vertical="center"/>
    </xf>
    <xf numFmtId="0" fontId="6" fillId="0" borderId="0" xfId="0" applyFont="1" applyAlignment="1">
      <alignment horizontal="center" vertical="center"/>
    </xf>
    <xf numFmtId="0" fontId="7" fillId="0" borderId="0" xfId="0" applyFont="1" applyAlignment="1">
      <alignment horizontal="center"/>
    </xf>
    <xf numFmtId="0" fontId="4" fillId="0" borderId="2" xfId="0" quotePrefix="1" applyFont="1" applyBorder="1" applyAlignment="1">
      <alignment wrapText="1"/>
    </xf>
    <xf numFmtId="0" fontId="2" fillId="0" borderId="2" xfId="0" quotePrefix="1" applyFont="1" applyBorder="1" applyAlignment="1">
      <alignment horizontal="right" vertical="center" wrapText="1"/>
    </xf>
    <xf numFmtId="2" fontId="6" fillId="0" borderId="2" xfId="0" applyNumberFormat="1" applyFont="1" applyBorder="1" applyAlignment="1">
      <alignment vertical="center"/>
    </xf>
    <xf numFmtId="1" fontId="2" fillId="0" borderId="2" xfId="0" quotePrefix="1" applyNumberFormat="1" applyFont="1" applyBorder="1" applyAlignment="1">
      <alignment vertical="center" wrapText="1"/>
    </xf>
    <xf numFmtId="0" fontId="4" fillId="0" borderId="2" xfId="0" applyFont="1" applyBorder="1" applyAlignment="1">
      <alignment wrapText="1"/>
    </xf>
    <xf numFmtId="0" fontId="4" fillId="0" borderId="2" xfId="0" quotePrefix="1" applyFont="1" applyBorder="1" applyAlignment="1">
      <alignment horizontal="right" vertical="center" wrapText="1"/>
    </xf>
    <xf numFmtId="0" fontId="2" fillId="0" borderId="2" xfId="0" quotePrefix="1" applyFont="1" applyBorder="1" applyAlignment="1">
      <alignment vertical="center" wrapText="1"/>
    </xf>
    <xf numFmtId="0" fontId="0" fillId="0" borderId="0" xfId="0" applyAlignment="1">
      <alignment vertical="center"/>
    </xf>
  </cellXfs>
  <cellStyles count="6">
    <cellStyle name="Comma" xfId="1" builtinId="3"/>
    <cellStyle name="Comma 2" xfId="3" xr:uid="{00000000-0005-0000-0000-000001000000}"/>
    <cellStyle name="Normal" xfId="0" builtinId="0"/>
    <cellStyle name="Normal 2" xfId="2" xr:uid="{00000000-0005-0000-0000-000003000000}"/>
    <cellStyle name="Normal 3" xfId="5" xr:uid="{00000000-0005-0000-0000-000004000000}"/>
    <cellStyle name="Percent 2" xfId="4" xr:uid="{00000000-0005-0000-0000-00000500000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externalLink" Target="externalLinks/externalLink2.xml"/><Relationship Id="rId7" Type="http://schemas.openxmlformats.org/officeDocument/2006/relationships/sharedStrings" Target="sharedStrings.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externalLink" Target="externalLinks/externalLink3.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H:\079-080\Rate%20Analysis\Road-rate-analysis-079-80-shankharapur-as-per-dor-norms-nnnn.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C:\Users\Dell\Desktop\Ward%209\RATE%20ANALYSIS\Road-rate-analysis-078-79-shankharapur.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H:\2082_2083\rate%20analysis\For%20all%20Road-rate%20analysis%2082%2083%20shankharapur.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asheet"/>
      <sheetName val="Abstract"/>
      <sheetName val="Quantity_Sheet"/>
      <sheetName val="District_Rate"/>
      <sheetName val="Equipment_Rate"/>
      <sheetName val="Summary_of_Rates"/>
      <sheetName val="rate (roadway)"/>
      <sheetName val="manhole"/>
      <sheetName val="bistar"/>
      <sheetName val="Rate_Analysis"/>
      <sheetName val="DWC pipe Rate-analysis"/>
      <sheetName val="Sheet1"/>
      <sheetName val="Sheet2"/>
      <sheetName val="Sheet3"/>
      <sheetName val="Sheet4"/>
      <sheetName val="Loading_Unloading"/>
      <sheetName val="Collection"/>
      <sheetName val="Transportation"/>
      <sheetName val="References"/>
      <sheetName val="BOQ"/>
      <sheetName val="PPMO_BOQ"/>
    </sheetNames>
    <sheetDataSet>
      <sheetData sheetId="0" refreshError="1"/>
      <sheetData sheetId="1" refreshError="1">
        <row r="16">
          <cell r="B16" t="str">
            <v>Clearing and Grubbing Road Land ., Clearing and grubbing road land including uprooting rank vegetation, grass, bushes, shrubs, saplings and trees girth up to 300 mm, removal of stumps of trees cut earlier and disposal of unserviceable materials and stacking of serviceable Material to be used or auctioned, up to a lead of 30 meters including removal and disposal of top organic soil not exceeding 150 mm in thickness., By Mechanical Means, In area of light jungle (less than 15 number per 100 sqm )</v>
          </cell>
        </row>
        <row r="22">
          <cell r="B22" t="str">
            <v>Providing and Laying Reinforced cement concrete NP3 Flush jointed pipe for culverts including fixing with cement mortar 1:2 as per Drawing and Technical Specifications., 450 mm  internal dia.</v>
          </cell>
        </row>
        <row r="23">
          <cell r="B23" t="str">
            <v>Providing and Laying Reinforced cement concrete NP3 Flush jointed pipe for culverts including fixing with cement mortar 1:2 as per Drawing and Technical Specifications., 600 mm  internal dia.</v>
          </cell>
        </row>
        <row r="34">
          <cell r="B34" t="str">
            <v>Earthwork Excavation in Cutting., Roadway Excavation in all types of Soil by Mechanical  Means ., Road way Excavation in  all types of soil as per Drawing and technical specifications  including  removal of stumps and other deleterious matter, all lifts and lead as per Drawing and instruction of the Engineer.</v>
          </cell>
        </row>
        <row r="169">
          <cell r="B169" t="str">
            <v>Providing and laying of Plain/Reinforced Cement Concrete in Foundation complete as per Drawing and Technical Specifications, PCC Grade M 15</v>
          </cell>
        </row>
        <row r="171">
          <cell r="B171" t="str">
            <v>Providing and laying of Plain/Reinforced Cement Concrete in Foundation complete as per Drawing and Technical Specifications, PCC Grade M 20</v>
          </cell>
        </row>
        <row r="278">
          <cell r="B278" t="str">
            <v>Providing and laying Brick Masonry Work in Cement mortar  in Foundation / structure complete excluding Pointing and Plastering, as per Drawing and Technical Specifications., Cement sand mortar (1:6)</v>
          </cell>
        </row>
        <row r="301">
          <cell r="B301" t="str">
            <v>Random Rubble Masonry, Providing and laying of Stone Masonry Work in Cement Mortar 1:6 in Foundation complete as per Drawing and Technical Specifications.</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asheet"/>
      <sheetName val="Abstract"/>
      <sheetName val="Quantity_Sheet"/>
      <sheetName val="District_Rate"/>
      <sheetName val="Equipment_Rate"/>
      <sheetName val="Summary_of_Rates"/>
      <sheetName val="rate (roadway)"/>
      <sheetName val="manhole"/>
      <sheetName val="bistar"/>
      <sheetName val="Rate_Analysis"/>
      <sheetName val="DWC pipe Rate-analysis"/>
      <sheetName val="Sheet1"/>
      <sheetName val="Sheet2"/>
      <sheetName val="Sheet3"/>
      <sheetName val="Sheet4"/>
      <sheetName val="Loading_Unloading"/>
      <sheetName val="Collection"/>
      <sheetName val="Transportation"/>
      <sheetName val="References"/>
      <sheetName val="BOQ"/>
      <sheetName val="PPMO_BOQ"/>
    </sheetNames>
    <sheetDataSet>
      <sheetData sheetId="0" refreshError="1"/>
      <sheetData sheetId="1" refreshError="1">
        <row r="33">
          <cell r="B33" t="str">
            <v>Earthwork Excavation in Cutting., Roadway Excavation in all types of Soil by Manual Means ., Roadway Excavation in all types of soil as per drawing and technical specification, including removal of stumps and other deleterious matter, with all lifts and lead as per Drawing and instruction of the Engineer.</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asheet"/>
      <sheetName val="Abstract"/>
      <sheetName val="Quantity_Sheet"/>
      <sheetName val="District_Rate"/>
      <sheetName val="Equipment_Rate"/>
      <sheetName val="Summary_of_Rates"/>
      <sheetName val="rate (roadway)"/>
      <sheetName val="manhole"/>
      <sheetName val="bistar"/>
      <sheetName val="Rate_Analysis"/>
      <sheetName val="DWC pipe Rate-analysis"/>
      <sheetName val="Sheet1"/>
      <sheetName val="Sheet2"/>
      <sheetName val="Sheet3"/>
      <sheetName val="Sheet4"/>
      <sheetName val="Loading_Unloading"/>
      <sheetName val="Collection"/>
      <sheetName val="Transportation"/>
      <sheetName val="References"/>
      <sheetName val="BOQ"/>
      <sheetName val="PPMO_BOQ"/>
    </sheetNames>
    <sheetDataSet>
      <sheetData sheetId="0"/>
      <sheetData sheetId="1">
        <row r="40">
          <cell r="B40" t="str">
            <v>Excavation for Structures Foundation, Earth work in excavation of foundation of structures, including  construction of shoring and bracing, removal of stumps and other deleterious matter and backfilling with approved Material as per Drawing and Technical Specifications., Ordinary soil by Mechanical Means, Depth upto 3 m</v>
          </cell>
        </row>
        <row r="300">
          <cell r="B300" t="str">
            <v>Random Rubble Masonry, Providing and laying of Stone Masonry Work in Cement Mortar 1:6 in Foundation complete as per Drawing and Technical Specifications., Using Concrete Mixer</v>
          </cell>
        </row>
      </sheetData>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Y68"/>
  <sheetViews>
    <sheetView tabSelected="1" topLeftCell="A49" zoomScale="90" zoomScaleNormal="90" zoomScaleSheetLayoutView="95" workbookViewId="0">
      <selection activeCell="F61" sqref="F61"/>
    </sheetView>
  </sheetViews>
  <sheetFormatPr defaultColWidth="9.140625" defaultRowHeight="15" x14ac:dyDescent="0.25"/>
  <cols>
    <col min="1" max="1" width="4.7109375" style="19" customWidth="1"/>
    <col min="2" max="2" width="30.85546875" style="19" customWidth="1"/>
    <col min="3" max="3" width="4.42578125" style="19" bestFit="1" customWidth="1"/>
    <col min="4" max="4" width="8.42578125" style="19" customWidth="1"/>
    <col min="5" max="5" width="8.5703125" style="19" customWidth="1"/>
    <col min="6" max="6" width="7.28515625" style="19" customWidth="1"/>
    <col min="7" max="7" width="9.140625" style="19"/>
    <col min="8" max="8" width="5" style="19" bestFit="1" customWidth="1"/>
    <col min="9" max="9" width="9.5703125" style="19" bestFit="1" customWidth="1"/>
    <col min="10" max="10" width="10.7109375" style="19" bestFit="1" customWidth="1"/>
    <col min="11" max="12" width="9.140625" style="19"/>
    <col min="13" max="16" width="0" style="19" hidden="1" customWidth="1"/>
    <col min="17" max="16384" width="9.140625" style="19"/>
  </cols>
  <sheetData>
    <row r="1" spans="1:16" x14ac:dyDescent="0.25">
      <c r="A1" s="47" t="s">
        <v>0</v>
      </c>
      <c r="B1" s="47"/>
      <c r="C1" s="47"/>
      <c r="D1" s="47"/>
      <c r="E1" s="47"/>
      <c r="F1" s="47"/>
      <c r="G1" s="47"/>
      <c r="H1" s="47"/>
      <c r="I1" s="47"/>
      <c r="J1" s="47"/>
      <c r="K1" s="47"/>
    </row>
    <row r="2" spans="1:16" ht="22.5" x14ac:dyDescent="0.25">
      <c r="A2" s="48" t="s">
        <v>1</v>
      </c>
      <c r="B2" s="48"/>
      <c r="C2" s="48"/>
      <c r="D2" s="48"/>
      <c r="E2" s="48"/>
      <c r="F2" s="48"/>
      <c r="G2" s="48"/>
      <c r="H2" s="48"/>
      <c r="I2" s="48"/>
      <c r="J2" s="48"/>
      <c r="K2" s="48"/>
    </row>
    <row r="3" spans="1:16" x14ac:dyDescent="0.25">
      <c r="A3" s="49" t="s">
        <v>2</v>
      </c>
      <c r="B3" s="49"/>
      <c r="C3" s="49"/>
      <c r="D3" s="49"/>
      <c r="E3" s="49"/>
      <c r="F3" s="49"/>
      <c r="G3" s="49"/>
      <c r="H3" s="49"/>
      <c r="I3" s="49"/>
      <c r="J3" s="49"/>
      <c r="K3" s="49"/>
    </row>
    <row r="4" spans="1:16" x14ac:dyDescent="0.25">
      <c r="A4" s="49" t="s">
        <v>3</v>
      </c>
      <c r="B4" s="49"/>
      <c r="C4" s="49"/>
      <c r="D4" s="49"/>
      <c r="E4" s="49"/>
      <c r="F4" s="49"/>
      <c r="G4" s="49"/>
      <c r="H4" s="49"/>
      <c r="I4" s="49"/>
      <c r="J4" s="49"/>
      <c r="K4" s="49"/>
    </row>
    <row r="5" spans="1:16" ht="18.75" x14ac:dyDescent="0.3">
      <c r="A5" s="50" t="s">
        <v>4</v>
      </c>
      <c r="B5" s="50"/>
      <c r="C5" s="50"/>
      <c r="D5" s="50"/>
      <c r="E5" s="50"/>
      <c r="F5" s="50"/>
      <c r="G5" s="50"/>
      <c r="H5" s="50"/>
      <c r="I5" s="50"/>
      <c r="J5" s="50"/>
      <c r="K5" s="50"/>
    </row>
    <row r="6" spans="1:16" ht="18" x14ac:dyDescent="0.25">
      <c r="A6" s="45" t="s">
        <v>46</v>
      </c>
      <c r="B6" s="45"/>
      <c r="C6" s="45"/>
      <c r="D6" s="45"/>
      <c r="E6" s="45"/>
      <c r="F6" s="45"/>
      <c r="G6" s="10"/>
      <c r="H6" s="46" t="s">
        <v>27</v>
      </c>
      <c r="I6" s="46"/>
      <c r="J6" s="46"/>
      <c r="K6" s="46"/>
    </row>
    <row r="7" spans="1:16" ht="15.75" x14ac:dyDescent="0.25">
      <c r="A7" s="40" t="s">
        <v>36</v>
      </c>
      <c r="B7" s="40"/>
      <c r="C7" s="40"/>
      <c r="D7" s="40"/>
      <c r="E7" s="40"/>
      <c r="F7" s="40"/>
      <c r="G7" s="11"/>
      <c r="H7" s="41" t="s">
        <v>47</v>
      </c>
      <c r="I7" s="41"/>
      <c r="J7" s="41"/>
      <c r="K7" s="41"/>
    </row>
    <row r="8" spans="1:16" ht="15.75" x14ac:dyDescent="0.25">
      <c r="A8" s="12" t="s">
        <v>5</v>
      </c>
      <c r="B8" s="13" t="s">
        <v>6</v>
      </c>
      <c r="C8" s="12" t="s">
        <v>7</v>
      </c>
      <c r="D8" s="14" t="s">
        <v>8</v>
      </c>
      <c r="E8" s="14" t="s">
        <v>9</v>
      </c>
      <c r="F8" s="14" t="s">
        <v>10</v>
      </c>
      <c r="G8" s="14" t="s">
        <v>11</v>
      </c>
      <c r="H8" s="12" t="s">
        <v>12</v>
      </c>
      <c r="I8" s="14" t="s">
        <v>13</v>
      </c>
      <c r="J8" s="14" t="s">
        <v>14</v>
      </c>
      <c r="K8" s="15" t="s">
        <v>15</v>
      </c>
    </row>
    <row r="9" spans="1:16" ht="15.75" x14ac:dyDescent="0.25">
      <c r="A9" s="12" t="s">
        <v>61</v>
      </c>
      <c r="B9" s="13" t="s">
        <v>62</v>
      </c>
      <c r="C9" s="12"/>
      <c r="D9" s="14"/>
      <c r="E9" s="14"/>
      <c r="F9" s="14"/>
      <c r="G9" s="14"/>
      <c r="H9" s="12"/>
      <c r="I9" s="14"/>
      <c r="J9" s="14"/>
      <c r="K9" s="15"/>
    </row>
    <row r="10" spans="1:16" ht="157.5" x14ac:dyDescent="0.25">
      <c r="A10" s="16">
        <v>1</v>
      </c>
      <c r="B10" s="35" t="s">
        <v>37</v>
      </c>
      <c r="C10" s="17"/>
      <c r="D10" s="17"/>
      <c r="E10" s="17"/>
      <c r="F10" s="17"/>
      <c r="G10" s="17"/>
      <c r="H10" s="17"/>
      <c r="I10" s="17"/>
      <c r="J10" s="17"/>
      <c r="K10" s="17"/>
    </row>
    <row r="11" spans="1:16" x14ac:dyDescent="0.25">
      <c r="A11" s="16"/>
      <c r="B11" s="32" t="s">
        <v>45</v>
      </c>
      <c r="C11" s="37">
        <v>0.5</v>
      </c>
      <c r="D11" s="33">
        <v>10.45</v>
      </c>
      <c r="E11" s="33">
        <f>(5+2.5)/2/3.281</f>
        <v>1.1429442243218531</v>
      </c>
      <c r="F11" s="33">
        <f>0.75</f>
        <v>0.75</v>
      </c>
      <c r="G11" s="33">
        <f>PRODUCT(C11:F11)</f>
        <v>4.4789126790612617</v>
      </c>
      <c r="H11" s="17"/>
      <c r="I11" s="17"/>
      <c r="J11" s="17"/>
      <c r="K11" s="17"/>
      <c r="M11" s="33">
        <f>7</f>
        <v>7</v>
      </c>
      <c r="N11" s="33">
        <f>2</f>
        <v>2</v>
      </c>
      <c r="O11" s="33"/>
      <c r="P11" s="33">
        <f>PI()*M11*SQRT(M11^2+N11^2)</f>
        <v>160.09797821843054</v>
      </c>
    </row>
    <row r="12" spans="1:16" ht="15" customHeight="1" x14ac:dyDescent="0.25">
      <c r="A12" s="2"/>
      <c r="B12" s="34" t="s">
        <v>16</v>
      </c>
      <c r="C12" s="3"/>
      <c r="D12" s="4"/>
      <c r="E12" s="5"/>
      <c r="F12" s="5"/>
      <c r="G12" s="6">
        <f>SUM(G11:G11)</f>
        <v>4.4789126790612617</v>
      </c>
      <c r="H12" s="7" t="s">
        <v>17</v>
      </c>
      <c r="I12" s="6">
        <v>62.95</v>
      </c>
      <c r="J12" s="18">
        <f>G12*I12</f>
        <v>281.94755314690644</v>
      </c>
      <c r="K12" s="5"/>
    </row>
    <row r="13" spans="1:16" x14ac:dyDescent="0.25">
      <c r="A13" s="16"/>
      <c r="B13" s="32" t="s">
        <v>38</v>
      </c>
      <c r="C13" s="17"/>
      <c r="D13" s="17"/>
      <c r="E13" s="17"/>
      <c r="F13" s="17"/>
      <c r="G13" s="17"/>
      <c r="H13" s="17"/>
      <c r="I13" s="17"/>
      <c r="J13" s="18">
        <f>0.13*G12*18612/360</f>
        <v>30.10277211597074</v>
      </c>
      <c r="K13" s="17"/>
    </row>
    <row r="14" spans="1:16" x14ac:dyDescent="0.25">
      <c r="A14" s="16"/>
      <c r="B14" s="17"/>
      <c r="C14" s="17"/>
      <c r="D14" s="17"/>
      <c r="E14" s="17"/>
      <c r="F14" s="17"/>
      <c r="G14" s="17"/>
      <c r="H14" s="17"/>
      <c r="I14" s="17"/>
      <c r="J14" s="17"/>
      <c r="K14" s="17"/>
    </row>
    <row r="15" spans="1:16" ht="94.5" x14ac:dyDescent="0.25">
      <c r="A15" s="16">
        <v>2</v>
      </c>
      <c r="B15" s="35" t="s">
        <v>28</v>
      </c>
      <c r="C15" s="17"/>
      <c r="D15" s="17"/>
      <c r="E15" s="17"/>
      <c r="F15" s="17"/>
      <c r="G15" s="17"/>
      <c r="H15" s="17"/>
      <c r="I15" s="17"/>
      <c r="J15" s="17"/>
      <c r="K15" s="17"/>
    </row>
    <row r="16" spans="1:16" x14ac:dyDescent="0.25">
      <c r="A16" s="16"/>
      <c r="B16" s="32" t="str">
        <f>B21</f>
        <v>-for wall</v>
      </c>
      <c r="C16" s="17">
        <f>C21</f>
        <v>1</v>
      </c>
      <c r="D16" s="33">
        <f>D21</f>
        <v>10.45</v>
      </c>
      <c r="E16" s="33">
        <f>E21</f>
        <v>1.1429442243218531</v>
      </c>
      <c r="F16" s="33">
        <v>0.15</v>
      </c>
      <c r="G16" s="33">
        <f>PRODUCT(C16:F16)</f>
        <v>1.7915650716245044</v>
      </c>
      <c r="H16" s="17"/>
      <c r="I16" s="17"/>
      <c r="J16" s="17"/>
      <c r="K16" s="17"/>
      <c r="M16" s="36"/>
      <c r="N16" s="36"/>
      <c r="O16" s="36"/>
      <c r="P16" s="36"/>
    </row>
    <row r="17" spans="1:16" ht="15" customHeight="1" x14ac:dyDescent="0.25">
      <c r="A17" s="2"/>
      <c r="B17" s="34" t="s">
        <v>16</v>
      </c>
      <c r="C17" s="3"/>
      <c r="D17" s="4"/>
      <c r="E17" s="5"/>
      <c r="F17" s="5"/>
      <c r="G17" s="6">
        <f>SUM(G16:G16)</f>
        <v>1.7915650716245044</v>
      </c>
      <c r="H17" s="7" t="s">
        <v>17</v>
      </c>
      <c r="I17" s="6">
        <v>4458.5200000000004</v>
      </c>
      <c r="J17" s="18">
        <f>G17*I17</f>
        <v>7987.7287031392862</v>
      </c>
      <c r="K17" s="5"/>
    </row>
    <row r="18" spans="1:16" x14ac:dyDescent="0.25">
      <c r="A18" s="16"/>
      <c r="B18" s="32" t="s">
        <v>22</v>
      </c>
      <c r="C18" s="17"/>
      <c r="D18" s="17"/>
      <c r="E18" s="17"/>
      <c r="F18" s="17"/>
      <c r="G18" s="17"/>
      <c r="H18" s="17"/>
      <c r="I18" s="17"/>
      <c r="J18" s="18">
        <f>0.13*G17*(14817.6)/5</f>
        <v>690.21405973788467</v>
      </c>
      <c r="K18" s="17"/>
    </row>
    <row r="19" spans="1:16" x14ac:dyDescent="0.25">
      <c r="A19" s="16"/>
      <c r="B19" s="17"/>
      <c r="C19" s="17"/>
      <c r="D19" s="17"/>
      <c r="E19" s="17"/>
      <c r="F19" s="17"/>
      <c r="G19" s="17"/>
      <c r="H19" s="17"/>
      <c r="I19" s="17"/>
      <c r="J19" s="17"/>
      <c r="K19" s="17"/>
    </row>
    <row r="20" spans="1:16" ht="78.75" x14ac:dyDescent="0.25">
      <c r="A20" s="16">
        <v>3</v>
      </c>
      <c r="B20" s="35" t="s">
        <v>29</v>
      </c>
      <c r="C20" s="17"/>
      <c r="D20" s="17"/>
      <c r="E20" s="17"/>
      <c r="F20" s="17"/>
      <c r="G20" s="17"/>
      <c r="H20" s="17"/>
      <c r="I20" s="17"/>
      <c r="J20" s="17"/>
      <c r="K20" s="17"/>
    </row>
    <row r="21" spans="1:16" x14ac:dyDescent="0.25">
      <c r="A21" s="16"/>
      <c r="B21" s="32" t="str">
        <f>B31</f>
        <v>-for wall</v>
      </c>
      <c r="C21" s="17">
        <f>C31</f>
        <v>1</v>
      </c>
      <c r="D21" s="33">
        <f>D31</f>
        <v>10.45</v>
      </c>
      <c r="E21" s="33">
        <f>F31/2</f>
        <v>1.1429442243218531</v>
      </c>
      <c r="F21" s="33">
        <v>0.05</v>
      </c>
      <c r="G21" s="33">
        <f>PRODUCT(C21:F21)</f>
        <v>0.59718835720816821</v>
      </c>
      <c r="H21" s="17"/>
      <c r="I21" s="17"/>
      <c r="J21" s="17"/>
      <c r="K21" s="17"/>
      <c r="M21" s="36"/>
      <c r="N21" s="36"/>
      <c r="O21" s="36"/>
      <c r="P21" s="36"/>
    </row>
    <row r="22" spans="1:16" x14ac:dyDescent="0.25">
      <c r="A22" s="16"/>
      <c r="B22" s="32" t="s">
        <v>44</v>
      </c>
      <c r="C22" s="17">
        <f>C21</f>
        <v>1</v>
      </c>
      <c r="D22" s="33">
        <f>D21</f>
        <v>10.45</v>
      </c>
      <c r="E22" s="33">
        <f>0.45</f>
        <v>0.45</v>
      </c>
      <c r="F22" s="33">
        <v>0.05</v>
      </c>
      <c r="G22" s="33">
        <f>PRODUCT(C22:F22)</f>
        <v>0.235125</v>
      </c>
      <c r="H22" s="17"/>
      <c r="I22" s="17"/>
      <c r="J22" s="17"/>
      <c r="K22" s="17"/>
      <c r="M22" s="36"/>
      <c r="N22" s="36"/>
      <c r="O22" s="36"/>
      <c r="P22" s="36"/>
    </row>
    <row r="23" spans="1:16" ht="15" customHeight="1" x14ac:dyDescent="0.25">
      <c r="A23" s="2"/>
      <c r="B23" s="34" t="s">
        <v>16</v>
      </c>
      <c r="C23" s="3"/>
      <c r="D23" s="4"/>
      <c r="E23" s="5"/>
      <c r="F23" s="5"/>
      <c r="G23" s="6">
        <f>SUM(G21:G22)</f>
        <v>0.83231335720816824</v>
      </c>
      <c r="H23" s="7" t="s">
        <v>17</v>
      </c>
      <c r="I23" s="6">
        <v>10964.46</v>
      </c>
      <c r="J23" s="18">
        <f>G23*I23</f>
        <v>9125.866512574672</v>
      </c>
      <c r="K23" s="5"/>
    </row>
    <row r="24" spans="1:16" x14ac:dyDescent="0.25">
      <c r="A24" s="16"/>
      <c r="B24" s="32" t="s">
        <v>30</v>
      </c>
      <c r="C24" s="17"/>
      <c r="D24" s="17"/>
      <c r="E24" s="17"/>
      <c r="F24" s="17"/>
      <c r="G24" s="17"/>
      <c r="H24" s="17"/>
      <c r="I24" s="17"/>
      <c r="J24" s="18">
        <f>0.13*G23*(53818.03)/15</f>
        <v>388.21003197279259</v>
      </c>
      <c r="K24" s="17"/>
    </row>
    <row r="25" spans="1:16" x14ac:dyDescent="0.25">
      <c r="A25" s="16"/>
      <c r="B25" s="32" t="s">
        <v>31</v>
      </c>
      <c r="C25" s="17"/>
      <c r="D25" s="17"/>
      <c r="E25" s="17"/>
      <c r="F25" s="17"/>
      <c r="G25" s="17"/>
      <c r="H25" s="17"/>
      <c r="I25" s="17"/>
      <c r="J25" s="18">
        <f>0.13*G23*(21432.6)/15</f>
        <v>154.60154025073149</v>
      </c>
      <c r="K25" s="17"/>
    </row>
    <row r="26" spans="1:16" x14ac:dyDescent="0.25">
      <c r="A26" s="16"/>
      <c r="B26" s="32" t="s">
        <v>32</v>
      </c>
      <c r="C26" s="17"/>
      <c r="D26" s="17"/>
      <c r="E26" s="17"/>
      <c r="F26" s="17"/>
      <c r="G26" s="17"/>
      <c r="H26" s="17"/>
      <c r="I26" s="17"/>
      <c r="J26" s="18">
        <f>0.13*G23*(25719.12+13573.98+4286.52)/15</f>
        <v>314.35646517648735</v>
      </c>
      <c r="K26" s="17"/>
    </row>
    <row r="27" spans="1:16" x14ac:dyDescent="0.25">
      <c r="A27" s="16"/>
      <c r="B27" s="32" t="s">
        <v>33</v>
      </c>
      <c r="C27" s="17"/>
      <c r="D27" s="17"/>
      <c r="E27" s="17"/>
      <c r="F27" s="17"/>
      <c r="G27" s="17"/>
      <c r="H27" s="17"/>
      <c r="I27" s="17"/>
      <c r="J27" s="18">
        <f>0.13*G23*(6325.7)/15</f>
        <v>45.629693231994821</v>
      </c>
      <c r="K27" s="17"/>
    </row>
    <row r="28" spans="1:16" x14ac:dyDescent="0.25">
      <c r="A28" s="16"/>
      <c r="B28" s="32" t="s">
        <v>34</v>
      </c>
      <c r="C28" s="17"/>
      <c r="D28" s="17"/>
      <c r="E28" s="17"/>
      <c r="F28" s="17"/>
      <c r="G28" s="17"/>
      <c r="H28" s="17"/>
      <c r="I28" s="17"/>
      <c r="J28" s="18">
        <f>0.13*G23*(310)/5</f>
        <v>6.7084456590978361</v>
      </c>
      <c r="K28" s="17"/>
    </row>
    <row r="29" spans="1:16" x14ac:dyDescent="0.25">
      <c r="A29" s="16"/>
      <c r="B29" s="17"/>
      <c r="C29" s="17"/>
      <c r="D29" s="17"/>
      <c r="E29" s="17"/>
      <c r="F29" s="17"/>
      <c r="G29" s="17"/>
      <c r="H29" s="17"/>
      <c r="I29" s="17"/>
      <c r="J29" s="17"/>
      <c r="K29" s="17"/>
    </row>
    <row r="30" spans="1:16" ht="110.25" x14ac:dyDescent="0.25">
      <c r="A30" s="16">
        <v>4</v>
      </c>
      <c r="B30" s="35" t="s">
        <v>39</v>
      </c>
      <c r="C30" s="17"/>
      <c r="D30" s="17"/>
      <c r="E30" s="17"/>
      <c r="F30" s="17"/>
      <c r="G30" s="17"/>
      <c r="H30" s="17"/>
      <c r="I30" s="17"/>
      <c r="J30" s="17"/>
      <c r="K30" s="17"/>
    </row>
    <row r="31" spans="1:16" x14ac:dyDescent="0.25">
      <c r="A31" s="16"/>
      <c r="B31" s="32" t="str">
        <f>B11</f>
        <v>-for wall</v>
      </c>
      <c r="C31" s="17">
        <v>1</v>
      </c>
      <c r="D31" s="33">
        <f>10.45</f>
        <v>10.45</v>
      </c>
      <c r="E31" s="33">
        <f>((F31/2)+0.45)/2</f>
        <v>0.7964721121609265</v>
      </c>
      <c r="F31" s="33">
        <f>(5+2.5)/3.281</f>
        <v>2.2858884486437061</v>
      </c>
      <c r="G31" s="33">
        <f>PRODUCT(C31:F31)</f>
        <v>19.025754888940146</v>
      </c>
      <c r="H31" s="17"/>
      <c r="I31" s="17"/>
      <c r="J31" s="17"/>
      <c r="K31" s="17"/>
      <c r="M31" s="36"/>
      <c r="N31" s="36"/>
      <c r="O31" s="36"/>
      <c r="P31" s="36"/>
    </row>
    <row r="32" spans="1:16" ht="15" customHeight="1" x14ac:dyDescent="0.25">
      <c r="A32" s="2"/>
      <c r="B32" s="34" t="s">
        <v>16</v>
      </c>
      <c r="C32" s="3"/>
      <c r="D32" s="4"/>
      <c r="E32" s="5"/>
      <c r="F32" s="5"/>
      <c r="G32" s="6">
        <f>SUM(G31:G31)</f>
        <v>19.025754888940146</v>
      </c>
      <c r="H32" s="7" t="s">
        <v>17</v>
      </c>
      <c r="I32" s="6">
        <v>8987.83</v>
      </c>
      <c r="J32" s="18">
        <f>G32*I32</f>
        <v>171000.25056346291</v>
      </c>
      <c r="K32" s="5"/>
    </row>
    <row r="33" spans="1:25" x14ac:dyDescent="0.25">
      <c r="A33" s="16"/>
      <c r="B33" s="32" t="s">
        <v>40</v>
      </c>
      <c r="C33" s="17"/>
      <c r="D33" s="17"/>
      <c r="E33" s="17"/>
      <c r="F33" s="17"/>
      <c r="G33" s="17"/>
      <c r="H33" s="17"/>
      <c r="I33" s="17"/>
      <c r="J33" s="18">
        <f>0.13*G32*(14808.78)/5</f>
        <v>7325.4536805902153</v>
      </c>
      <c r="K33" s="17"/>
    </row>
    <row r="34" spans="1:25" x14ac:dyDescent="0.25">
      <c r="A34" s="16"/>
      <c r="B34" s="32" t="s">
        <v>30</v>
      </c>
      <c r="C34" s="17"/>
      <c r="D34" s="17"/>
      <c r="E34" s="17"/>
      <c r="F34" s="17"/>
      <c r="G34" s="17"/>
      <c r="H34" s="17"/>
      <c r="I34" s="17"/>
      <c r="J34" s="18">
        <f>0.13*G32*5863.95/5</f>
        <v>2900.7179599060146</v>
      </c>
      <c r="K34" s="17"/>
    </row>
    <row r="35" spans="1:25" x14ac:dyDescent="0.25">
      <c r="A35" s="16"/>
      <c r="B35" s="32" t="s">
        <v>31</v>
      </c>
      <c r="C35" s="17"/>
      <c r="D35" s="17"/>
      <c r="E35" s="17"/>
      <c r="F35" s="17"/>
      <c r="G35" s="17"/>
      <c r="H35" s="17"/>
      <c r="I35" s="17"/>
      <c r="J35" s="18">
        <f>0.13*G32*6604.416/5</f>
        <v>3267.0040000154577</v>
      </c>
      <c r="K35" s="17"/>
    </row>
    <row r="36" spans="1:25" x14ac:dyDescent="0.25">
      <c r="A36" s="16"/>
      <c r="B36" s="32" t="s">
        <v>34</v>
      </c>
      <c r="C36" s="17"/>
      <c r="D36" s="17"/>
      <c r="E36" s="17"/>
      <c r="F36" s="17"/>
      <c r="G36" s="17"/>
      <c r="H36" s="17"/>
      <c r="I36" s="17"/>
      <c r="J36" s="18">
        <f>0.13*G32*310/5</f>
        <v>153.34758440485757</v>
      </c>
      <c r="K36" s="17"/>
    </row>
    <row r="37" spans="1:25" x14ac:dyDescent="0.25">
      <c r="A37" s="16"/>
      <c r="B37" s="17"/>
      <c r="C37" s="17"/>
      <c r="D37" s="17"/>
      <c r="E37" s="17"/>
      <c r="F37" s="17"/>
      <c r="G37" s="17"/>
      <c r="H37" s="17"/>
      <c r="I37" s="17"/>
      <c r="J37" s="17"/>
      <c r="K37" s="17"/>
    </row>
    <row r="38" spans="1:25" ht="15.75" x14ac:dyDescent="0.25">
      <c r="A38" s="12" t="s">
        <v>63</v>
      </c>
      <c r="B38" s="13" t="s">
        <v>64</v>
      </c>
      <c r="C38" s="12"/>
      <c r="D38" s="14"/>
      <c r="E38" s="14"/>
      <c r="F38" s="14"/>
      <c r="G38" s="14"/>
      <c r="H38" s="12"/>
      <c r="I38" s="14"/>
      <c r="J38" s="14"/>
      <c r="K38" s="15"/>
    </row>
    <row r="39" spans="1:25" ht="168" x14ac:dyDescent="0.25">
      <c r="A39" s="16">
        <v>5</v>
      </c>
      <c r="B39" s="51" t="s">
        <v>48</v>
      </c>
      <c r="C39" s="17"/>
      <c r="D39" s="17"/>
      <c r="E39" s="17"/>
      <c r="F39" s="17"/>
      <c r="G39" s="17"/>
      <c r="H39" s="17"/>
      <c r="I39" s="17"/>
      <c r="J39" s="18"/>
      <c r="K39" s="17"/>
      <c r="M39" s="20"/>
      <c r="N39" s="20"/>
      <c r="O39" s="20"/>
      <c r="P39" s="20"/>
      <c r="Q39" s="20"/>
      <c r="R39" s="20"/>
      <c r="S39" s="20"/>
      <c r="T39" s="20"/>
      <c r="U39" s="20"/>
      <c r="V39" s="20"/>
      <c r="W39" s="20"/>
      <c r="X39" s="20"/>
      <c r="Y39" s="20"/>
    </row>
    <row r="40" spans="1:25" x14ac:dyDescent="0.25">
      <c r="A40" s="16"/>
      <c r="B40" s="32" t="s">
        <v>50</v>
      </c>
      <c r="C40" s="17">
        <v>1</v>
      </c>
      <c r="D40" s="33">
        <v>275</v>
      </c>
      <c r="E40" s="17">
        <v>0.15</v>
      </c>
      <c r="F40" s="17">
        <v>0.45</v>
      </c>
      <c r="G40" s="33">
        <f t="shared" ref="G40" si="0">PRODUCT(C40:F40)</f>
        <v>18.5625</v>
      </c>
      <c r="H40" s="17"/>
      <c r="I40" s="17"/>
      <c r="J40" s="18"/>
      <c r="K40" s="17"/>
    </row>
    <row r="41" spans="1:25" s="20" customFormat="1" x14ac:dyDescent="0.25">
      <c r="A41" s="2"/>
      <c r="B41" s="52" t="s">
        <v>49</v>
      </c>
      <c r="C41" s="3"/>
      <c r="D41" s="4"/>
      <c r="E41" s="5"/>
      <c r="F41" s="5"/>
      <c r="G41" s="53">
        <f>SUM(G40:G40)</f>
        <v>18.5625</v>
      </c>
      <c r="H41" s="7" t="s">
        <v>42</v>
      </c>
      <c r="I41" s="6">
        <v>748.9</v>
      </c>
      <c r="J41" s="53">
        <f>G41*I41</f>
        <v>13901.456249999999</v>
      </c>
      <c r="K41" s="5"/>
      <c r="M41" s="19"/>
      <c r="N41" s="19"/>
      <c r="O41" s="19"/>
      <c r="P41" s="19"/>
      <c r="Q41" s="19"/>
      <c r="R41" s="19"/>
      <c r="S41" s="19"/>
      <c r="T41" s="19"/>
      <c r="U41" s="19"/>
      <c r="V41" s="19"/>
      <c r="W41" s="19"/>
      <c r="X41" s="19"/>
      <c r="Y41" s="19"/>
    </row>
    <row r="42" spans="1:25" x14ac:dyDescent="0.25">
      <c r="A42" s="16"/>
      <c r="B42" s="32"/>
      <c r="C42" s="17"/>
      <c r="D42" s="17"/>
      <c r="E42" s="17"/>
      <c r="F42" s="17"/>
      <c r="G42" s="17"/>
      <c r="H42" s="17"/>
      <c r="I42" s="17"/>
      <c r="J42" s="18"/>
      <c r="K42" s="17"/>
    </row>
    <row r="43" spans="1:25" ht="30" x14ac:dyDescent="0.25">
      <c r="A43" s="16">
        <v>6</v>
      </c>
      <c r="B43" s="51" t="s">
        <v>58</v>
      </c>
      <c r="C43" s="17"/>
      <c r="D43" s="17"/>
      <c r="E43" s="17"/>
      <c r="F43" s="17"/>
      <c r="G43" s="17"/>
      <c r="H43" s="17"/>
      <c r="I43" s="17"/>
      <c r="J43" s="17"/>
      <c r="K43" s="17"/>
      <c r="M43" s="20"/>
      <c r="N43" s="20"/>
      <c r="O43" s="20"/>
      <c r="P43" s="20"/>
      <c r="Q43" s="20"/>
      <c r="R43" s="20"/>
      <c r="S43" s="20"/>
      <c r="T43" s="20"/>
      <c r="U43" s="20"/>
      <c r="V43" s="20"/>
      <c r="W43" s="20"/>
      <c r="X43" s="20"/>
      <c r="Y43" s="20"/>
    </row>
    <row r="44" spans="1:25" x14ac:dyDescent="0.25">
      <c r="A44" s="16"/>
      <c r="B44" s="32" t="s">
        <v>50</v>
      </c>
      <c r="C44" s="17">
        <f>C40</f>
        <v>1</v>
      </c>
      <c r="D44" s="33">
        <f>D40</f>
        <v>275</v>
      </c>
      <c r="E44" s="17"/>
      <c r="F44" s="17"/>
      <c r="G44" s="33">
        <f t="shared" ref="G44" si="1">PRODUCT(C44:F44)</f>
        <v>275</v>
      </c>
      <c r="H44" s="17"/>
      <c r="I44" s="17"/>
      <c r="J44" s="18"/>
      <c r="K44" s="17"/>
    </row>
    <row r="45" spans="1:25" s="20" customFormat="1" x14ac:dyDescent="0.25">
      <c r="A45" s="2"/>
      <c r="B45" s="52" t="s">
        <v>49</v>
      </c>
      <c r="C45" s="3"/>
      <c r="D45" s="4"/>
      <c r="E45" s="5"/>
      <c r="F45" s="5"/>
      <c r="G45" s="53">
        <f>SUM(G44:G44)</f>
        <v>275</v>
      </c>
      <c r="H45" s="7" t="s">
        <v>41</v>
      </c>
      <c r="I45" s="6">
        <f>6461.51/1000</f>
        <v>6.4615100000000005</v>
      </c>
      <c r="J45" s="53">
        <f>G45*I45</f>
        <v>1776.9152500000002</v>
      </c>
      <c r="K45" s="5"/>
      <c r="M45" s="19"/>
      <c r="N45" s="19"/>
      <c r="O45" s="19"/>
      <c r="P45" s="19"/>
      <c r="Q45" s="19"/>
      <c r="R45" s="19"/>
      <c r="S45" s="19"/>
      <c r="T45" s="19"/>
      <c r="U45" s="19"/>
      <c r="V45" s="19"/>
      <c r="W45" s="19"/>
      <c r="X45" s="19"/>
      <c r="Y45" s="19"/>
    </row>
    <row r="46" spans="1:25" x14ac:dyDescent="0.25">
      <c r="A46" s="16"/>
      <c r="B46" s="51"/>
      <c r="C46" s="17"/>
      <c r="D46" s="17"/>
      <c r="E46" s="17"/>
      <c r="F46" s="17"/>
      <c r="G46" s="17"/>
      <c r="H46" s="17"/>
      <c r="I46" s="17"/>
      <c r="J46" s="17"/>
      <c r="K46" s="17"/>
      <c r="M46" s="20"/>
      <c r="N46" s="20"/>
      <c r="O46" s="20"/>
      <c r="P46" s="20"/>
      <c r="Q46" s="20"/>
      <c r="R46" s="20"/>
      <c r="S46" s="20"/>
      <c r="T46" s="20"/>
      <c r="U46" s="20"/>
      <c r="V46" s="20"/>
      <c r="W46" s="20"/>
      <c r="X46" s="20"/>
      <c r="Y46" s="20"/>
    </row>
    <row r="47" spans="1:25" ht="45" x14ac:dyDescent="0.25">
      <c r="A47" s="16">
        <v>7</v>
      </c>
      <c r="B47" s="54" t="s">
        <v>51</v>
      </c>
      <c r="C47" s="17"/>
      <c r="D47" s="55" t="s">
        <v>52</v>
      </c>
      <c r="E47" s="55" t="s">
        <v>53</v>
      </c>
      <c r="F47" s="55" t="s">
        <v>54</v>
      </c>
      <c r="G47" s="17"/>
      <c r="H47" s="17"/>
      <c r="I47" s="17"/>
      <c r="J47" s="18"/>
      <c r="K47" s="17"/>
    </row>
    <row r="48" spans="1:25" s="20" customFormat="1" ht="30" x14ac:dyDescent="0.25">
      <c r="A48" s="16"/>
      <c r="B48" s="56" t="s">
        <v>59</v>
      </c>
      <c r="C48" s="27">
        <f>C44</f>
        <v>1</v>
      </c>
      <c r="D48" s="9">
        <f>D44</f>
        <v>275</v>
      </c>
      <c r="E48" s="27">
        <v>0.80800000000000005</v>
      </c>
      <c r="F48" s="27">
        <f>C48*D48*E48</f>
        <v>222.20000000000002</v>
      </c>
      <c r="G48" s="9">
        <f>F48</f>
        <v>222.20000000000002</v>
      </c>
      <c r="H48" s="27"/>
      <c r="I48" s="27"/>
      <c r="J48" s="7"/>
      <c r="K48" s="27"/>
      <c r="M48" s="19"/>
      <c r="N48" s="19"/>
      <c r="O48" s="19"/>
      <c r="P48" s="19"/>
      <c r="Q48" s="19"/>
      <c r="R48" s="19"/>
      <c r="S48" s="19"/>
      <c r="T48" s="19"/>
      <c r="U48" s="19"/>
      <c r="V48" s="19"/>
      <c r="W48" s="19"/>
      <c r="X48" s="19"/>
      <c r="Y48" s="19"/>
    </row>
    <row r="49" spans="1:25" ht="15" customHeight="1" x14ac:dyDescent="0.25">
      <c r="A49" s="2"/>
      <c r="B49" s="34" t="s">
        <v>16</v>
      </c>
      <c r="C49" s="3"/>
      <c r="D49" s="4"/>
      <c r="E49" s="5"/>
      <c r="F49" s="5"/>
      <c r="G49" s="6">
        <f>SUM(G48:G48)</f>
        <v>222.20000000000002</v>
      </c>
      <c r="H49" s="7" t="s">
        <v>55</v>
      </c>
      <c r="I49" s="6">
        <v>287</v>
      </c>
      <c r="J49" s="18">
        <f>G49*I49</f>
        <v>63771.4</v>
      </c>
      <c r="K49" s="5"/>
    </row>
    <row r="50" spans="1:25" x14ac:dyDescent="0.25">
      <c r="A50" s="16"/>
      <c r="B50" s="32" t="s">
        <v>56</v>
      </c>
      <c r="C50" s="17"/>
      <c r="D50" s="17"/>
      <c r="E50" s="17"/>
      <c r="F50" s="17"/>
      <c r="G50" s="17"/>
      <c r="H50" s="17"/>
      <c r="I50" s="17"/>
      <c r="J50" s="18">
        <f>0.13*J49</f>
        <v>8290.2820000000011</v>
      </c>
      <c r="K50" s="17"/>
    </row>
    <row r="51" spans="1:25" x14ac:dyDescent="0.25">
      <c r="A51" s="16"/>
      <c r="B51" s="17"/>
      <c r="C51" s="17"/>
      <c r="D51" s="17"/>
      <c r="E51" s="17"/>
      <c r="F51" s="17"/>
      <c r="G51" s="17"/>
      <c r="H51" s="17"/>
      <c r="I51" s="17"/>
      <c r="J51" s="17"/>
      <c r="K51" s="17"/>
    </row>
    <row r="52" spans="1:25" ht="30" x14ac:dyDescent="0.25">
      <c r="A52" s="16">
        <v>8</v>
      </c>
      <c r="B52" s="51" t="s">
        <v>60</v>
      </c>
      <c r="C52" s="17"/>
      <c r="D52" s="17"/>
      <c r="E52" s="17"/>
      <c r="F52" s="17"/>
      <c r="G52" s="17"/>
      <c r="H52" s="17"/>
      <c r="I52" s="17"/>
      <c r="J52" s="17"/>
      <c r="K52" s="17"/>
    </row>
    <row r="53" spans="1:25" x14ac:dyDescent="0.25">
      <c r="A53" s="16"/>
      <c r="B53" s="32" t="s">
        <v>50</v>
      </c>
      <c r="C53" s="17">
        <v>1</v>
      </c>
      <c r="D53" s="33">
        <v>12</v>
      </c>
      <c r="E53" s="17"/>
      <c r="F53" s="17"/>
      <c r="G53" s="33">
        <f t="shared" ref="G53" si="2">PRODUCT(C53:F53)</f>
        <v>12</v>
      </c>
      <c r="H53" s="17"/>
      <c r="I53" s="17"/>
      <c r="J53" s="18"/>
      <c r="K53" s="17"/>
    </row>
    <row r="54" spans="1:25" s="58" customFormat="1" x14ac:dyDescent="0.25">
      <c r="A54" s="2"/>
      <c r="B54" s="52" t="s">
        <v>49</v>
      </c>
      <c r="C54" s="3"/>
      <c r="D54" s="4"/>
      <c r="E54" s="5"/>
      <c r="F54" s="5"/>
      <c r="G54" s="53">
        <f>SUM(G53:G53)</f>
        <v>12</v>
      </c>
      <c r="H54" s="7" t="s">
        <v>41</v>
      </c>
      <c r="I54" s="6">
        <v>777</v>
      </c>
      <c r="J54" s="53">
        <f>G54*I54</f>
        <v>9324</v>
      </c>
      <c r="K54" s="5"/>
    </row>
    <row r="55" spans="1:25" x14ac:dyDescent="0.25">
      <c r="A55" s="16"/>
      <c r="B55" s="32" t="s">
        <v>56</v>
      </c>
      <c r="C55" s="17"/>
      <c r="D55" s="17"/>
      <c r="E55" s="17"/>
      <c r="F55" s="17"/>
      <c r="G55" s="17"/>
      <c r="H55" s="17"/>
      <c r="I55" s="17"/>
      <c r="J55" s="18">
        <f>0.13*J54</f>
        <v>1212.1200000000001</v>
      </c>
      <c r="K55" s="17"/>
    </row>
    <row r="56" spans="1:25" x14ac:dyDescent="0.25">
      <c r="A56" s="16"/>
      <c r="B56" s="51"/>
      <c r="C56" s="17"/>
      <c r="D56" s="17"/>
      <c r="E56" s="17"/>
      <c r="F56" s="17"/>
      <c r="G56" s="17"/>
      <c r="H56" s="17"/>
      <c r="I56" s="17"/>
      <c r="J56" s="17"/>
      <c r="K56" s="17"/>
    </row>
    <row r="57" spans="1:25" s="20" customFormat="1" ht="30" x14ac:dyDescent="0.25">
      <c r="A57" s="2">
        <v>9</v>
      </c>
      <c r="B57" s="57" t="s">
        <v>57</v>
      </c>
      <c r="C57" s="3">
        <v>1</v>
      </c>
      <c r="D57" s="4"/>
      <c r="E57" s="5"/>
      <c r="F57" s="5"/>
      <c r="G57" s="53">
        <f t="shared" ref="G57" si="3">PRODUCT(C57:F57)</f>
        <v>1</v>
      </c>
      <c r="H57" s="7" t="s">
        <v>43</v>
      </c>
      <c r="I57" s="6">
        <v>5000</v>
      </c>
      <c r="J57" s="53">
        <f>G57*I57</f>
        <v>5000</v>
      </c>
      <c r="K57" s="5"/>
      <c r="M57" s="19"/>
      <c r="N57" s="19"/>
      <c r="O57" s="19"/>
      <c r="P57" s="19"/>
      <c r="Q57" s="19"/>
      <c r="R57" s="19"/>
      <c r="S57" s="19"/>
      <c r="T57" s="19"/>
      <c r="U57" s="19"/>
      <c r="V57" s="19"/>
      <c r="W57" s="19"/>
      <c r="X57" s="19"/>
      <c r="Y57" s="19"/>
    </row>
    <row r="58" spans="1:25" x14ac:dyDescent="0.25">
      <c r="A58" s="16"/>
      <c r="B58" s="51"/>
      <c r="C58" s="17"/>
      <c r="D58" s="17"/>
      <c r="E58" s="17"/>
      <c r="F58" s="17"/>
      <c r="G58" s="17"/>
      <c r="H58" s="17"/>
      <c r="I58" s="17"/>
      <c r="J58" s="17"/>
      <c r="K58" s="17"/>
    </row>
    <row r="59" spans="1:25" ht="15" customHeight="1" x14ac:dyDescent="0.25">
      <c r="A59" s="2">
        <v>10</v>
      </c>
      <c r="B59" s="1" t="s">
        <v>18</v>
      </c>
      <c r="C59" s="3">
        <v>1</v>
      </c>
      <c r="D59" s="4"/>
      <c r="E59" s="5"/>
      <c r="F59" s="5"/>
      <c r="G59" s="7">
        <f t="shared" ref="G59" si="4">PRODUCT(C59:F59)</f>
        <v>1</v>
      </c>
      <c r="H59" s="7" t="s">
        <v>19</v>
      </c>
      <c r="I59" s="6">
        <v>500</v>
      </c>
      <c r="J59" s="7">
        <f>G59*I59</f>
        <v>500</v>
      </c>
      <c r="K59" s="5"/>
    </row>
    <row r="60" spans="1:25" x14ac:dyDescent="0.25">
      <c r="A60" s="2"/>
      <c r="B60" s="8"/>
      <c r="C60" s="3"/>
      <c r="D60" s="4"/>
      <c r="E60" s="5"/>
      <c r="F60" s="5"/>
      <c r="G60" s="6"/>
      <c r="H60" s="7"/>
      <c r="I60" s="6"/>
      <c r="J60" s="18"/>
      <c r="K60" s="5"/>
    </row>
    <row r="61" spans="1:25" x14ac:dyDescent="0.25">
      <c r="A61" s="21"/>
      <c r="B61" s="22" t="s">
        <v>21</v>
      </c>
      <c r="C61" s="23"/>
      <c r="D61" s="24"/>
      <c r="E61" s="24"/>
      <c r="F61" s="24"/>
      <c r="G61" s="18"/>
      <c r="H61" s="18"/>
      <c r="I61" s="18"/>
      <c r="J61" s="18">
        <f>SUM(J10:J59)</f>
        <v>307448.31306538527</v>
      </c>
      <c r="K61" s="25"/>
    </row>
    <row r="62" spans="1:25" x14ac:dyDescent="0.25">
      <c r="M62" s="20"/>
      <c r="N62" s="20"/>
      <c r="O62" s="20"/>
      <c r="P62" s="20"/>
      <c r="Q62" s="20"/>
      <c r="R62" s="20"/>
      <c r="S62" s="20"/>
    </row>
    <row r="63" spans="1:25" s="20" customFormat="1" x14ac:dyDescent="0.25">
      <c r="A63" s="26"/>
      <c r="B63" s="27" t="s">
        <v>20</v>
      </c>
      <c r="C63" s="38">
        <f>J61</f>
        <v>307448.31306538527</v>
      </c>
      <c r="D63" s="39"/>
      <c r="E63" s="9">
        <v>100</v>
      </c>
      <c r="F63" s="26"/>
      <c r="G63" s="28"/>
      <c r="H63" s="26"/>
      <c r="I63" s="29"/>
      <c r="J63" s="30"/>
      <c r="K63" s="31"/>
      <c r="M63" s="19"/>
      <c r="N63" s="19"/>
      <c r="O63" s="19"/>
      <c r="P63" s="19"/>
      <c r="Q63" s="19"/>
      <c r="R63" s="19"/>
      <c r="S63" s="19"/>
    </row>
    <row r="64" spans="1:25" x14ac:dyDescent="0.25">
      <c r="B64" s="27" t="s">
        <v>23</v>
      </c>
      <c r="C64" s="42">
        <v>275000</v>
      </c>
      <c r="D64" s="43"/>
      <c r="E64" s="9"/>
    </row>
    <row r="65" spans="2:5" x14ac:dyDescent="0.25">
      <c r="B65" s="27" t="s">
        <v>24</v>
      </c>
      <c r="C65" s="42">
        <f>C64-C67-C68</f>
        <v>261250</v>
      </c>
      <c r="D65" s="43"/>
      <c r="E65" s="9">
        <f>C65/C63*100</f>
        <v>84.973632606804955</v>
      </c>
    </row>
    <row r="66" spans="2:5" x14ac:dyDescent="0.25">
      <c r="B66" s="27" t="s">
        <v>35</v>
      </c>
      <c r="C66" s="44">
        <f>C63-C65</f>
        <v>46198.313065385271</v>
      </c>
      <c r="D66" s="44"/>
      <c r="E66" s="9">
        <f>100-E65</f>
        <v>15.026367393195045</v>
      </c>
    </row>
    <row r="67" spans="2:5" x14ac:dyDescent="0.25">
      <c r="B67" s="27" t="s">
        <v>25</v>
      </c>
      <c r="C67" s="38">
        <f>C64*0.03</f>
        <v>8250</v>
      </c>
      <c r="D67" s="39"/>
      <c r="E67" s="9">
        <v>3</v>
      </c>
    </row>
    <row r="68" spans="2:5" x14ac:dyDescent="0.25">
      <c r="B68" s="27" t="s">
        <v>26</v>
      </c>
      <c r="C68" s="38">
        <f>C64*0.02</f>
        <v>5500</v>
      </c>
      <c r="D68" s="39"/>
      <c r="E68" s="9">
        <v>2</v>
      </c>
    </row>
  </sheetData>
  <mergeCells count="15">
    <mergeCell ref="A6:F6"/>
    <mergeCell ref="H6:K6"/>
    <mergeCell ref="A1:K1"/>
    <mergeCell ref="A2:K2"/>
    <mergeCell ref="A3:K3"/>
    <mergeCell ref="A4:K4"/>
    <mergeCell ref="A5:K5"/>
    <mergeCell ref="C67:D67"/>
    <mergeCell ref="C68:D68"/>
    <mergeCell ref="A7:F7"/>
    <mergeCell ref="H7:K7"/>
    <mergeCell ref="C63:D63"/>
    <mergeCell ref="C64:D64"/>
    <mergeCell ref="C65:D65"/>
    <mergeCell ref="C66:D66"/>
  </mergeCells>
  <pageMargins left="0.70866141732283505" right="0.70866141732283505" top="0.74803149606299202" bottom="0.74803149606299202" header="0.31496062992126" footer="0.31496062992126"/>
  <pageSetup paperSize="9" scale="80" orientation="portrait" verticalDpi="1200" r:id="rId1"/>
  <headerFooter>
    <oddFooter>&amp;LPrepared By:&amp;CChecked By:&amp;RApproved By:</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2</vt:i4>
      </vt:variant>
    </vt:vector>
  </HeadingPairs>
  <TitlesOfParts>
    <vt:vector size="3" baseType="lpstr">
      <vt:lpstr>estimate</vt:lpstr>
      <vt:lpstr>estimate!Print_Area</vt:lpstr>
      <vt:lpstr>estimate!Print_Titles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2026-04-21T04:23:43Z</dcterms:modified>
</cp:coreProperties>
</file>