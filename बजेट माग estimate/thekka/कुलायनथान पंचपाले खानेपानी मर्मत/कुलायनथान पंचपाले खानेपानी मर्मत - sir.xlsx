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defaultThemeVersion="124226"/>
  <xr:revisionPtr revIDLastSave="0" documentId="13_ncr:1_{36F76E21-05F6-48A6-858F-BE57A0BF1C5C}" xr6:coauthVersionLast="47" xr6:coauthVersionMax="47" xr10:uidLastSave="{00000000-0000-0000-0000-000000000000}"/>
  <bookViews>
    <workbookView xWindow="-120" yWindow="-120" windowWidth="20730" windowHeight="11040" xr2:uid="{00000000-000D-0000-FFFF-FFFF00000000}"/>
  </bookViews>
  <sheets>
    <sheet name="estimate"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estimate!$A$1:$K$66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4" i="13" l="1"/>
  <c r="I50" i="13"/>
  <c r="I41" i="13"/>
  <c r="I33" i="13"/>
  <c r="I26" i="13"/>
  <c r="I20" i="13"/>
  <c r="I16" i="13"/>
  <c r="I12" i="13"/>
  <c r="D36" i="13"/>
  <c r="D40" i="13" s="1"/>
  <c r="G20" i="14"/>
  <c r="F20" i="14"/>
  <c r="E20" i="14"/>
  <c r="C20" i="14"/>
  <c r="B20" i="14"/>
  <c r="C57" i="13"/>
  <c r="D53" i="13"/>
  <c r="D57" i="13" s="1"/>
  <c r="F57" i="13" s="1"/>
  <c r="G57" i="13" s="1"/>
  <c r="G53" i="13"/>
  <c r="G54" i="13" s="1"/>
  <c r="G49" i="13"/>
  <c r="C15" i="13"/>
  <c r="J54" i="13" l="1"/>
  <c r="G58" i="13" l="1"/>
  <c r="G50" i="13"/>
  <c r="C19" i="13"/>
  <c r="J50" i="13" l="1"/>
  <c r="J58" i="13"/>
  <c r="G19" i="13"/>
  <c r="G20" i="13" s="1"/>
  <c r="G11" i="13"/>
  <c r="G12" i="13" s="1"/>
  <c r="G62" i="13" l="1"/>
  <c r="J62" i="13" s="1"/>
  <c r="G60" i="13"/>
  <c r="J60" i="13" s="1"/>
  <c r="C44" i="13"/>
  <c r="C40" i="13"/>
  <c r="C31" i="13"/>
  <c r="C38" i="13" s="1"/>
  <c r="C30" i="13"/>
  <c r="C37" i="13" s="1"/>
  <c r="B30" i="13"/>
  <c r="B37" i="13" s="1"/>
  <c r="C29" i="13"/>
  <c r="B29" i="13"/>
  <c r="B36" i="13" s="1"/>
  <c r="D38" i="13"/>
  <c r="C25" i="13"/>
  <c r="B25" i="13"/>
  <c r="B31" i="13" s="1"/>
  <c r="B38" i="13" s="1"/>
  <c r="C24" i="13"/>
  <c r="C23" i="13"/>
  <c r="F37" i="13"/>
  <c r="J12" i="13"/>
  <c r="G44" i="13" l="1"/>
  <c r="G45" i="13" s="1"/>
  <c r="J45" i="13" s="1"/>
  <c r="F36" i="13"/>
  <c r="G24" i="13"/>
  <c r="F39" i="13"/>
  <c r="G40" i="13"/>
  <c r="G30" i="13"/>
  <c r="D37" i="13"/>
  <c r="G37" i="13" s="1"/>
  <c r="F38" i="13"/>
  <c r="G38" i="13" s="1"/>
  <c r="C32" i="13"/>
  <c r="D39" i="13"/>
  <c r="C36" i="13"/>
  <c r="G25" i="13" l="1"/>
  <c r="G31" i="13"/>
  <c r="G32" i="13"/>
  <c r="C39" i="13"/>
  <c r="G39" i="13" s="1"/>
  <c r="G15" i="13"/>
  <c r="G16" i="13" s="1"/>
  <c r="J16" i="13" l="1"/>
  <c r="J20" i="13" l="1"/>
  <c r="G23" i="13"/>
  <c r="G26" i="13" s="1"/>
  <c r="J26" i="13" l="1"/>
  <c r="G36" i="13"/>
  <c r="G41" i="13" s="1"/>
  <c r="G29" i="13"/>
  <c r="G33" i="13" s="1"/>
  <c r="J33" i="13" l="1"/>
  <c r="J41" i="13"/>
  <c r="J64" i="13" l="1"/>
  <c r="C66" i="13" s="1"/>
</calcChain>
</file>

<file path=xl/sharedStrings.xml><?xml version="1.0" encoding="utf-8"?>
<sst xmlns="http://schemas.openxmlformats.org/spreadsheetml/2006/main" count="80" uniqueCount="63">
  <si>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</si>
  <si>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</si>
  <si>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</si>
  <si>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</si>
  <si>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</si>
  <si>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</si>
  <si>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</si>
  <si>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</si>
  <si>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</si>
  <si>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</si>
  <si>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</si>
  <si>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</si>
  <si>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</si>
  <si>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</si>
  <si>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</si>
  <si>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</si>
  <si>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</si>
  <si>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</si>
  <si>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</si>
  <si>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</si>
  <si>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</si>
  <si>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F.Y.: 2082/2083</t>
  </si>
  <si>
    <t>Length (m)</t>
  </si>
  <si>
    <t>sub-total</t>
  </si>
  <si>
    <t>cum</t>
  </si>
  <si>
    <t>-High Density Polythene Pipe NS 40 pipe material PE 100, PN 16</t>
  </si>
  <si>
    <t>Weight (Kg/m)</t>
  </si>
  <si>
    <t>Total weight (Kg)</t>
  </si>
  <si>
    <t>kg</t>
  </si>
  <si>
    <t>Location:- Shankharapur Municipality 1</t>
  </si>
  <si>
    <t>-for pipe laying</t>
  </si>
  <si>
    <t>rm</t>
  </si>
  <si>
    <t>Provisional sum for other unforseen works</t>
  </si>
  <si>
    <t>PS</t>
  </si>
  <si>
    <t>A</t>
  </si>
  <si>
    <t>Pipe works</t>
  </si>
  <si>
    <t>B</t>
  </si>
  <si>
    <t>-for stand taps</t>
  </si>
  <si>
    <t>Plain cement concrete (1:2:4)</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</si>
  <si>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</si>
  <si>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</si>
  <si>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</si>
  <si>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</si>
  <si>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</si>
  <si>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</si>
  <si>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</si>
  <si>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</si>
  <si>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</si>
  <si>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</si>
  <si>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</si>
  <si>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</si>
  <si>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thickness</t>
  </si>
  <si>
    <t>Date:2082</t>
  </si>
  <si>
    <t>For tap works</t>
  </si>
  <si>
    <t>Flat brick  soling</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</si>
  <si>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</si>
  <si>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</si>
  <si>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</si>
  <si>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</si>
  <si>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</si>
  <si>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t>Laying and joining of 32 mmØ HDPE pipe with butt-weld joints</t>
  </si>
  <si>
    <t>-for 32mm pipe laying from source to tank</t>
  </si>
  <si>
    <r>
      <t>Project:-</t>
    </r>
    <r>
      <rPr>
        <sz val="12"/>
        <rFont val="Preeti"/>
      </rPr>
      <t xml:space="preserve"> </t>
    </r>
    <r>
      <rPr>
        <sz val="14"/>
        <rFont val="Preeti"/>
      </rPr>
      <t>s'nfogyfg k+rkfn] vfg]kfgL dd{t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</si>
</sst>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57">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6"/>
  <sheetViews>
    <sheetView tabSelected="1" topLeftCell="A3" zoomScaleNormal="100" workbookViewId="0">
      <selection activeCell="G10" sqref="G10"/>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9" t="s">
        <v>0</v>
      </c>
      <c r="B1" s="49"/>
      <c r="C1" s="49"/>
      <c r="D1" s="49"/>
      <c r="E1" s="49"/>
      <c r="F1" s="49"/>
      <c r="G1" s="49"/>
      <c r="H1" s="49"/>
      <c r="I1" s="49"/>
      <c r="J1" s="49"/>
      <c r="K1" s="49"/>
    </row>
    <row r="2" spans="1:25" ht="22.5" x14ac:dyDescent="0.25">
      <c r="A2" s="50" t="s">
        <v>1</v>
      </c>
      <c r="B2" s="50"/>
      <c r="C2" s="50"/>
      <c r="D2" s="50"/>
      <c r="E2" s="50"/>
      <c r="F2" s="50"/>
      <c r="G2" s="50"/>
      <c r="H2" s="50"/>
      <c r="I2" s="50"/>
      <c r="J2" s="50"/>
      <c r="K2" s="50"/>
    </row>
    <row r="3" spans="1:25" x14ac:dyDescent="0.25">
      <c r="A3" s="51" t="s">
        <v>2</v>
      </c>
      <c r="B3" s="51"/>
      <c r="C3" s="51"/>
      <c r="D3" s="51"/>
      <c r="E3" s="51"/>
      <c r="F3" s="51"/>
      <c r="G3" s="51"/>
      <c r="H3" s="51"/>
      <c r="I3" s="51"/>
      <c r="J3" s="51"/>
      <c r="K3" s="51"/>
    </row>
    <row r="4" spans="1:25" x14ac:dyDescent="0.25">
      <c r="A4" s="51" t="s">
        <v>3</v>
      </c>
      <c r="B4" s="51"/>
      <c r="C4" s="51"/>
      <c r="D4" s="51"/>
      <c r="E4" s="51"/>
      <c r="F4" s="51"/>
      <c r="G4" s="51"/>
      <c r="H4" s="51"/>
      <c r="I4" s="51"/>
      <c r="J4" s="51"/>
      <c r="K4" s="51"/>
    </row>
    <row r="5" spans="1:25" ht="18.75" x14ac:dyDescent="0.3">
      <c r="A5" s="52" t="s">
        <v>4</v>
      </c>
      <c r="B5" s="52"/>
      <c r="C5" s="52"/>
      <c r="D5" s="52"/>
      <c r="E5" s="52"/>
      <c r="F5" s="52"/>
      <c r="G5" s="52"/>
      <c r="H5" s="52"/>
      <c r="I5" s="52"/>
      <c r="J5" s="52"/>
      <c r="K5" s="52"/>
    </row>
    <row r="6" spans="1:25" ht="18" x14ac:dyDescent="0.25">
      <c r="A6" s="53" t="s">
        <v>62</v>
      </c>
      <c r="B6" s="53"/>
      <c r="C6" s="53"/>
      <c r="D6" s="53"/>
      <c r="E6" s="53"/>
      <c r="F6" s="53"/>
      <c r="G6" s="3"/>
      <c r="H6" s="54" t="s">
        <v>21</v>
      </c>
      <c r="I6" s="54"/>
      <c r="J6" s="54"/>
      <c r="K6" s="54"/>
    </row>
    <row r="7" spans="1:25" ht="15.75" x14ac:dyDescent="0.25">
      <c r="A7" s="47" t="s">
        <v>29</v>
      </c>
      <c r="B7" s="47"/>
      <c r="C7" s="47"/>
      <c r="D7" s="47"/>
      <c r="E7" s="47"/>
      <c r="F7" s="47"/>
      <c r="G7" s="4"/>
      <c r="H7" s="48" t="s">
        <v>52</v>
      </c>
      <c r="I7" s="48"/>
      <c r="J7" s="48"/>
      <c r="K7" s="48"/>
    </row>
    <row r="8" spans="1:25" ht="15.75" x14ac:dyDescent="0.25">
      <c r="A8" s="5" t="s">
        <v>5</v>
      </c>
      <c r="B8" s="6" t="s">
        <v>6</v>
      </c>
      <c r="C8" s="5" t="s">
        <v>7</v>
      </c>
      <c r="D8" s="7" t="s">
        <v>8</v>
      </c>
      <c r="E8" s="7" t="s">
        <v>9</v>
      </c>
      <c r="F8" s="7" t="s">
        <v>10</v>
      </c>
      <c r="G8" s="7" t="s">
        <v>11</v>
      </c>
      <c r="H8" s="5" t="s">
        <v>12</v>
      </c>
      <c r="I8" s="7" t="s">
        <v>13</v>
      </c>
      <c r="J8" s="7" t="s">
        <v>14</v>
      </c>
      <c r="K8" s="8" t="s">
        <v>15</v>
      </c>
      <c r="S8" s="10"/>
      <c r="T8" s="10"/>
      <c r="U8" s="10"/>
      <c r="V8" s="10"/>
      <c r="W8" s="10"/>
      <c r="X8" s="10"/>
      <c r="Y8" s="10"/>
    </row>
    <row r="9" spans="1:25" ht="15.75" x14ac:dyDescent="0.25">
      <c r="A9" s="5" t="s">
        <v>34</v>
      </c>
      <c r="B9" s="6" t="s">
        <v>53</v>
      </c>
      <c r="C9" s="5"/>
      <c r="D9" s="7"/>
      <c r="E9" s="7"/>
      <c r="F9" s="7"/>
      <c r="G9" s="7"/>
      <c r="H9" s="5"/>
      <c r="I9" s="7"/>
      <c r="J9" s="7"/>
      <c r="K9" s="8"/>
    </row>
    <row r="10" spans="1:25" s="10" customFormat="1" ht="30.75" x14ac:dyDescent="0.25">
      <c r="A10" s="23">
        <v>1</v>
      </c>
      <c r="B10" s="22" t="s">
        <v>57</v>
      </c>
      <c r="C10" s="23"/>
      <c r="D10" s="24"/>
      <c r="E10" s="24"/>
      <c r="F10" s="24"/>
      <c r="G10" s="24"/>
      <c r="H10" s="23"/>
      <c r="I10" s="24"/>
      <c r="J10" s="24"/>
      <c r="K10" s="25"/>
      <c r="S10" s="9"/>
      <c r="T10" s="9"/>
      <c r="U10" s="9"/>
      <c r="V10" s="9"/>
      <c r="W10" s="9"/>
      <c r="X10" s="9"/>
      <c r="Y10" s="9"/>
    </row>
    <row r="11" spans="1:25" x14ac:dyDescent="0.25">
      <c r="A11" s="18"/>
      <c r="B11" s="19" t="s">
        <v>37</v>
      </c>
      <c r="C11" s="20">
        <v>1</v>
      </c>
      <c r="D11" s="21">
        <v>1.83</v>
      </c>
      <c r="E11" s="21">
        <v>1.83</v>
      </c>
      <c r="F11" s="20">
        <v>0.15</v>
      </c>
      <c r="G11" s="21">
        <f>PRODUCT(C11:F11)</f>
        <v>0.50233500000000009</v>
      </c>
      <c r="H11" s="20"/>
      <c r="I11" s="20"/>
      <c r="J11" s="20"/>
      <c r="K11" s="20"/>
    </row>
    <row r="12" spans="1:25" ht="15" customHeight="1" x14ac:dyDescent="0.25">
      <c r="A12" s="12"/>
      <c r="B12" s="13" t="s">
        <v>16</v>
      </c>
      <c r="C12" s="14"/>
      <c r="D12" s="1"/>
      <c r="E12" s="15"/>
      <c r="F12" s="15"/>
      <c r="G12" s="2">
        <f>SUM(G11:G11)</f>
        <v>0.50233500000000009</v>
      </c>
      <c r="H12" s="16" t="s">
        <v>24</v>
      </c>
      <c r="I12" s="2">
        <f>1.15*963.05</f>
        <v>1107.5074999999999</v>
      </c>
      <c r="J12" s="17">
        <f>G12*I12</f>
        <v>556.33978001250011</v>
      </c>
      <c r="K12" s="15"/>
    </row>
    <row r="13" spans="1:25" ht="15.75" x14ac:dyDescent="0.25">
      <c r="A13" s="5"/>
      <c r="B13" s="6"/>
      <c r="C13" s="5"/>
      <c r="D13" s="7"/>
      <c r="E13" s="7"/>
      <c r="F13" s="7"/>
      <c r="G13" s="7"/>
      <c r="H13" s="5"/>
      <c r="I13" s="7"/>
      <c r="J13" s="7"/>
      <c r="K13" s="8"/>
    </row>
    <row r="14" spans="1:25" x14ac:dyDescent="0.25">
      <c r="A14" s="18">
        <v>2</v>
      </c>
      <c r="B14" s="20" t="s">
        <v>54</v>
      </c>
      <c r="C14" s="20"/>
      <c r="D14" s="20"/>
      <c r="E14" s="20"/>
      <c r="F14" s="20"/>
      <c r="G14" s="20"/>
      <c r="H14" s="20"/>
      <c r="I14" s="20"/>
      <c r="J14" s="20"/>
      <c r="K14" s="20"/>
    </row>
    <row r="15" spans="1:25" x14ac:dyDescent="0.25">
      <c r="A15" s="18"/>
      <c r="B15" s="19" t="s">
        <v>37</v>
      </c>
      <c r="C15" s="20">
        <f>C11</f>
        <v>1</v>
      </c>
      <c r="D15" s="21">
        <v>1.83</v>
      </c>
      <c r="E15" s="21">
        <v>1.83</v>
      </c>
      <c r="F15" s="20"/>
      <c r="G15" s="21">
        <f>PRODUCT(C15:F15)</f>
        <v>3.3489000000000004</v>
      </c>
      <c r="H15" s="20"/>
      <c r="I15" s="20"/>
      <c r="J15" s="20"/>
      <c r="K15" s="20"/>
    </row>
    <row r="16" spans="1:25" ht="13.9" customHeight="1" x14ac:dyDescent="0.25">
      <c r="A16" s="12"/>
      <c r="B16" s="13" t="s">
        <v>16</v>
      </c>
      <c r="C16" s="14"/>
      <c r="D16" s="1"/>
      <c r="E16" s="15"/>
      <c r="F16" s="15"/>
      <c r="G16" s="2">
        <f>SUM(G15:G15)</f>
        <v>3.3489000000000004</v>
      </c>
      <c r="H16" s="16" t="s">
        <v>39</v>
      </c>
      <c r="I16" s="2">
        <f>1.15*1014.15</f>
        <v>1166.2724999999998</v>
      </c>
      <c r="J16" s="17">
        <f>G16*I16</f>
        <v>3905.7299752499998</v>
      </c>
      <c r="K16" s="15"/>
    </row>
    <row r="17" spans="1:11" x14ac:dyDescent="0.25">
      <c r="A17" s="18"/>
      <c r="B17" s="20"/>
      <c r="C17" s="20"/>
      <c r="D17" s="20"/>
      <c r="E17" s="20"/>
      <c r="F17" s="20"/>
      <c r="G17" s="20"/>
      <c r="H17" s="20"/>
      <c r="I17" s="20"/>
      <c r="J17" s="20"/>
      <c r="K17" s="20"/>
    </row>
    <row r="18" spans="1:11" x14ac:dyDescent="0.25">
      <c r="A18" s="18">
        <v>3</v>
      </c>
      <c r="B18" s="20" t="s">
        <v>38</v>
      </c>
      <c r="C18" s="20"/>
      <c r="D18" s="20"/>
      <c r="E18" s="20"/>
      <c r="F18" s="20"/>
      <c r="G18" s="20"/>
      <c r="H18" s="20"/>
      <c r="I18" s="20"/>
      <c r="J18" s="20"/>
      <c r="K18" s="20"/>
    </row>
    <row r="19" spans="1:11" x14ac:dyDescent="0.25">
      <c r="A19" s="18"/>
      <c r="B19" s="19" t="s">
        <v>42</v>
      </c>
      <c r="C19" s="20">
        <f>C15</f>
        <v>1</v>
      </c>
      <c r="D19" s="21">
        <v>1.83</v>
      </c>
      <c r="E19" s="21">
        <v>1.83</v>
      </c>
      <c r="F19" s="21">
        <v>0.1</v>
      </c>
      <c r="G19" s="21">
        <f>PRODUCT(C19:F19)</f>
        <v>0.33489000000000008</v>
      </c>
      <c r="H19" s="20"/>
      <c r="I19" s="20"/>
      <c r="J19" s="20"/>
      <c r="K19" s="20"/>
    </row>
    <row r="20" spans="1:11" ht="15" customHeight="1" x14ac:dyDescent="0.25">
      <c r="A20" s="12"/>
      <c r="B20" s="13" t="s">
        <v>16</v>
      </c>
      <c r="C20" s="14"/>
      <c r="D20" s="1"/>
      <c r="E20" s="15"/>
      <c r="F20" s="15"/>
      <c r="G20" s="2">
        <f>SUM(G19:G19)</f>
        <v>0.33489000000000008</v>
      </c>
      <c r="H20" s="16" t="s">
        <v>24</v>
      </c>
      <c r="I20" s="2">
        <f>1.15*13343.7</f>
        <v>15345.254999999999</v>
      </c>
      <c r="J20" s="17">
        <f>G20*I20</f>
        <v>5138.9724469500006</v>
      </c>
      <c r="K20" s="15"/>
    </row>
    <row r="21" spans="1:11" x14ac:dyDescent="0.25">
      <c r="A21" s="18"/>
      <c r="B21" s="20"/>
      <c r="C21" s="20"/>
      <c r="D21" s="20"/>
      <c r="E21" s="20"/>
      <c r="F21" s="20"/>
      <c r="G21" s="20"/>
      <c r="H21" s="20"/>
      <c r="I21" s="20"/>
      <c r="J21" s="20"/>
      <c r="K21" s="20"/>
    </row>
    <row r="22" spans="1:11" ht="30" x14ac:dyDescent="0.25">
      <c r="A22" s="18">
        <v>4</v>
      </c>
      <c r="B22" s="26" t="s">
        <v>55</v>
      </c>
      <c r="C22" s="20"/>
      <c r="D22" s="20"/>
      <c r="E22" s="20"/>
      <c r="F22" s="20"/>
      <c r="G22" s="20"/>
      <c r="H22" s="20"/>
      <c r="I22" s="20"/>
      <c r="J22" s="20"/>
      <c r="K22" s="20"/>
    </row>
    <row r="23" spans="1:11" x14ac:dyDescent="0.25">
      <c r="A23" s="18"/>
      <c r="B23" s="19" t="s">
        <v>40</v>
      </c>
      <c r="C23" s="20">
        <f>C15*2</f>
        <v>2</v>
      </c>
      <c r="D23" s="21">
        <v>1.37</v>
      </c>
      <c r="E23" s="21">
        <v>0.23</v>
      </c>
      <c r="F23" s="21">
        <v>0.6</v>
      </c>
      <c r="G23" s="21">
        <f>PRODUCT(C23:F23)</f>
        <v>0.37812000000000007</v>
      </c>
      <c r="H23" s="20"/>
      <c r="I23" s="20"/>
      <c r="J23" s="20"/>
      <c r="K23" s="20"/>
    </row>
    <row r="24" spans="1:11" x14ac:dyDescent="0.25">
      <c r="A24" s="18"/>
      <c r="B24" s="19" t="s">
        <v>41</v>
      </c>
      <c r="C24" s="20">
        <f>C15</f>
        <v>1</v>
      </c>
      <c r="D24" s="21">
        <v>1.47</v>
      </c>
      <c r="E24" s="21">
        <v>0.23</v>
      </c>
      <c r="F24" s="21">
        <v>0.6</v>
      </c>
      <c r="G24" s="21">
        <f>PRODUCT(C24:F24)</f>
        <v>0.20286000000000001</v>
      </c>
      <c r="H24" s="20"/>
      <c r="I24" s="20"/>
      <c r="J24" s="20"/>
      <c r="K24" s="20"/>
    </row>
    <row r="25" spans="1:11" x14ac:dyDescent="0.25">
      <c r="A25" s="18"/>
      <c r="B25" s="19" t="str">
        <f>B19</f>
        <v>-for stand tap</v>
      </c>
      <c r="C25" s="20">
        <f>C15</f>
        <v>1</v>
      </c>
      <c r="D25" s="21">
        <v>0.35</v>
      </c>
      <c r="E25" s="21">
        <v>0.23</v>
      </c>
      <c r="F25" s="21">
        <v>1.3</v>
      </c>
      <c r="G25" s="21">
        <f>PRODUCT(C25:F25)</f>
        <v>0.10465000000000001</v>
      </c>
      <c r="H25" s="20"/>
      <c r="I25" s="20"/>
      <c r="J25" s="20"/>
      <c r="K25" s="20"/>
    </row>
    <row r="26" spans="1:11" ht="15" customHeight="1" x14ac:dyDescent="0.25">
      <c r="A26" s="12"/>
      <c r="B26" s="13" t="s">
        <v>16</v>
      </c>
      <c r="C26" s="14"/>
      <c r="D26" s="1"/>
      <c r="E26" s="15"/>
      <c r="F26" s="15"/>
      <c r="G26" s="2">
        <f>SUM(G23:G25)</f>
        <v>0.68563000000000007</v>
      </c>
      <c r="H26" s="16" t="s">
        <v>24</v>
      </c>
      <c r="I26" s="2">
        <f>1.15*12225.55</f>
        <v>14059.382499999998</v>
      </c>
      <c r="J26" s="17">
        <f>G26*I26</f>
        <v>9639.5344234749991</v>
      </c>
      <c r="K26" s="15"/>
    </row>
    <row r="27" spans="1:11" x14ac:dyDescent="0.25">
      <c r="A27" s="18"/>
      <c r="B27" s="20"/>
      <c r="C27" s="20"/>
      <c r="D27" s="20"/>
      <c r="E27" s="20"/>
      <c r="F27" s="20"/>
      <c r="G27" s="20"/>
      <c r="H27" s="20"/>
      <c r="I27" s="20"/>
      <c r="J27" s="20"/>
      <c r="K27" s="20"/>
    </row>
    <row r="28" spans="1:11" x14ac:dyDescent="0.25">
      <c r="A28" s="18">
        <v>5</v>
      </c>
      <c r="B28" s="26" t="s">
        <v>47</v>
      </c>
      <c r="C28" s="20"/>
      <c r="D28" s="20"/>
      <c r="E28" s="20"/>
      <c r="F28" s="20"/>
      <c r="G28" s="20"/>
      <c r="H28" s="20"/>
      <c r="I28" s="20"/>
      <c r="J28" s="20"/>
      <c r="K28" s="20"/>
    </row>
    <row r="29" spans="1:11" x14ac:dyDescent="0.25">
      <c r="A29" s="18"/>
      <c r="B29" s="19" t="str">
        <f>B23</f>
        <v>-for wing walls of stand tap</v>
      </c>
      <c r="C29" s="20">
        <f>C15*4</f>
        <v>4</v>
      </c>
      <c r="D29" s="21">
        <v>1.37</v>
      </c>
      <c r="E29" s="21"/>
      <c r="F29" s="21">
        <v>0.6</v>
      </c>
      <c r="G29" s="21">
        <f>PRODUCT(C29:F29)</f>
        <v>3.2880000000000003</v>
      </c>
      <c r="H29" s="20"/>
      <c r="I29" s="20"/>
      <c r="J29" s="20"/>
      <c r="K29" s="20"/>
    </row>
    <row r="30" spans="1:11" x14ac:dyDescent="0.25">
      <c r="A30" s="18"/>
      <c r="B30" s="19" t="str">
        <f>B24</f>
        <v>-for side wall of stand tap</v>
      </c>
      <c r="C30" s="20">
        <f>C15</f>
        <v>1</v>
      </c>
      <c r="D30" s="21">
        <v>1.47</v>
      </c>
      <c r="E30" s="21"/>
      <c r="F30" s="21">
        <v>0.6</v>
      </c>
      <c r="G30" s="21">
        <f>PRODUCT(C30:F30)</f>
        <v>0.88200000000000001</v>
      </c>
      <c r="H30" s="20"/>
      <c r="I30" s="20"/>
      <c r="J30" s="20"/>
      <c r="K30" s="20"/>
    </row>
    <row r="31" spans="1:11" x14ac:dyDescent="0.25">
      <c r="A31" s="18"/>
      <c r="B31" s="19" t="str">
        <f>B25</f>
        <v>-for stand tap</v>
      </c>
      <c r="C31" s="20">
        <f>C15</f>
        <v>1</v>
      </c>
      <c r="D31" s="21">
        <v>0.35</v>
      </c>
      <c r="E31" s="21"/>
      <c r="F31" s="21">
        <v>1.3</v>
      </c>
      <c r="G31" s="21">
        <f>PRODUCT(C31:F31)</f>
        <v>0.45499999999999996</v>
      </c>
      <c r="H31" s="20"/>
      <c r="I31" s="20"/>
      <c r="J31" s="20"/>
      <c r="K31" s="20"/>
    </row>
    <row r="32" spans="1:11" x14ac:dyDescent="0.25">
      <c r="A32" s="18"/>
      <c r="B32" s="19"/>
      <c r="C32" s="20">
        <f>C31</f>
        <v>1</v>
      </c>
      <c r="D32" s="21">
        <v>0.46</v>
      </c>
      <c r="E32" s="21"/>
      <c r="F32" s="21">
        <v>0.70000000000000007</v>
      </c>
      <c r="G32" s="21">
        <f>PRODUCT(C32:F32)</f>
        <v>0.32200000000000006</v>
      </c>
      <c r="H32" s="20"/>
      <c r="I32" s="20"/>
      <c r="J32" s="20"/>
      <c r="K32" s="20"/>
    </row>
    <row r="33" spans="1:25" ht="15" customHeight="1" x14ac:dyDescent="0.25">
      <c r="A33" s="12"/>
      <c r="B33" s="13" t="s">
        <v>16</v>
      </c>
      <c r="C33" s="14"/>
      <c r="D33" s="1"/>
      <c r="E33" s="15"/>
      <c r="F33" s="15"/>
      <c r="G33" s="2">
        <f>SUM(G29:G32)</f>
        <v>4.9470000000000001</v>
      </c>
      <c r="H33" s="16" t="s">
        <v>39</v>
      </c>
      <c r="I33" s="2">
        <f>1.15*49954.32/100</f>
        <v>574.47467999999992</v>
      </c>
      <c r="J33" s="17">
        <f>G33*I33</f>
        <v>2841.9262419599995</v>
      </c>
      <c r="K33" s="15"/>
    </row>
    <row r="34" spans="1:25" x14ac:dyDescent="0.25">
      <c r="A34" s="18"/>
      <c r="B34" s="20"/>
      <c r="C34" s="20"/>
      <c r="D34" s="20"/>
      <c r="E34" s="20"/>
      <c r="F34" s="20"/>
      <c r="G34" s="20"/>
      <c r="H34" s="20"/>
      <c r="I34" s="20"/>
      <c r="J34" s="20"/>
      <c r="K34" s="20"/>
    </row>
    <row r="35" spans="1:25" x14ac:dyDescent="0.25">
      <c r="A35" s="18">
        <v>6</v>
      </c>
      <c r="B35" s="26" t="s">
        <v>48</v>
      </c>
      <c r="C35" s="20"/>
      <c r="D35" s="20"/>
      <c r="E35" s="20"/>
      <c r="F35" s="20"/>
      <c r="G35" s="20"/>
      <c r="H35" s="20"/>
      <c r="I35" s="20"/>
      <c r="J35" s="20"/>
      <c r="K35" s="20"/>
    </row>
    <row r="36" spans="1:25" x14ac:dyDescent="0.25">
      <c r="A36" s="18"/>
      <c r="B36" s="19" t="str">
        <f t="shared" ref="B36:D38" si="0">B29</f>
        <v>-for wing walls of stand tap</v>
      </c>
      <c r="C36" s="20">
        <f t="shared" si="0"/>
        <v>4</v>
      </c>
      <c r="D36" s="21">
        <f t="shared" si="0"/>
        <v>1.37</v>
      </c>
      <c r="E36" s="21"/>
      <c r="F36" s="21">
        <f>F29</f>
        <v>0.6</v>
      </c>
      <c r="G36" s="21">
        <f>PRODUCT(C36:F36)</f>
        <v>3.2880000000000003</v>
      </c>
      <c r="H36" s="20"/>
      <c r="I36" s="20"/>
      <c r="J36" s="20"/>
      <c r="K36" s="20"/>
    </row>
    <row r="37" spans="1:25" x14ac:dyDescent="0.25">
      <c r="A37" s="18"/>
      <c r="B37" s="19" t="str">
        <f t="shared" si="0"/>
        <v>-for side wall of stand tap</v>
      </c>
      <c r="C37" s="20">
        <f t="shared" si="0"/>
        <v>1</v>
      </c>
      <c r="D37" s="21">
        <f t="shared" si="0"/>
        <v>1.47</v>
      </c>
      <c r="E37" s="21"/>
      <c r="F37" s="21">
        <f>F30</f>
        <v>0.6</v>
      </c>
      <c r="G37" s="21">
        <f>PRODUCT(C37:F37)</f>
        <v>0.88200000000000001</v>
      </c>
      <c r="H37" s="20"/>
      <c r="I37" s="20"/>
      <c r="J37" s="20"/>
      <c r="K37" s="20"/>
    </row>
    <row r="38" spans="1:25" x14ac:dyDescent="0.25">
      <c r="A38" s="18"/>
      <c r="B38" s="19" t="str">
        <f t="shared" si="0"/>
        <v>-for stand tap</v>
      </c>
      <c r="C38" s="20">
        <f t="shared" si="0"/>
        <v>1</v>
      </c>
      <c r="D38" s="21">
        <f t="shared" si="0"/>
        <v>0.35</v>
      </c>
      <c r="E38" s="21"/>
      <c r="F38" s="21">
        <f>F31</f>
        <v>1.3</v>
      </c>
      <c r="G38" s="21">
        <f>PRODUCT(C38:F38)</f>
        <v>0.45499999999999996</v>
      </c>
      <c r="H38" s="20"/>
      <c r="I38" s="20"/>
      <c r="J38" s="20"/>
      <c r="K38" s="20"/>
    </row>
    <row r="39" spans="1:25" x14ac:dyDescent="0.25">
      <c r="A39" s="18"/>
      <c r="B39" s="19"/>
      <c r="C39" s="20">
        <f>C32</f>
        <v>1</v>
      </c>
      <c r="D39" s="21">
        <f>D32</f>
        <v>0.46</v>
      </c>
      <c r="E39" s="21"/>
      <c r="F39" s="21">
        <f>F32</f>
        <v>0.70000000000000007</v>
      </c>
      <c r="G39" s="21">
        <f>PRODUCT(C39:F39)</f>
        <v>0.32200000000000006</v>
      </c>
      <c r="H39" s="20"/>
      <c r="I39" s="20"/>
      <c r="J39" s="20"/>
      <c r="K39" s="20"/>
    </row>
    <row r="40" spans="1:25" x14ac:dyDescent="0.25">
      <c r="A40" s="18"/>
      <c r="B40" s="19" t="s">
        <v>49</v>
      </c>
      <c r="C40" s="20">
        <f>C15</f>
        <v>1</v>
      </c>
      <c r="D40" s="21">
        <f>D36</f>
        <v>1.37</v>
      </c>
      <c r="E40" s="21">
        <v>1.6</v>
      </c>
      <c r="F40" s="21"/>
      <c r="G40" s="21">
        <f>PRODUCT(C40:F40)</f>
        <v>2.1920000000000002</v>
      </c>
      <c r="H40" s="20"/>
      <c r="I40" s="20"/>
      <c r="J40" s="20"/>
      <c r="K40" s="20"/>
    </row>
    <row r="41" spans="1:25" ht="15" customHeight="1" x14ac:dyDescent="0.25">
      <c r="A41" s="12"/>
      <c r="B41" s="13" t="s">
        <v>16</v>
      </c>
      <c r="C41" s="14"/>
      <c r="D41" s="1"/>
      <c r="E41" s="15"/>
      <c r="F41" s="15"/>
      <c r="G41" s="2">
        <f>SUM(G36:G40)</f>
        <v>7.1390000000000002</v>
      </c>
      <c r="H41" s="16" t="s">
        <v>39</v>
      </c>
      <c r="I41" s="2">
        <f>1.15*28609.6/100</f>
        <v>329.01039999999995</v>
      </c>
      <c r="J41" s="17">
        <f>G41*I41</f>
        <v>2348.8052455999996</v>
      </c>
      <c r="K41" s="15"/>
    </row>
    <row r="42" spans="1:25" x14ac:dyDescent="0.25">
      <c r="A42" s="18"/>
      <c r="B42" s="20"/>
      <c r="C42" s="20"/>
      <c r="D42" s="20"/>
      <c r="E42" s="20"/>
      <c r="F42" s="20"/>
      <c r="G42" s="20"/>
      <c r="H42" s="20"/>
      <c r="I42" s="20"/>
      <c r="J42" s="20"/>
      <c r="K42" s="20"/>
    </row>
    <row r="43" spans="1:25" ht="30" x14ac:dyDescent="0.25">
      <c r="A43" s="18">
        <v>7</v>
      </c>
      <c r="B43" s="41" t="s">
        <v>50</v>
      </c>
      <c r="C43" s="20"/>
      <c r="D43" s="20"/>
      <c r="E43" s="20"/>
      <c r="F43" s="20"/>
      <c r="G43" s="20"/>
      <c r="H43" s="20"/>
      <c r="I43" s="20"/>
      <c r="J43" s="20"/>
      <c r="K43" s="20"/>
      <c r="S43" s="10"/>
      <c r="T43" s="10"/>
      <c r="U43" s="10"/>
      <c r="V43" s="10"/>
      <c r="W43" s="10"/>
      <c r="X43" s="10"/>
      <c r="Y43" s="10"/>
    </row>
    <row r="44" spans="1:25" x14ac:dyDescent="0.25">
      <c r="A44" s="18"/>
      <c r="B44" s="19" t="s">
        <v>30</v>
      </c>
      <c r="C44" s="20">
        <f>C15</f>
        <v>1</v>
      </c>
      <c r="D44" s="21">
        <v>1.3</v>
      </c>
      <c r="E44" s="20"/>
      <c r="F44" s="20"/>
      <c r="G44" s="21">
        <f>PRODUCT(C44:F44)</f>
        <v>1.3</v>
      </c>
      <c r="H44" s="20"/>
      <c r="I44" s="20"/>
      <c r="J44" s="17"/>
      <c r="K44" s="20"/>
    </row>
    <row r="45" spans="1:25" s="10" customFormat="1" x14ac:dyDescent="0.25">
      <c r="A45" s="12"/>
      <c r="B45" s="42" t="s">
        <v>23</v>
      </c>
      <c r="C45" s="14"/>
      <c r="D45" s="1"/>
      <c r="E45" s="15"/>
      <c r="F45" s="15"/>
      <c r="G45" s="43">
        <f>SUM(G44:G44)</f>
        <v>1.3</v>
      </c>
      <c r="H45" s="16" t="s">
        <v>31</v>
      </c>
      <c r="I45" s="2">
        <v>248</v>
      </c>
      <c r="J45" s="43">
        <f>G45*I45</f>
        <v>322.40000000000003</v>
      </c>
      <c r="K45" s="15"/>
      <c r="S45" s="9"/>
      <c r="T45" s="9"/>
      <c r="U45" s="9"/>
      <c r="V45" s="9"/>
      <c r="W45" s="9"/>
      <c r="X45" s="9"/>
      <c r="Y45" s="9"/>
    </row>
    <row r="46" spans="1:25" x14ac:dyDescent="0.25">
      <c r="A46" s="18"/>
      <c r="B46" s="41"/>
      <c r="C46" s="20"/>
      <c r="D46" s="20"/>
      <c r="E46" s="20"/>
      <c r="F46" s="20"/>
      <c r="G46" s="20"/>
      <c r="H46" s="20"/>
      <c r="I46" s="20"/>
      <c r="J46" s="20"/>
      <c r="K46" s="20"/>
    </row>
    <row r="47" spans="1:25" ht="15.75" x14ac:dyDescent="0.25">
      <c r="A47" s="5" t="s">
        <v>36</v>
      </c>
      <c r="B47" s="6" t="s">
        <v>35</v>
      </c>
      <c r="C47" s="5"/>
      <c r="D47" s="7"/>
      <c r="E47" s="7"/>
      <c r="F47" s="7"/>
      <c r="G47" s="7"/>
      <c r="H47" s="5"/>
      <c r="I47" s="7"/>
      <c r="J47" s="7"/>
      <c r="K47" s="8"/>
    </row>
    <row r="48" spans="1:25" ht="168" x14ac:dyDescent="0.25">
      <c r="A48" s="18">
        <v>8</v>
      </c>
      <c r="B48" s="41" t="s">
        <v>58</v>
      </c>
      <c r="C48" s="20"/>
      <c r="D48" s="20"/>
      <c r="E48" s="20"/>
      <c r="F48" s="20"/>
      <c r="G48" s="20"/>
      <c r="H48" s="20"/>
      <c r="I48" s="20"/>
      <c r="J48" s="17"/>
      <c r="K48" s="20"/>
      <c r="S48" s="10"/>
      <c r="T48" s="10"/>
      <c r="U48" s="10"/>
      <c r="V48" s="10"/>
      <c r="W48" s="10"/>
      <c r="X48" s="10"/>
      <c r="Y48" s="10"/>
    </row>
    <row r="49" spans="1:25" x14ac:dyDescent="0.25">
      <c r="A49" s="18"/>
      <c r="B49" s="19" t="s">
        <v>59</v>
      </c>
      <c r="C49" s="20">
        <v>1</v>
      </c>
      <c r="D49" s="21">
        <v>100</v>
      </c>
      <c r="E49" s="20">
        <v>0.15</v>
      </c>
      <c r="F49" s="20">
        <v>0.45</v>
      </c>
      <c r="G49" s="21">
        <f>PRODUCT(C49:F49)</f>
        <v>6.75</v>
      </c>
      <c r="H49" s="20"/>
      <c r="I49" s="20"/>
      <c r="J49" s="17"/>
      <c r="K49" s="20"/>
    </row>
    <row r="50" spans="1:25" s="10" customFormat="1" x14ac:dyDescent="0.25">
      <c r="A50" s="12"/>
      <c r="B50" s="42" t="s">
        <v>23</v>
      </c>
      <c r="C50" s="14"/>
      <c r="D50" s="1"/>
      <c r="E50" s="15"/>
      <c r="F50" s="15"/>
      <c r="G50" s="43">
        <f>SUM(G49:G49)</f>
        <v>6.75</v>
      </c>
      <c r="H50" s="16" t="s">
        <v>24</v>
      </c>
      <c r="I50" s="2">
        <f>1.15*748.9</f>
        <v>861.2349999999999</v>
      </c>
      <c r="J50" s="43">
        <f>G50*I50</f>
        <v>5813.3362499999994</v>
      </c>
      <c r="K50" s="15"/>
      <c r="S50" s="9"/>
      <c r="T50" s="9"/>
      <c r="U50" s="9"/>
      <c r="V50" s="9"/>
      <c r="W50" s="9"/>
      <c r="X50" s="9"/>
      <c r="Y50" s="9"/>
    </row>
    <row r="51" spans="1:25" x14ac:dyDescent="0.25">
      <c r="A51" s="18"/>
      <c r="B51" s="19"/>
      <c r="C51" s="20"/>
      <c r="D51" s="20"/>
      <c r="E51" s="20"/>
      <c r="F51" s="20"/>
      <c r="G51" s="20"/>
      <c r="H51" s="20"/>
      <c r="I51" s="20"/>
      <c r="J51" s="17"/>
      <c r="K51" s="20"/>
    </row>
    <row r="52" spans="1:25" ht="30" x14ac:dyDescent="0.25">
      <c r="A52" s="18">
        <v>9</v>
      </c>
      <c r="B52" s="41" t="s">
        <v>60</v>
      </c>
      <c r="C52" s="20"/>
      <c r="D52" s="20"/>
      <c r="E52" s="20"/>
      <c r="F52" s="20"/>
      <c r="G52" s="20"/>
      <c r="H52" s="20"/>
      <c r="I52" s="20"/>
      <c r="J52" s="20"/>
      <c r="K52" s="20"/>
      <c r="S52" s="10"/>
      <c r="T52" s="10"/>
      <c r="U52" s="10"/>
      <c r="V52" s="10"/>
      <c r="W52" s="10"/>
      <c r="X52" s="10"/>
      <c r="Y52" s="10"/>
    </row>
    <row r="53" spans="1:25" x14ac:dyDescent="0.25">
      <c r="A53" s="18"/>
      <c r="B53" s="19" t="s">
        <v>30</v>
      </c>
      <c r="C53" s="20">
        <v>1</v>
      </c>
      <c r="D53" s="21">
        <f>D49</f>
        <v>100</v>
      </c>
      <c r="E53" s="20"/>
      <c r="F53" s="20"/>
      <c r="G53" s="21">
        <f>PRODUCT(C53:F53)</f>
        <v>100</v>
      </c>
      <c r="H53" s="20"/>
      <c r="I53" s="20"/>
      <c r="J53" s="17"/>
      <c r="K53" s="20"/>
    </row>
    <row r="54" spans="1:25" s="10" customFormat="1" x14ac:dyDescent="0.25">
      <c r="A54" s="12"/>
      <c r="B54" s="42" t="s">
        <v>23</v>
      </c>
      <c r="C54" s="14"/>
      <c r="D54" s="1"/>
      <c r="E54" s="15"/>
      <c r="F54" s="15"/>
      <c r="G54" s="43">
        <f>SUM(G53:G53)</f>
        <v>100</v>
      </c>
      <c r="H54" s="16" t="s">
        <v>31</v>
      </c>
      <c r="I54" s="2">
        <f>1.15*5319.5/1000</f>
        <v>6.117424999999999</v>
      </c>
      <c r="J54" s="43">
        <f>G54*I54</f>
        <v>611.74249999999995</v>
      </c>
      <c r="K54" s="15"/>
      <c r="S54" s="9"/>
      <c r="T54" s="9"/>
      <c r="U54" s="9"/>
      <c r="V54" s="9"/>
      <c r="W54" s="9"/>
      <c r="X54" s="9"/>
      <c r="Y54" s="9"/>
    </row>
    <row r="55" spans="1:25" x14ac:dyDescent="0.25">
      <c r="A55" s="18"/>
      <c r="B55" s="41"/>
      <c r="C55" s="20"/>
      <c r="D55" s="20"/>
      <c r="E55" s="20"/>
      <c r="F55" s="20"/>
      <c r="G55" s="20"/>
      <c r="H55" s="20"/>
      <c r="I55" s="20"/>
      <c r="J55" s="20"/>
      <c r="K55" s="20"/>
      <c r="S55" s="10"/>
      <c r="T55" s="10"/>
      <c r="U55" s="10"/>
      <c r="V55" s="10"/>
      <c r="W55" s="10"/>
      <c r="X55" s="10"/>
      <c r="Y55" s="10"/>
    </row>
    <row r="56" spans="1:25" ht="45" x14ac:dyDescent="0.25">
      <c r="A56" s="18">
        <v>10</v>
      </c>
      <c r="B56" s="45" t="s">
        <v>25</v>
      </c>
      <c r="C56" s="20"/>
      <c r="D56" s="26" t="s">
        <v>22</v>
      </c>
      <c r="E56" s="26" t="s">
        <v>26</v>
      </c>
      <c r="F56" s="26" t="s">
        <v>27</v>
      </c>
      <c r="G56" s="20"/>
      <c r="H56" s="20"/>
      <c r="I56" s="20"/>
      <c r="J56" s="17"/>
      <c r="K56" s="20"/>
    </row>
    <row r="57" spans="1:25" s="10" customFormat="1" ht="30" x14ac:dyDescent="0.25">
      <c r="A57" s="18"/>
      <c r="B57" s="46" t="s">
        <v>61</v>
      </c>
      <c r="C57" s="27">
        <f>C53</f>
        <v>1</v>
      </c>
      <c r="D57" s="36">
        <f>D53</f>
        <v>100</v>
      </c>
      <c r="E57" s="27">
        <v>0.33800000000000002</v>
      </c>
      <c r="F57" s="27">
        <f>C57*D57*E57</f>
        <v>33.800000000000004</v>
      </c>
      <c r="G57" s="36">
        <f>F57</f>
        <v>33.800000000000004</v>
      </c>
      <c r="H57" s="27"/>
      <c r="I57" s="27"/>
      <c r="J57" s="16"/>
      <c r="K57" s="27"/>
      <c r="S57" s="9"/>
      <c r="T57" s="9"/>
      <c r="U57" s="9"/>
      <c r="V57" s="9"/>
      <c r="W57" s="9"/>
      <c r="X57" s="9"/>
      <c r="Y57" s="9"/>
    </row>
    <row r="58" spans="1:25" ht="15" customHeight="1" x14ac:dyDescent="0.25">
      <c r="A58" s="12"/>
      <c r="B58" s="13" t="s">
        <v>16</v>
      </c>
      <c r="C58" s="14"/>
      <c r="D58" s="1"/>
      <c r="E58" s="15"/>
      <c r="F58" s="15"/>
      <c r="G58" s="2">
        <f>SUM(G57:G57)</f>
        <v>33.800000000000004</v>
      </c>
      <c r="H58" s="16" t="s">
        <v>28</v>
      </c>
      <c r="I58" s="2">
        <v>287</v>
      </c>
      <c r="J58" s="17">
        <f>G58*I58</f>
        <v>9700.6</v>
      </c>
      <c r="K58" s="15"/>
    </row>
    <row r="59" spans="1:25" x14ac:dyDescent="0.25">
      <c r="A59" s="18"/>
      <c r="B59" s="20"/>
      <c r="C59" s="20"/>
      <c r="D59" s="20"/>
      <c r="E59" s="20"/>
      <c r="F59" s="20"/>
      <c r="G59" s="20"/>
      <c r="H59" s="20"/>
      <c r="I59" s="20"/>
      <c r="J59" s="20"/>
      <c r="K59" s="20"/>
    </row>
    <row r="60" spans="1:25" s="10" customFormat="1" ht="30" x14ac:dyDescent="0.25">
      <c r="A60" s="12">
        <v>11</v>
      </c>
      <c r="B60" s="44" t="s">
        <v>32</v>
      </c>
      <c r="C60" s="14">
        <v>1</v>
      </c>
      <c r="D60" s="1"/>
      <c r="E60" s="15"/>
      <c r="F60" s="15"/>
      <c r="G60" s="43">
        <f>PRODUCT(C60:F60)</f>
        <v>1</v>
      </c>
      <c r="H60" s="16" t="s">
        <v>33</v>
      </c>
      <c r="I60" s="2">
        <v>2000</v>
      </c>
      <c r="J60" s="43">
        <f>G60*I60</f>
        <v>2000</v>
      </c>
      <c r="K60" s="15"/>
      <c r="S60" s="9"/>
      <c r="T60" s="9"/>
      <c r="U60" s="9"/>
      <c r="V60" s="9"/>
      <c r="W60" s="9"/>
      <c r="X60" s="9"/>
      <c r="Y60" s="9"/>
    </row>
    <row r="61" spans="1:25" x14ac:dyDescent="0.25">
      <c r="A61" s="18"/>
      <c r="B61" s="41"/>
      <c r="C61" s="20"/>
      <c r="D61" s="20"/>
      <c r="E61" s="20"/>
      <c r="F61" s="20"/>
      <c r="G61" s="20"/>
      <c r="H61" s="20"/>
      <c r="I61" s="20"/>
      <c r="J61" s="20"/>
      <c r="K61" s="20"/>
    </row>
    <row r="62" spans="1:25" ht="15" customHeight="1" x14ac:dyDescent="0.25">
      <c r="A62" s="12">
        <v>12</v>
      </c>
      <c r="B62" s="28" t="s">
        <v>17</v>
      </c>
      <c r="C62" s="14">
        <v>1</v>
      </c>
      <c r="D62" s="1"/>
      <c r="E62" s="15"/>
      <c r="F62" s="15"/>
      <c r="G62" s="16">
        <f>PRODUCT(C62:F62)</f>
        <v>1</v>
      </c>
      <c r="H62" s="16" t="s">
        <v>18</v>
      </c>
      <c r="I62" s="2">
        <v>500</v>
      </c>
      <c r="J62" s="16">
        <f>G62*I62</f>
        <v>500</v>
      </c>
      <c r="K62" s="15"/>
    </row>
    <row r="63" spans="1:25" x14ac:dyDescent="0.25">
      <c r="A63" s="12"/>
      <c r="B63" s="29"/>
      <c r="C63" s="14"/>
      <c r="D63" s="1"/>
      <c r="E63" s="15"/>
      <c r="F63" s="15"/>
      <c r="G63" s="2"/>
      <c r="H63" s="16"/>
      <c r="I63" s="2"/>
      <c r="J63" s="17"/>
      <c r="K63" s="15"/>
    </row>
    <row r="64" spans="1:25" x14ac:dyDescent="0.25">
      <c r="A64" s="30"/>
      <c r="B64" s="31" t="s">
        <v>20</v>
      </c>
      <c r="C64" s="32"/>
      <c r="D64" s="33"/>
      <c r="E64" s="33"/>
      <c r="F64" s="33"/>
      <c r="G64" s="17"/>
      <c r="H64" s="17"/>
      <c r="I64" s="17"/>
      <c r="J64" s="17">
        <f>SUM(J9:J62)</f>
        <v>43379.386863247499</v>
      </c>
      <c r="K64" s="34"/>
      <c r="S64" s="10"/>
      <c r="T64" s="10"/>
      <c r="U64" s="10"/>
      <c r="V64" s="10"/>
      <c r="W64" s="10"/>
      <c r="X64" s="10"/>
      <c r="Y64" s="10"/>
    </row>
    <row r="66" spans="1:25" s="10" customFormat="1" x14ac:dyDescent="0.25">
      <c r="A66" s="35"/>
      <c r="B66" s="27" t="s">
        <v>19</v>
      </c>
      <c r="C66" s="55">
        <f>J64</f>
        <v>43379.386863247499</v>
      </c>
      <c r="D66" s="56"/>
      <c r="E66" s="36">
        <v>100</v>
      </c>
      <c r="F66" s="35"/>
      <c r="G66" s="37"/>
      <c r="H66" s="35"/>
      <c r="I66" s="38"/>
      <c r="J66" s="39"/>
      <c r="K66" s="40"/>
      <c r="S66" s="9"/>
      <c r="T66" s="9"/>
      <c r="U66" s="9"/>
      <c r="V66" s="9"/>
      <c r="W66" s="9"/>
      <c r="X66" s="9"/>
      <c r="Y66" s="9"/>
    </row>
  </sheetData>
  <mergeCells count="10">
    <mergeCell ref="C66:D66"/>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F933D-53F8-42A1-BB32-49F166256DBB}">
  <dimension ref="B8:G77"/>
  <sheetViews>
    <sheetView workbookViewId="0">
      <selection activeCell="G14" sqref="G14"/>
    </sheetView>
  </sheetViews>
  <sheetFormatPr defaultRowHeight="15" x14ac:dyDescent="0.25"/>
  <cols>
    <col min="2" max="2" width="6.42578125" style="9" bestFit="1" customWidth="1"/>
    <col min="3" max="3" width="7.42578125" style="9" bestFit="1" customWidth="1"/>
    <col min="4" max="5" width="8.42578125" style="9" bestFit="1" customWidth="1"/>
    <col min="6" max="6" width="9.140625" style="9"/>
    <col min="7" max="7" width="16.5703125" style="9" customWidth="1"/>
  </cols>
  <sheetData>
    <row r="8" spans="2:7" x14ac:dyDescent="0.25">
      <c r="B8" s="10"/>
      <c r="C8" s="10"/>
      <c r="D8" s="10"/>
      <c r="E8" s="10"/>
      <c r="F8" s="10"/>
      <c r="G8" s="10"/>
    </row>
    <row r="18" spans="2:7" x14ac:dyDescent="0.25">
      <c r="B18" s="9" t="s">
        <v>43</v>
      </c>
    </row>
    <row r="19" spans="2:7" x14ac:dyDescent="0.25">
      <c r="B19" s="9" t="s">
        <v>44</v>
      </c>
      <c r="C19" s="9" t="s">
        <v>9</v>
      </c>
      <c r="D19" s="9" t="s">
        <v>51</v>
      </c>
      <c r="E19" s="9" t="s">
        <v>45</v>
      </c>
      <c r="F19" s="9" t="s">
        <v>46</v>
      </c>
      <c r="G19" s="9" t="s">
        <v>56</v>
      </c>
    </row>
    <row r="20" spans="2:7" x14ac:dyDescent="0.25">
      <c r="B20" s="11">
        <f>6/3.281</f>
        <v>1.8287107589149649</v>
      </c>
      <c r="C20" s="11">
        <f>6/3.281</f>
        <v>1.8287107589149649</v>
      </c>
      <c r="D20" s="11">
        <v>0.23</v>
      </c>
      <c r="E20" s="11">
        <f>TRUNC(2/3.281,1)</f>
        <v>0.6</v>
      </c>
      <c r="F20" s="11">
        <f>TRUNC(4.5/3.281,1)</f>
        <v>1.3</v>
      </c>
      <c r="G20" s="11">
        <f>1.17/3.281</f>
        <v>0.35659859798841814</v>
      </c>
    </row>
    <row r="54" spans="2:7" x14ac:dyDescent="0.25">
      <c r="B54" s="10"/>
      <c r="C54" s="10"/>
      <c r="D54" s="10"/>
      <c r="E54" s="10"/>
      <c r="F54" s="10"/>
      <c r="G54" s="10"/>
    </row>
    <row r="57" spans="2:7" x14ac:dyDescent="0.25">
      <c r="B57" s="10"/>
      <c r="C57" s="10"/>
      <c r="D57" s="10"/>
      <c r="E57" s="10"/>
      <c r="F57" s="10"/>
      <c r="G57" s="10"/>
    </row>
    <row r="60" spans="2:7" x14ac:dyDescent="0.25">
      <c r="B60" s="10"/>
      <c r="C60" s="10"/>
      <c r="D60" s="10"/>
      <c r="E60" s="10"/>
      <c r="F60" s="10"/>
      <c r="G60" s="10"/>
    </row>
    <row r="64" spans="2:7" x14ac:dyDescent="0.25">
      <c r="B64" s="10"/>
      <c r="C64" s="10"/>
      <c r="D64" s="10"/>
      <c r="E64" s="10"/>
      <c r="F64" s="10"/>
      <c r="G64" s="10"/>
    </row>
    <row r="67" spans="2:7" x14ac:dyDescent="0.25">
      <c r="B67" s="10"/>
      <c r="C67" s="10"/>
      <c r="D67" s="10"/>
      <c r="E67" s="10"/>
      <c r="F67" s="10"/>
      <c r="G67" s="10"/>
    </row>
    <row r="77" spans="2:7" x14ac:dyDescent="0.25">
      <c r="B77" s="10"/>
      <c r="C77" s="10"/>
      <c r="D77" s="10"/>
      <c r="E77" s="10"/>
      <c r="F77" s="10"/>
      <c r="G77" s="10"/>
    </row>
  </sheetData>
  <sheetProtection algorithmName="SHA-512" hashValue="UasVC9GSftWb5uy9CJpbBvvuVPVbhNGYLzQkJGkMLpMaxQSwiY/HjYdpL4E2qZLhWUUr1RDCCLzaRKEzJlYsHQ==" saltValue="ZRXMmJ20ZvmnRaWSchYt7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estimate</vt:lpstr>
      <vt:lpstr>Sheet1</vt:lpstr>
      <vt:lpstr>estimate!Print_Area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2026-03-30T06:02:24Z</dcterms:modified>
</cp:coreProperties>
</file>