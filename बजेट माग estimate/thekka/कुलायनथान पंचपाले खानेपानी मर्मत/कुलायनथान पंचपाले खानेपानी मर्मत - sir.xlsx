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filterPrivacy="1" defaultThemeVersion="124226"/>
  <xr:revisionPtr revIDLastSave="0" documentId="13_ncr:1_{91726E37-9F5D-4DD9-9C49-E1D3D15C1BAC}" xr6:coauthVersionLast="47" xr6:coauthVersionMax="47" xr10:uidLastSave="{00000000-0000-0000-0000-000000000000}"/>
  <bookViews>
    <workbookView xWindow="-120" yWindow="-120" windowWidth="20730" windowHeight="11040" xr2:uid="{00000000-000D-0000-FFFF-FFFF00000000}"/>
  </bookViews>
  <sheets>
    <sheet name="estimate" sheetId="13" r:id="rId1"/>
    <sheet name="Sheet1" sheetId="14" state="hidden" r:id="rId2"/>
  </sheets>
  <externalReferences>
    <externalReference r:id="rId3"/>
    <externalReference r:id="rId4"/>
    <externalReference r:id="rId5"/>
  </externalReferences>
  <definedNames>
    <definedName name="description_103">[1]Abstract!$B$16</definedName>
    <definedName name="description_124">#REF!</definedName>
    <definedName name="description_247">[1]Abstract!$B$22</definedName>
    <definedName name="description_248">[1]Abstract!$B$23</definedName>
    <definedName name="description_261">[2]Abstract!$B$33</definedName>
    <definedName name="description_262">[1]Abstract!$B$34</definedName>
    <definedName name="description_276">[3]Abstract!$B$40</definedName>
    <definedName name="description_3">[1]Abstract!$B$169</definedName>
    <definedName name="description_310">#REF!</definedName>
    <definedName name="description_312">#REF!</definedName>
    <definedName name="description_5">[1]Abstract!$B$171</definedName>
    <definedName name="description_6">#REF!</definedName>
    <definedName name="description_759">[1]Abstract!$B$278</definedName>
    <definedName name="description_781">#REF!</definedName>
    <definedName name="description_783">[1]Abstract!$B$301</definedName>
    <definedName name="description_784">[3]Abstract!$B$300</definedName>
    <definedName name="_xlnm.Print_Area" localSheetId="0">estimate!$A$1:$K$84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0" i="13" l="1"/>
  <c r="D46" i="13"/>
  <c r="G20" i="14"/>
  <c r="F20" i="14"/>
  <c r="E20" i="14"/>
  <c r="C20" i="14"/>
  <c r="B20" i="14"/>
  <c r="C69" i="13"/>
  <c r="D65" i="13"/>
  <c r="D69" i="13" s="1"/>
  <c r="F69" i="13" s="1"/>
  <c r="G69" i="13" s="1"/>
  <c r="I66" i="13"/>
  <c r="G65" i="13"/>
  <c r="G66" i="13" s="1"/>
  <c r="G61" i="13"/>
  <c r="C15" i="13"/>
  <c r="J66" i="13" l="1"/>
  <c r="G70" i="13" l="1"/>
  <c r="G62" i="13"/>
  <c r="C21" i="13"/>
  <c r="J62" i="13" l="1"/>
  <c r="J70" i="13"/>
  <c r="J71" i="13" s="1"/>
  <c r="G21" i="13"/>
  <c r="G22" i="13" s="1"/>
  <c r="G11" i="13"/>
  <c r="G12" i="13" s="1"/>
  <c r="C84" i="13" l="1"/>
  <c r="C83" i="13"/>
  <c r="G75" i="13"/>
  <c r="J75" i="13" s="1"/>
  <c r="G73" i="13"/>
  <c r="J73" i="13" s="1"/>
  <c r="C55" i="13"/>
  <c r="I51" i="13"/>
  <c r="C50" i="13"/>
  <c r="I41" i="13"/>
  <c r="C39" i="13"/>
  <c r="C48" i="13" s="1"/>
  <c r="C38" i="13"/>
  <c r="C47" i="13" s="1"/>
  <c r="B38" i="13"/>
  <c r="B47" i="13" s="1"/>
  <c r="C37" i="13"/>
  <c r="B37" i="13"/>
  <c r="B46" i="13" s="1"/>
  <c r="D48" i="13"/>
  <c r="C30" i="13"/>
  <c r="B30" i="13"/>
  <c r="B39" i="13" s="1"/>
  <c r="B48" i="13" s="1"/>
  <c r="C29" i="13"/>
  <c r="C28" i="13"/>
  <c r="F47" i="13"/>
  <c r="J12" i="13"/>
  <c r="C81" i="13" l="1"/>
  <c r="G55" i="13"/>
  <c r="G56" i="13" s="1"/>
  <c r="J56" i="13" s="1"/>
  <c r="J57" i="13" s="1"/>
  <c r="F46" i="13"/>
  <c r="G29" i="13"/>
  <c r="F49" i="13"/>
  <c r="G50" i="13"/>
  <c r="G38" i="13"/>
  <c r="D47" i="13"/>
  <c r="G47" i="13" s="1"/>
  <c r="F48" i="13"/>
  <c r="G48" i="13" s="1"/>
  <c r="C40" i="13"/>
  <c r="D49" i="13"/>
  <c r="C46" i="13"/>
  <c r="G30" i="13" l="1"/>
  <c r="G39" i="13"/>
  <c r="G40" i="13"/>
  <c r="C49" i="13"/>
  <c r="G49" i="13" s="1"/>
  <c r="G15" i="13"/>
  <c r="G16" i="13" s="1"/>
  <c r="J18" i="13" l="1"/>
  <c r="J17" i="13"/>
  <c r="J16" i="13"/>
  <c r="J25" i="13" l="1"/>
  <c r="J22" i="13"/>
  <c r="J24" i="13"/>
  <c r="J23" i="13"/>
  <c r="G28" i="13"/>
  <c r="G31" i="13" s="1"/>
  <c r="J34" i="13" l="1"/>
  <c r="J32" i="13"/>
  <c r="J33" i="13"/>
  <c r="J31" i="13"/>
  <c r="G46" i="13"/>
  <c r="G51" i="13" s="1"/>
  <c r="G37" i="13"/>
  <c r="G41" i="13" s="1"/>
  <c r="J43" i="13" l="1"/>
  <c r="J42" i="13"/>
  <c r="J41" i="13"/>
  <c r="J52" i="13"/>
  <c r="J51" i="13"/>
  <c r="J77" i="13" l="1"/>
  <c r="C79" i="13" s="1"/>
  <c r="C82" i="13" s="1"/>
  <c r="E81" i="13" l="1"/>
  <c r="E82" i="13" s="1"/>
</calcChain>
</file>

<file path=xl/sharedStrings.xml><?xml version="1.0" encoding="utf-8"?>
<sst xmlns="http://schemas.openxmlformats.org/spreadsheetml/2006/main" count="98" uniqueCount="74">
  <si>
    <t>Government of Nepal</t>
  </si>
  <si>
    <t>Shankharapur Municipality Office</t>
  </si>
  <si>
    <t>Bagmati Province</t>
  </si>
  <si>
    <t>Sankhu, Kathmandu</t>
  </si>
  <si>
    <t>Detail Estimated Sheet</t>
  </si>
  <si>
    <t>S.N.</t>
  </si>
  <si>
    <t>Description of work</t>
  </si>
  <si>
    <t>No.</t>
  </si>
  <si>
    <t>Length</t>
  </si>
  <si>
    <t>Breadth</t>
  </si>
  <si>
    <t>Height</t>
  </si>
  <si>
    <t>Quantity</t>
  </si>
  <si>
    <t>Unit</t>
  </si>
  <si>
    <t>Rate</t>
  </si>
  <si>
    <t>Amount</t>
  </si>
  <si>
    <t>Remark</t>
  </si>
  <si>
    <t>Sub-total</t>
  </si>
  <si>
    <t>Information board (सुचना पाटि)</t>
  </si>
  <si>
    <t>no.</t>
  </si>
  <si>
    <t>Total Estimated</t>
  </si>
  <si>
    <t>Total</t>
  </si>
  <si>
    <t>Budget allocated</t>
  </si>
  <si>
    <t>Municipal payment</t>
  </si>
  <si>
    <t xml:space="preserve">Contingencies </t>
  </si>
  <si>
    <t xml:space="preserve">Maintanince </t>
  </si>
  <si>
    <t>F.Y.: 2082/2083</t>
  </si>
  <si>
    <t>User contribution</t>
  </si>
  <si>
    <t>Length (m)</t>
  </si>
  <si>
    <t>sub-total</t>
  </si>
  <si>
    <t>cum</t>
  </si>
  <si>
    <t>-High Density Polythene Pipe NS 40 pipe material PE 100, PN 16</t>
  </si>
  <si>
    <t>Weight (Kg/m)</t>
  </si>
  <si>
    <t>Total weight (Kg)</t>
  </si>
  <si>
    <t>kg</t>
  </si>
  <si>
    <t>Location:- Shankharapur Municipality 1</t>
  </si>
  <si>
    <t>-13% VAT for material</t>
  </si>
  <si>
    <t>-for pipe laying</t>
  </si>
  <si>
    <t>rm</t>
  </si>
  <si>
    <t>Provisional sum for other unforseen works</t>
  </si>
  <si>
    <t>PS</t>
  </si>
  <si>
    <t>A</t>
  </si>
  <si>
    <t>Pipe works</t>
  </si>
  <si>
    <t>B</t>
  </si>
  <si>
    <t>-for stand taps</t>
  </si>
  <si>
    <t>-13% VAT for sand</t>
  </si>
  <si>
    <t>Plain cement concrete (1:2:4)</t>
  </si>
  <si>
    <t>-13% VAT for cement</t>
  </si>
  <si>
    <t>-13% VAT for aggregate</t>
  </si>
  <si>
    <t>sqm</t>
  </si>
  <si>
    <t>-for wing walls of stand tap</t>
  </si>
  <si>
    <t>-for side wall of stand tap</t>
  </si>
  <si>
    <t>-for stand tap</t>
  </si>
  <si>
    <t>Water tap size</t>
  </si>
  <si>
    <t>length</t>
  </si>
  <si>
    <t>Height 1</t>
  </si>
  <si>
    <t>Height 2</t>
  </si>
  <si>
    <t>20mm thick cement plaster (1:6)</t>
  </si>
  <si>
    <t>3 mm thick  cement punning</t>
  </si>
  <si>
    <t>-for floor area</t>
  </si>
  <si>
    <t>20mm GI pipe threaded-Medium class</t>
  </si>
  <si>
    <t>-13% VAT</t>
  </si>
  <si>
    <t>thickness</t>
  </si>
  <si>
    <t>Date:2082</t>
  </si>
  <si>
    <t>For tap works</t>
  </si>
  <si>
    <t>Flat brick  soling</t>
  </si>
  <si>
    <t>-13% VAT for brick</t>
  </si>
  <si>
    <t>Chimney made Brick work in 1:6 cement mortar</t>
  </si>
  <si>
    <t>Width of stand tap</t>
  </si>
  <si>
    <t>g/d k|sf/sf] Sn] / l;N6L df6f]df ;j} lsl;dsf] vGg] sfd</t>
  </si>
  <si>
    <r>
      <t>Earthwork Excavation in Cutting., Roadway Excavation in all types of Soil by Manual Means ., Roadway Excavation in all types of soil as per drawing and technical specification, including removal of stumps and other deleterious matter, with all lifts and lead as per Drawing and instruction of the Engineer.l (</t>
    </r>
    <r>
      <rPr>
        <b/>
        <sz val="14"/>
        <rFont val="Preeti"/>
      </rPr>
      <t>vGg] k'g{] sfo{</t>
    </r>
    <r>
      <rPr>
        <sz val="11"/>
        <rFont val="Calibri"/>
        <family val="2"/>
        <scheme val="minor"/>
      </rPr>
      <t>)</t>
    </r>
  </si>
  <si>
    <t>-for pipe laying for tap distribution</t>
  </si>
  <si>
    <t>Laying and joining of 32 mmØ HDPE pipe with butt-weld joints</t>
  </si>
  <si>
    <t>-for 32mm pipe laying from source to tank</t>
  </si>
  <si>
    <r>
      <t>Project:-</t>
    </r>
    <r>
      <rPr>
        <sz val="12"/>
        <rFont val="Preeti"/>
      </rPr>
      <t xml:space="preserve"> </t>
    </r>
    <r>
      <rPr>
        <sz val="14"/>
        <rFont val="Preeti"/>
      </rPr>
      <t>s'nfogyfg k+rkfn] vfg]kfgL dd{t</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</si>
</sst>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0.0"/>
  </numFmts>
  <fonts count="16" x14ac:knownFonts="1">
    <font>
      <sz val="11"/>
      <color theme="1"/>
      <name val="Calibri"/>
      <family val="2"/>
      <scheme val="minor"/>
    </font>
    <font>
      <sz val="11"/>
      <color theme="1"/>
      <name val="Calibri"/>
      <family val="2"/>
      <scheme val="minor"/>
    </font>
    <font>
      <sz val="11"/>
      <name val="Times New Roman"/>
      <family val="1"/>
    </font>
    <font>
      <b/>
      <sz val="11"/>
      <name val="Times New Roman"/>
      <family val="1"/>
    </font>
    <font>
      <sz val="11"/>
      <name val="Calibri"/>
      <family val="2"/>
      <scheme val="minor"/>
    </font>
    <font>
      <b/>
      <sz val="18"/>
      <name val="Times New Roman"/>
      <family val="1"/>
    </font>
    <font>
      <b/>
      <sz val="11"/>
      <name val="Calibri"/>
      <family val="2"/>
      <scheme val="minor"/>
    </font>
    <font>
      <b/>
      <sz val="14"/>
      <name val="Times New Roman"/>
      <family val="1"/>
    </font>
    <font>
      <sz val="12"/>
      <name val="Times New Roman"/>
      <family val="1"/>
    </font>
    <font>
      <b/>
      <sz val="12"/>
      <name val="Times New Roman"/>
      <family val="1"/>
    </font>
    <font>
      <sz val="10"/>
      <name val="Arial"/>
      <family val="2"/>
    </font>
    <font>
      <sz val="10"/>
      <name val="Arial"/>
      <family val="2"/>
    </font>
    <font>
      <sz val="12"/>
      <name val="Preeti"/>
    </font>
    <font>
      <sz val="14"/>
      <name val="Preeti"/>
    </font>
    <font>
      <b/>
      <sz val="12"/>
      <name val="Preeti"/>
    </font>
    <font>
      <b/>
      <sz val="14"/>
      <name val="Preeti"/>
    </font>
  </fonts>
  <fills count="2">
    <fill>
      <patternFill patternType="none"/>
    </fill>
    <fill>
      <patternFill patternType="gray125"/>
    </fill>
  </fills>
  <borders count="5">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6">
    <xf numFmtId="0" fontId="0" fillId="0" borderId="0"/>
    <xf numFmtId="43" fontId="1" fillId="0" borderId="0" applyFont="0" applyFill="0" applyBorder="0" applyAlignment="0" applyProtection="0"/>
    <xf numFmtId="0" fontId="10" fillId="0" borderId="0"/>
    <xf numFmtId="43" fontId="11" fillId="0" borderId="0" applyFont="0" applyFill="0" applyBorder="0" applyAlignment="0" applyProtection="0"/>
    <xf numFmtId="9" fontId="11" fillId="0" borderId="0" applyFont="0" applyFill="0" applyBorder="0" applyAlignment="0" applyProtection="0"/>
    <xf numFmtId="0" fontId="11" fillId="0" borderId="0"/>
  </cellStyleXfs>
  <cellXfs count="60">
    <xf numFmtId="0" fontId="0" fillId="0" borderId="0" xfId="0"/>
    <xf numFmtId="2" fontId="2" fillId="0" borderId="2" xfId="1" applyNumberFormat="1" applyFont="1" applyFill="1" applyBorder="1" applyAlignment="1">
      <alignment vertical="center"/>
    </xf>
    <xf numFmtId="2" fontId="3" fillId="0" borderId="2" xfId="1" applyNumberFormat="1" applyFont="1" applyFill="1" applyBorder="1" applyAlignment="1">
      <alignment vertical="center"/>
    </xf>
    <xf numFmtId="0" fontId="9" fillId="0" borderId="0" xfId="0" applyFont="1" applyAlignment="1">
      <alignment horizontal="center"/>
    </xf>
    <xf numFmtId="43" fontId="9" fillId="0" borderId="0" xfId="1" applyFont="1" applyFill="1"/>
    <xf numFmtId="0" fontId="9" fillId="0" borderId="2" xfId="0" applyFont="1" applyBorder="1" applyAlignment="1">
      <alignment horizontal="center"/>
    </xf>
    <xf numFmtId="0" fontId="9" fillId="0" borderId="2" xfId="0" applyFont="1" applyBorder="1" applyAlignment="1">
      <alignment horizontal="center" vertical="top" wrapText="1"/>
    </xf>
    <xf numFmtId="43" fontId="9" fillId="0" borderId="2" xfId="1" applyFont="1" applyFill="1" applyBorder="1" applyAlignment="1">
      <alignment horizontal="center"/>
    </xf>
    <xf numFmtId="0" fontId="9" fillId="0" borderId="2" xfId="0" applyFont="1" applyBorder="1" applyAlignment="1">
      <alignment horizontal="center" wrapText="1"/>
    </xf>
    <xf numFmtId="0" fontId="4" fillId="0" borderId="0" xfId="0" applyFont="1"/>
    <xf numFmtId="0" fontId="4" fillId="0" borderId="0" xfId="0" applyFont="1" applyAlignment="1">
      <alignment vertical="center"/>
    </xf>
    <xf numFmtId="2" fontId="4" fillId="0" borderId="0" xfId="0" applyNumberFormat="1" applyFont="1"/>
    <xf numFmtId="1" fontId="3" fillId="0" borderId="2" xfId="0" applyNumberFormat="1" applyFont="1" applyBorder="1" applyAlignment="1">
      <alignment vertical="center"/>
    </xf>
    <xf numFmtId="0" fontId="2" fillId="0" borderId="2" xfId="0" quotePrefix="1" applyFont="1" applyBorder="1" applyAlignment="1">
      <alignment horizontal="right" wrapText="1"/>
    </xf>
    <xf numFmtId="164" fontId="2" fillId="0" borderId="2" xfId="0" applyNumberFormat="1" applyFont="1" applyBorder="1" applyAlignment="1">
      <alignment vertical="center"/>
    </xf>
    <xf numFmtId="2" fontId="2" fillId="0" borderId="2" xfId="0" applyNumberFormat="1" applyFont="1" applyBorder="1" applyAlignment="1">
      <alignment vertical="center"/>
    </xf>
    <xf numFmtId="2" fontId="3" fillId="0" borderId="2" xfId="0" applyNumberFormat="1" applyFont="1" applyBorder="1" applyAlignment="1">
      <alignment vertical="center"/>
    </xf>
    <xf numFmtId="2" fontId="3" fillId="0" borderId="2" xfId="0" applyNumberFormat="1" applyFont="1" applyBorder="1"/>
    <xf numFmtId="0" fontId="6" fillId="0" borderId="2" xfId="0" applyFont="1" applyBorder="1" applyAlignment="1">
      <alignment vertical="center"/>
    </xf>
    <xf numFmtId="0" fontId="4" fillId="0" borderId="2" xfId="0" quotePrefix="1" applyFont="1" applyBorder="1" applyAlignment="1">
      <alignment horizontal="right"/>
    </xf>
    <xf numFmtId="0" fontId="4" fillId="0" borderId="2" xfId="0" applyFont="1" applyBorder="1"/>
    <xf numFmtId="2" fontId="4" fillId="0" borderId="2" xfId="0" applyNumberFormat="1" applyFont="1" applyBorder="1"/>
    <xf numFmtId="0" fontId="14" fillId="0" borderId="2" xfId="0" applyFont="1" applyBorder="1" applyAlignment="1">
      <alignment wrapText="1"/>
    </xf>
    <xf numFmtId="0" fontId="9" fillId="0" borderId="2" xfId="0" applyFont="1" applyBorder="1" applyAlignment="1">
      <alignment vertical="center"/>
    </xf>
    <xf numFmtId="43" fontId="9" fillId="0" borderId="2" xfId="1" applyFont="1" applyFill="1" applyBorder="1" applyAlignment="1">
      <alignment vertical="center"/>
    </xf>
    <xf numFmtId="0" fontId="9" fillId="0" borderId="2" xfId="0" applyFont="1" applyBorder="1" applyAlignment="1">
      <alignment vertical="center" wrapText="1"/>
    </xf>
    <xf numFmtId="0" fontId="4" fillId="0" borderId="2" xfId="0" applyFont="1" applyBorder="1" applyAlignment="1">
      <alignment wrapText="1"/>
    </xf>
    <xf numFmtId="0" fontId="4" fillId="0" borderId="2" xfId="0" applyFont="1" applyBorder="1" applyAlignment="1">
      <alignment vertical="center"/>
    </xf>
    <xf numFmtId="1" fontId="2" fillId="0" borderId="2" xfId="0" applyNumberFormat="1" applyFont="1" applyBorder="1" applyAlignment="1">
      <alignment vertical="center" wrapText="1"/>
    </xf>
    <xf numFmtId="1" fontId="2" fillId="0" borderId="2" xfId="0" applyNumberFormat="1" applyFont="1" applyBorder="1" applyAlignment="1">
      <alignment horizontal="right" vertical="center" wrapText="1"/>
    </xf>
    <xf numFmtId="0" fontId="3" fillId="0" borderId="2" xfId="0" applyFont="1" applyBorder="1"/>
    <xf numFmtId="0" fontId="3" fillId="0" borderId="2" xfId="0" applyFont="1" applyBorder="1" applyAlignment="1">
      <alignment horizontal="right" wrapText="1"/>
    </xf>
    <xf numFmtId="164" fontId="2" fillId="0" borderId="2" xfId="0" applyNumberFormat="1" applyFont="1" applyBorder="1"/>
    <xf numFmtId="2" fontId="2" fillId="0" borderId="2" xfId="0" applyNumberFormat="1" applyFont="1" applyBorder="1"/>
    <xf numFmtId="0" fontId="2" fillId="0" borderId="2" xfId="0" applyFont="1" applyBorder="1"/>
    <xf numFmtId="0" fontId="2" fillId="0" borderId="0" xfId="0" applyFont="1" applyAlignment="1">
      <alignment vertical="center"/>
    </xf>
    <xf numFmtId="2" fontId="4" fillId="0" borderId="2" xfId="0" applyNumberFormat="1" applyFont="1" applyBorder="1" applyAlignment="1">
      <alignment vertical="center"/>
    </xf>
    <xf numFmtId="2" fontId="2" fillId="0" borderId="0" xfId="0" applyNumberFormat="1" applyFont="1" applyAlignment="1">
      <alignment vertical="center"/>
    </xf>
    <xf numFmtId="0" fontId="3" fillId="0" borderId="0" xfId="0" applyFont="1" applyAlignment="1">
      <alignment horizontal="right" vertical="center"/>
    </xf>
    <xf numFmtId="43" fontId="3" fillId="0" borderId="0" xfId="1" applyFont="1" applyFill="1" applyBorder="1" applyAlignment="1">
      <alignment vertical="center"/>
    </xf>
    <xf numFmtId="0" fontId="3" fillId="0" borderId="0" xfId="0" applyFont="1" applyAlignment="1">
      <alignment vertical="center"/>
    </xf>
    <xf numFmtId="0" fontId="4" fillId="0" borderId="2" xfId="0" quotePrefix="1" applyFont="1" applyBorder="1" applyAlignment="1">
      <alignment wrapText="1"/>
    </xf>
    <xf numFmtId="0" fontId="2" fillId="0" borderId="2" xfId="0" quotePrefix="1" applyFont="1" applyBorder="1" applyAlignment="1">
      <alignment horizontal="right" vertical="center" wrapText="1"/>
    </xf>
    <xf numFmtId="2" fontId="6" fillId="0" borderId="2" xfId="0" applyNumberFormat="1" applyFont="1" applyBorder="1" applyAlignment="1">
      <alignment vertical="center"/>
    </xf>
    <xf numFmtId="0" fontId="2" fillId="0" borderId="2" xfId="0" quotePrefix="1" applyFont="1" applyBorder="1" applyAlignment="1">
      <alignment vertical="center" wrapText="1"/>
    </xf>
    <xf numFmtId="1" fontId="2" fillId="0" borderId="2" xfId="0" quotePrefix="1" applyNumberFormat="1" applyFont="1" applyBorder="1" applyAlignment="1">
      <alignment vertical="center" wrapText="1"/>
    </xf>
    <xf numFmtId="0" fontId="4" fillId="0" borderId="2" xfId="0" quotePrefix="1" applyFont="1" applyBorder="1" applyAlignment="1">
      <alignment horizontal="right" vertical="center" wrapText="1"/>
    </xf>
    <xf numFmtId="2" fontId="4" fillId="0" borderId="3" xfId="0" applyNumberFormat="1" applyFont="1" applyBorder="1" applyAlignment="1">
      <alignment horizontal="center" vertical="center"/>
    </xf>
    <xf numFmtId="2" fontId="4" fillId="0" borderId="4" xfId="0" applyNumberFormat="1" applyFont="1" applyBorder="1" applyAlignment="1">
      <alignment horizontal="center" vertical="center"/>
    </xf>
    <xf numFmtId="2" fontId="4" fillId="0" borderId="3" xfId="1" applyNumberFormat="1" applyFont="1" applyFill="1" applyBorder="1" applyAlignment="1">
      <alignment horizontal="center" vertical="center"/>
    </xf>
    <xf numFmtId="2" fontId="4" fillId="0" borderId="4" xfId="1" applyNumberFormat="1" applyFont="1" applyFill="1" applyBorder="1" applyAlignment="1">
      <alignment horizontal="center" vertical="center"/>
    </xf>
    <xf numFmtId="2" fontId="4" fillId="0" borderId="2" xfId="0" applyNumberFormat="1" applyFont="1" applyBorder="1" applyAlignment="1">
      <alignment horizontal="center" vertical="center"/>
    </xf>
    <xf numFmtId="0" fontId="8" fillId="0" borderId="1" xfId="0" applyFont="1" applyBorder="1"/>
    <xf numFmtId="0" fontId="8" fillId="0" borderId="1" xfId="0" applyFont="1" applyBorder="1" applyAlignment="1">
      <alignment horizontal="right"/>
    </xf>
    <xf numFmtId="0" fontId="3" fillId="0" borderId="0" xfId="0" applyFont="1" applyAlignment="1">
      <alignment horizontal="center" vertical="center"/>
    </xf>
    <xf numFmtId="0" fontId="5" fillId="0" borderId="0" xfId="0" applyFont="1" applyAlignment="1">
      <alignment horizontal="center" vertical="center"/>
    </xf>
    <xf numFmtId="0" fontId="6" fillId="0" borderId="0" xfId="0" applyFont="1" applyAlignment="1">
      <alignment horizontal="center" vertical="center"/>
    </xf>
    <xf numFmtId="0" fontId="7" fillId="0" borderId="0" xfId="0" applyFont="1" applyAlignment="1">
      <alignment horizontal="center"/>
    </xf>
    <xf numFmtId="0" fontId="8" fillId="0" borderId="0" xfId="0" applyFont="1" applyAlignment="1">
      <alignment horizontal="left"/>
    </xf>
    <xf numFmtId="0" fontId="8" fillId="0" borderId="0" xfId="0" applyFont="1" applyAlignment="1">
      <alignment horizontal="right"/>
    </xf>
  </cellXfs>
  <cellStyles count="6">
    <cellStyle name="Comma" xfId="1" builtinId="3"/>
    <cellStyle name="Comma 2" xfId="3" xr:uid="{00000000-0005-0000-0000-000001000000}"/>
    <cellStyle name="Normal" xfId="0" builtinId="0"/>
    <cellStyle name="Normal 2" xfId="2" xr:uid="{00000000-0005-0000-0000-000003000000}"/>
    <cellStyle name="Normal 3" xfId="5" xr:uid="{00000000-0005-0000-0000-000004000000}"/>
    <cellStyle name="Percent 2" xfId="4" xr:uid="{00000000-0005-0000-0000-00000500000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externalLink" Target="externalLinks/externalLink1.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3.xml"/><Relationship Id="rId4" Type="http://schemas.openxmlformats.org/officeDocument/2006/relationships/externalLink" Target="externalLinks/externalLink2.xml"/><Relationship Id="rId9"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H:\079-080\Rate%20Analysis\Road-rate-analysis-079-80-shankharapur-as-per-dor-norms-nnnn.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Users\Dell\Desktop\Ward%209\RATE%20ANALYSIS\Road-rate-analysis-078-79-shankharapur.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H:\2082_2083\rate%20analysis\For%20all%20Road-rate%20analysis%2082%2083%20shankharapu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16">
          <cell r="B16" t="str">
            <v>Clearing and Grubbing Road Land ., Clearing and grubbing road land including uprooting rank vegetation, grass, bushes, shrubs, saplings and trees girth up to 300 mm, removal of stumps of trees cut earlier and disposal of unserviceable materials and stacking of serviceable Material to be used or auctioned, up to a lead of 30 meters including removal and disposal of top organic soil not exceeding 150 mm in thickness., By Mechanical Means, In area of light jungle (less than 15 number per 100 sqm )</v>
          </cell>
        </row>
        <row r="22">
          <cell r="B22" t="str">
            <v>Providing and Laying Reinforced cement concrete NP3 Flush jointed pipe for culverts including fixing with cement mortar 1:2 as per Drawing and Technical Specifications., 450 mm  internal dia.</v>
          </cell>
        </row>
        <row r="23">
          <cell r="B23" t="str">
            <v>Providing and Laying Reinforced cement concrete NP3 Flush jointed pipe for culverts including fixing with cement mortar 1:2 as per Drawing and Technical Specifications., 600 mm  internal dia.</v>
          </cell>
        </row>
        <row r="34">
          <cell r="B34" t="str">
            <v>Earthwork Excavation in Cutting., Roadway Excavation in all types of Soil by Mechanical  Means ., Road way Excavation in  all types of soil as per Drawing and technical specifications  including  removal of stumps and other deleterious matter, all lifts and lead as per Drawing and instruction of the Engineer.</v>
          </cell>
        </row>
        <row r="169">
          <cell r="B169" t="str">
            <v>Providing and laying of Plain/Reinforced Cement Concrete in Foundation complete as per Drawing and Technical Specifications, PCC Grade M 15</v>
          </cell>
        </row>
        <row r="171">
          <cell r="B171" t="str">
            <v>Providing and laying of Plain/Reinforced Cement Concrete in Foundation complete as per Drawing and Technical Specifications, PCC Grade M 20</v>
          </cell>
        </row>
        <row r="278">
          <cell r="B278" t="str">
            <v>Providing and laying Brick Masonry Work in Cement mortar  in Foundation / structure complete excluding Pointing and Plastering, as per Drawing and Technical Specifications., Cement sand mortar (1:6)</v>
          </cell>
        </row>
        <row r="301">
          <cell r="B301" t="str">
            <v>Random Rubble Masonry, Providing and laying of Stone Masonry Work in Cement Mortar 1:6 in Foundation complete as per Drawing and Technical Specifications.</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33">
          <cell r="B33" t="str">
            <v>Earthwork Excavation in Cutting., Roadway Excavation in all types of Soil by Manual Means ., Roadway Excavation in all types of soil as per drawing and technical specification, including removal of stumps and other deleterious matter, with all lifts and lead as per Drawing and instruction of the Engineer.</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sheetData sheetId="1">
        <row r="40">
          <cell r="B40" t="str">
            <v>Excavation for Structures Foundation, Earth work in excavation of foundation of structures, including  construction of shoring and bracing, removal of stumps and other deleterious matter and backfilling with approved Material as per Drawing and Technical Specifications., Ordinary soil by Mechanical Means, Depth upto 3 m</v>
          </cell>
        </row>
        <row r="300">
          <cell r="B300" t="str">
            <v>Random Rubble Masonry, Providing and laying of Stone Masonry Work in Cement Mortar 1:6 in Foundation complete as per Drawing and Technical Specifications., Using Concrete Mixer</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Y84"/>
  <sheetViews>
    <sheetView tabSelected="1" topLeftCell="A36" zoomScaleNormal="100" workbookViewId="0">
      <selection activeCell="E69" sqref="E69"/>
    </sheetView>
  </sheetViews>
  <sheetFormatPr defaultColWidth="9.140625" defaultRowHeight="15" x14ac:dyDescent="0.25"/>
  <cols>
    <col min="1" max="1" width="4.7109375" style="9" customWidth="1"/>
    <col min="2" max="2" width="30.85546875" style="9" customWidth="1"/>
    <col min="3" max="3" width="4.42578125" style="9" bestFit="1" customWidth="1"/>
    <col min="4" max="4" width="8.42578125" style="9" customWidth="1"/>
    <col min="5" max="5" width="8.5703125" style="9" customWidth="1"/>
    <col min="6" max="6" width="7.28515625" style="9" customWidth="1"/>
    <col min="7" max="7" width="9.140625" style="9"/>
    <col min="8" max="8" width="5" style="9" bestFit="1" customWidth="1"/>
    <col min="9" max="9" width="9.5703125" style="9" customWidth="1"/>
    <col min="10" max="10" width="10.7109375" style="9" bestFit="1" customWidth="1"/>
    <col min="11" max="12" width="9.140625" style="9"/>
    <col min="19" max="20" width="8.5703125" style="9" bestFit="1" customWidth="1"/>
    <col min="21" max="21" width="6.5703125" style="9" customWidth="1"/>
    <col min="22" max="22" width="7.42578125" style="9" bestFit="1" customWidth="1"/>
    <col min="23" max="23" width="8.42578125" style="9" bestFit="1" customWidth="1"/>
    <col min="24" max="25" width="7.7109375" style="9" bestFit="1" customWidth="1"/>
    <col min="26" max="16384" width="9.140625" style="9"/>
  </cols>
  <sheetData>
    <row r="1" spans="1:25" x14ac:dyDescent="0.25">
      <c r="A1" s="54" t="s">
        <v>0</v>
      </c>
      <c r="B1" s="54"/>
      <c r="C1" s="54"/>
      <c r="D1" s="54"/>
      <c r="E1" s="54"/>
      <c r="F1" s="54"/>
      <c r="G1" s="54"/>
      <c r="H1" s="54"/>
      <c r="I1" s="54"/>
      <c r="J1" s="54"/>
      <c r="K1" s="54"/>
    </row>
    <row r="2" spans="1:25" ht="22.5" x14ac:dyDescent="0.25">
      <c r="A2" s="55" t="s">
        <v>1</v>
      </c>
      <c r="B2" s="55"/>
      <c r="C2" s="55"/>
      <c r="D2" s="55"/>
      <c r="E2" s="55"/>
      <c r="F2" s="55"/>
      <c r="G2" s="55"/>
      <c r="H2" s="55"/>
      <c r="I2" s="55"/>
      <c r="J2" s="55"/>
      <c r="K2" s="55"/>
    </row>
    <row r="3" spans="1:25" x14ac:dyDescent="0.25">
      <c r="A3" s="56" t="s">
        <v>2</v>
      </c>
      <c r="B3" s="56"/>
      <c r="C3" s="56"/>
      <c r="D3" s="56"/>
      <c r="E3" s="56"/>
      <c r="F3" s="56"/>
      <c r="G3" s="56"/>
      <c r="H3" s="56"/>
      <c r="I3" s="56"/>
      <c r="J3" s="56"/>
      <c r="K3" s="56"/>
    </row>
    <row r="4" spans="1:25" x14ac:dyDescent="0.25">
      <c r="A4" s="56" t="s">
        <v>3</v>
      </c>
      <c r="B4" s="56"/>
      <c r="C4" s="56"/>
      <c r="D4" s="56"/>
      <c r="E4" s="56"/>
      <c r="F4" s="56"/>
      <c r="G4" s="56"/>
      <c r="H4" s="56"/>
      <c r="I4" s="56"/>
      <c r="J4" s="56"/>
      <c r="K4" s="56"/>
    </row>
    <row r="5" spans="1:25" ht="18.75" x14ac:dyDescent="0.3">
      <c r="A5" s="57" t="s">
        <v>4</v>
      </c>
      <c r="B5" s="57"/>
      <c r="C5" s="57"/>
      <c r="D5" s="57"/>
      <c r="E5" s="57"/>
      <c r="F5" s="57"/>
      <c r="G5" s="57"/>
      <c r="H5" s="57"/>
      <c r="I5" s="57"/>
      <c r="J5" s="57"/>
      <c r="K5" s="57"/>
    </row>
    <row r="6" spans="1:25" ht="18" x14ac:dyDescent="0.25">
      <c r="A6" s="58" t="s">
        <v>73</v>
      </c>
      <c r="B6" s="58"/>
      <c r="C6" s="58"/>
      <c r="D6" s="58"/>
      <c r="E6" s="58"/>
      <c r="F6" s="58"/>
      <c r="G6" s="3"/>
      <c r="H6" s="59" t="s">
        <v>25</v>
      </c>
      <c r="I6" s="59"/>
      <c r="J6" s="59"/>
      <c r="K6" s="59"/>
    </row>
    <row r="7" spans="1:25" ht="15.75" x14ac:dyDescent="0.25">
      <c r="A7" s="52" t="s">
        <v>34</v>
      </c>
      <c r="B7" s="52"/>
      <c r="C7" s="52"/>
      <c r="D7" s="52"/>
      <c r="E7" s="52"/>
      <c r="F7" s="52"/>
      <c r="G7" s="4"/>
      <c r="H7" s="53" t="s">
        <v>62</v>
      </c>
      <c r="I7" s="53"/>
      <c r="J7" s="53"/>
      <c r="K7" s="53"/>
    </row>
    <row r="8" spans="1:25" ht="15.75" x14ac:dyDescent="0.25">
      <c r="A8" s="5" t="s">
        <v>5</v>
      </c>
      <c r="B8" s="6" t="s">
        <v>6</v>
      </c>
      <c r="C8" s="5" t="s">
        <v>7</v>
      </c>
      <c r="D8" s="7" t="s">
        <v>8</v>
      </c>
      <c r="E8" s="7" t="s">
        <v>9</v>
      </c>
      <c r="F8" s="7" t="s">
        <v>10</v>
      </c>
      <c r="G8" s="7" t="s">
        <v>11</v>
      </c>
      <c r="H8" s="5" t="s">
        <v>12</v>
      </c>
      <c r="I8" s="7" t="s">
        <v>13</v>
      </c>
      <c r="J8" s="7" t="s">
        <v>14</v>
      </c>
      <c r="K8" s="8" t="s">
        <v>15</v>
      </c>
      <c r="S8" s="10"/>
      <c r="T8" s="10"/>
      <c r="U8" s="10"/>
      <c r="V8" s="10"/>
      <c r="W8" s="10"/>
      <c r="X8" s="10"/>
      <c r="Y8" s="10"/>
    </row>
    <row r="9" spans="1:25" ht="15.75" x14ac:dyDescent="0.25">
      <c r="A9" s="5" t="s">
        <v>40</v>
      </c>
      <c r="B9" s="6" t="s">
        <v>63</v>
      </c>
      <c r="C9" s="5"/>
      <c r="D9" s="7"/>
      <c r="E9" s="7"/>
      <c r="F9" s="7"/>
      <c r="G9" s="7"/>
      <c r="H9" s="5"/>
      <c r="I9" s="7"/>
      <c r="J9" s="7"/>
      <c r="K9" s="8"/>
    </row>
    <row r="10" spans="1:25" s="10" customFormat="1" ht="30.75" x14ac:dyDescent="0.25">
      <c r="A10" s="23">
        <v>1</v>
      </c>
      <c r="B10" s="22" t="s">
        <v>68</v>
      </c>
      <c r="C10" s="23"/>
      <c r="D10" s="24"/>
      <c r="E10" s="24"/>
      <c r="F10" s="24"/>
      <c r="G10" s="24"/>
      <c r="H10" s="23"/>
      <c r="I10" s="24"/>
      <c r="J10" s="24"/>
      <c r="K10" s="25"/>
      <c r="S10" s="9"/>
      <c r="T10" s="9"/>
      <c r="U10" s="9"/>
      <c r="V10" s="9"/>
      <c r="W10" s="9"/>
      <c r="X10" s="9"/>
      <c r="Y10" s="9"/>
    </row>
    <row r="11" spans="1:25" x14ac:dyDescent="0.25">
      <c r="A11" s="18"/>
      <c r="B11" s="19" t="s">
        <v>43</v>
      </c>
      <c r="C11" s="20">
        <v>1</v>
      </c>
      <c r="D11" s="21">
        <v>1.83</v>
      </c>
      <c r="E11" s="21">
        <v>1.83</v>
      </c>
      <c r="F11" s="20">
        <v>0.15</v>
      </c>
      <c r="G11" s="21">
        <f>PRODUCT(C11:F11)</f>
        <v>0.50233500000000009</v>
      </c>
      <c r="H11" s="20"/>
      <c r="I11" s="20"/>
      <c r="J11" s="20"/>
      <c r="K11" s="20"/>
    </row>
    <row r="12" spans="1:25" ht="15" customHeight="1" x14ac:dyDescent="0.25">
      <c r="A12" s="12"/>
      <c r="B12" s="13" t="s">
        <v>16</v>
      </c>
      <c r="C12" s="14"/>
      <c r="D12" s="1"/>
      <c r="E12" s="15"/>
      <c r="F12" s="15"/>
      <c r="G12" s="2">
        <f>SUM(G11:G11)</f>
        <v>0.50233500000000009</v>
      </c>
      <c r="H12" s="16" t="s">
        <v>29</v>
      </c>
      <c r="I12" s="2">
        <v>963.05</v>
      </c>
      <c r="J12" s="17">
        <f>G12*I12</f>
        <v>483.77372175000005</v>
      </c>
      <c r="K12" s="15"/>
    </row>
    <row r="13" spans="1:25" ht="15.75" x14ac:dyDescent="0.25">
      <c r="A13" s="5"/>
      <c r="B13" s="6"/>
      <c r="C13" s="5"/>
      <c r="D13" s="7"/>
      <c r="E13" s="7"/>
      <c r="F13" s="7"/>
      <c r="G13" s="7"/>
      <c r="H13" s="5"/>
      <c r="I13" s="7"/>
      <c r="J13" s="7"/>
      <c r="K13" s="8"/>
    </row>
    <row r="14" spans="1:25" x14ac:dyDescent="0.25">
      <c r="A14" s="18">
        <v>2</v>
      </c>
      <c r="B14" s="20" t="s">
        <v>64</v>
      </c>
      <c r="C14" s="20"/>
      <c r="D14" s="20"/>
      <c r="E14" s="20"/>
      <c r="F14" s="20"/>
      <c r="G14" s="20"/>
      <c r="H14" s="20"/>
      <c r="I14" s="20"/>
      <c r="J14" s="20"/>
      <c r="K14" s="20"/>
    </row>
    <row r="15" spans="1:25" x14ac:dyDescent="0.25">
      <c r="A15" s="18"/>
      <c r="B15" s="19" t="s">
        <v>43</v>
      </c>
      <c r="C15" s="20">
        <f>C11</f>
        <v>1</v>
      </c>
      <c r="D15" s="21">
        <v>1.83</v>
      </c>
      <c r="E15" s="21">
        <v>1.83</v>
      </c>
      <c r="F15" s="20"/>
      <c r="G15" s="21">
        <f>PRODUCT(C15:F15)</f>
        <v>3.3489000000000004</v>
      </c>
      <c r="H15" s="20"/>
      <c r="I15" s="20"/>
      <c r="J15" s="20"/>
      <c r="K15" s="20"/>
    </row>
    <row r="16" spans="1:25" ht="13.9" customHeight="1" x14ac:dyDescent="0.25">
      <c r="A16" s="12"/>
      <c r="B16" s="13" t="s">
        <v>16</v>
      </c>
      <c r="C16" s="14"/>
      <c r="D16" s="1"/>
      <c r="E16" s="15"/>
      <c r="F16" s="15"/>
      <c r="G16" s="2">
        <f>SUM(G15:G15)</f>
        <v>3.3489000000000004</v>
      </c>
      <c r="H16" s="16" t="s">
        <v>48</v>
      </c>
      <c r="I16" s="2">
        <v>1014.15</v>
      </c>
      <c r="J16" s="17">
        <f>G16*I16</f>
        <v>3396.2869350000005</v>
      </c>
      <c r="K16" s="15"/>
    </row>
    <row r="17" spans="1:11" x14ac:dyDescent="0.25">
      <c r="A17" s="18"/>
      <c r="B17" s="19" t="s">
        <v>65</v>
      </c>
      <c r="C17" s="20"/>
      <c r="D17" s="20"/>
      <c r="E17" s="20"/>
      <c r="F17" s="20"/>
      <c r="G17" s="20"/>
      <c r="H17" s="20"/>
      <c r="I17" s="20"/>
      <c r="J17" s="17">
        <f>0.13*G16*636.09</f>
        <v>276.92623413000007</v>
      </c>
      <c r="K17" s="20"/>
    </row>
    <row r="18" spans="1:11" x14ac:dyDescent="0.25">
      <c r="A18" s="18"/>
      <c r="B18" s="19" t="s">
        <v>44</v>
      </c>
      <c r="C18" s="20"/>
      <c r="D18" s="20"/>
      <c r="E18" s="20"/>
      <c r="F18" s="20"/>
      <c r="G18" s="20"/>
      <c r="H18" s="20"/>
      <c r="I18" s="20"/>
      <c r="J18" s="17">
        <f>0.13*G16*222.31</f>
        <v>96.784214670000011</v>
      </c>
      <c r="K18" s="20"/>
    </row>
    <row r="19" spans="1:11" x14ac:dyDescent="0.25">
      <c r="A19" s="18"/>
      <c r="B19" s="20"/>
      <c r="C19" s="20"/>
      <c r="D19" s="20"/>
      <c r="E19" s="20"/>
      <c r="F19" s="20"/>
      <c r="G19" s="20"/>
      <c r="H19" s="20"/>
      <c r="I19" s="20"/>
      <c r="J19" s="20"/>
      <c r="K19" s="20"/>
    </row>
    <row r="20" spans="1:11" x14ac:dyDescent="0.25">
      <c r="A20" s="18">
        <v>3</v>
      </c>
      <c r="B20" s="20" t="s">
        <v>45</v>
      </c>
      <c r="C20" s="20"/>
      <c r="D20" s="20"/>
      <c r="E20" s="20"/>
      <c r="F20" s="20"/>
      <c r="G20" s="20"/>
      <c r="H20" s="20"/>
      <c r="I20" s="20"/>
      <c r="J20" s="20"/>
      <c r="K20" s="20"/>
    </row>
    <row r="21" spans="1:11" x14ac:dyDescent="0.25">
      <c r="A21" s="18"/>
      <c r="B21" s="19" t="s">
        <v>51</v>
      </c>
      <c r="C21" s="20">
        <f>C15</f>
        <v>1</v>
      </c>
      <c r="D21" s="21">
        <v>1.83</v>
      </c>
      <c r="E21" s="21">
        <v>1.83</v>
      </c>
      <c r="F21" s="21">
        <v>0.1</v>
      </c>
      <c r="G21" s="21">
        <f>PRODUCT(C21:F21)</f>
        <v>0.33489000000000008</v>
      </c>
      <c r="H21" s="20"/>
      <c r="I21" s="20"/>
      <c r="J21" s="20"/>
      <c r="K21" s="20"/>
    </row>
    <row r="22" spans="1:11" ht="15" customHeight="1" x14ac:dyDescent="0.25">
      <c r="A22" s="12"/>
      <c r="B22" s="13" t="s">
        <v>16</v>
      </c>
      <c r="C22" s="14"/>
      <c r="D22" s="1"/>
      <c r="E22" s="15"/>
      <c r="F22" s="15"/>
      <c r="G22" s="2">
        <f>SUM(G21:G21)</f>
        <v>0.33489000000000008</v>
      </c>
      <c r="H22" s="16" t="s">
        <v>29</v>
      </c>
      <c r="I22" s="2">
        <v>13343.7</v>
      </c>
      <c r="J22" s="17">
        <f>G22*I22</f>
        <v>4468.6716930000011</v>
      </c>
      <c r="K22" s="15"/>
    </row>
    <row r="23" spans="1:11" x14ac:dyDescent="0.25">
      <c r="A23" s="18"/>
      <c r="B23" s="19" t="s">
        <v>44</v>
      </c>
      <c r="C23" s="20"/>
      <c r="D23" s="20"/>
      <c r="E23" s="20"/>
      <c r="F23" s="20"/>
      <c r="G23" s="20"/>
      <c r="H23" s="20"/>
      <c r="I23" s="20"/>
      <c r="J23" s="17">
        <f>0.13*G22*1413.27</f>
        <v>61.527698739000016</v>
      </c>
      <c r="K23" s="20"/>
    </row>
    <row r="24" spans="1:11" x14ac:dyDescent="0.25">
      <c r="A24" s="18"/>
      <c r="B24" s="19" t="s">
        <v>46</v>
      </c>
      <c r="C24" s="20"/>
      <c r="D24" s="20"/>
      <c r="E24" s="20"/>
      <c r="F24" s="20"/>
      <c r="G24" s="20"/>
      <c r="H24" s="20"/>
      <c r="I24" s="20"/>
      <c r="J24" s="17">
        <f>0.13*G22*4096</f>
        <v>178.32222720000004</v>
      </c>
      <c r="K24" s="20"/>
    </row>
    <row r="25" spans="1:11" x14ac:dyDescent="0.25">
      <c r="A25" s="18"/>
      <c r="B25" s="19" t="s">
        <v>47</v>
      </c>
      <c r="C25" s="20"/>
      <c r="D25" s="20"/>
      <c r="E25" s="20"/>
      <c r="F25" s="20"/>
      <c r="G25" s="20"/>
      <c r="H25" s="20"/>
      <c r="I25" s="20"/>
      <c r="J25" s="17">
        <f>0.13*G22*(368.76+737.51+1743.21)</f>
        <v>124.05410643600003</v>
      </c>
      <c r="K25" s="20"/>
    </row>
    <row r="26" spans="1:11" x14ac:dyDescent="0.25">
      <c r="A26" s="18"/>
      <c r="B26" s="20"/>
      <c r="C26" s="20"/>
      <c r="D26" s="20"/>
      <c r="E26" s="20"/>
      <c r="F26" s="20"/>
      <c r="G26" s="20"/>
      <c r="H26" s="20"/>
      <c r="I26" s="20"/>
      <c r="J26" s="20"/>
      <c r="K26" s="20"/>
    </row>
    <row r="27" spans="1:11" ht="30" x14ac:dyDescent="0.25">
      <c r="A27" s="18">
        <v>4</v>
      </c>
      <c r="B27" s="26" t="s">
        <v>66</v>
      </c>
      <c r="C27" s="20"/>
      <c r="D27" s="20"/>
      <c r="E27" s="20"/>
      <c r="F27" s="20"/>
      <c r="G27" s="20"/>
      <c r="H27" s="20"/>
      <c r="I27" s="20"/>
      <c r="J27" s="20"/>
      <c r="K27" s="20"/>
    </row>
    <row r="28" spans="1:11" x14ac:dyDescent="0.25">
      <c r="A28" s="18"/>
      <c r="B28" s="19" t="s">
        <v>49</v>
      </c>
      <c r="C28" s="20">
        <f>C15*2</f>
        <v>2</v>
      </c>
      <c r="D28" s="21">
        <v>1.37</v>
      </c>
      <c r="E28" s="21">
        <v>0.23</v>
      </c>
      <c r="F28" s="21">
        <v>0.6</v>
      </c>
      <c r="G28" s="21">
        <f>PRODUCT(C28:F28)</f>
        <v>0.37812000000000007</v>
      </c>
      <c r="H28" s="20"/>
      <c r="I28" s="20"/>
      <c r="J28" s="20"/>
      <c r="K28" s="20"/>
    </row>
    <row r="29" spans="1:11" x14ac:dyDescent="0.25">
      <c r="A29" s="18"/>
      <c r="B29" s="19" t="s">
        <v>50</v>
      </c>
      <c r="C29" s="20">
        <f>C15</f>
        <v>1</v>
      </c>
      <c r="D29" s="21">
        <v>1.47</v>
      </c>
      <c r="E29" s="21">
        <v>0.23</v>
      </c>
      <c r="F29" s="21">
        <v>0.6</v>
      </c>
      <c r="G29" s="21">
        <f>PRODUCT(C29:F29)</f>
        <v>0.20286000000000001</v>
      </c>
      <c r="H29" s="20"/>
      <c r="I29" s="20"/>
      <c r="J29" s="20"/>
      <c r="K29" s="20"/>
    </row>
    <row r="30" spans="1:11" x14ac:dyDescent="0.25">
      <c r="A30" s="18"/>
      <c r="B30" s="19" t="str">
        <f>B21</f>
        <v>-for stand tap</v>
      </c>
      <c r="C30" s="20">
        <f>C15</f>
        <v>1</v>
      </c>
      <c r="D30" s="21">
        <v>0.35</v>
      </c>
      <c r="E30" s="21">
        <v>0.23</v>
      </c>
      <c r="F30" s="21">
        <v>1.3</v>
      </c>
      <c r="G30" s="21">
        <f>PRODUCT(C30:F30)</f>
        <v>0.10465000000000001</v>
      </c>
      <c r="H30" s="20"/>
      <c r="I30" s="20"/>
      <c r="J30" s="20"/>
      <c r="K30" s="20"/>
    </row>
    <row r="31" spans="1:11" ht="15" customHeight="1" x14ac:dyDescent="0.25">
      <c r="A31" s="12"/>
      <c r="B31" s="13" t="s">
        <v>16</v>
      </c>
      <c r="C31" s="14"/>
      <c r="D31" s="1"/>
      <c r="E31" s="15"/>
      <c r="F31" s="15"/>
      <c r="G31" s="2">
        <f>SUM(G28:G30)</f>
        <v>0.68563000000000007</v>
      </c>
      <c r="H31" s="16" t="s">
        <v>29</v>
      </c>
      <c r="I31" s="2">
        <v>12225.55</v>
      </c>
      <c r="J31" s="17">
        <f>G31*I31</f>
        <v>8382.2038465000005</v>
      </c>
      <c r="K31" s="15"/>
    </row>
    <row r="32" spans="1:11" x14ac:dyDescent="0.25">
      <c r="A32" s="18"/>
      <c r="B32" s="19" t="s">
        <v>65</v>
      </c>
      <c r="C32" s="20"/>
      <c r="D32" s="20"/>
      <c r="E32" s="20"/>
      <c r="F32" s="20"/>
      <c r="G32" s="20"/>
      <c r="H32" s="20"/>
      <c r="I32" s="20"/>
      <c r="J32" s="17">
        <f>0.13*G31*8481.2</f>
        <v>755.94547028000022</v>
      </c>
      <c r="K32" s="20"/>
    </row>
    <row r="33" spans="1:11" x14ac:dyDescent="0.25">
      <c r="A33" s="18"/>
      <c r="B33" s="19" t="s">
        <v>46</v>
      </c>
      <c r="C33" s="20"/>
      <c r="D33" s="20"/>
      <c r="E33" s="20"/>
      <c r="F33" s="20"/>
      <c r="G33" s="20"/>
      <c r="H33" s="20"/>
      <c r="I33" s="20"/>
      <c r="J33" s="17">
        <f>0.13*G31*896</f>
        <v>79.862182400000009</v>
      </c>
      <c r="K33" s="20"/>
    </row>
    <row r="34" spans="1:11" x14ac:dyDescent="0.25">
      <c r="A34" s="18"/>
      <c r="B34" s="19" t="s">
        <v>44</v>
      </c>
      <c r="C34" s="20"/>
      <c r="D34" s="20"/>
      <c r="E34" s="20"/>
      <c r="F34" s="20"/>
      <c r="G34" s="20"/>
      <c r="H34" s="20"/>
      <c r="I34" s="20"/>
      <c r="J34" s="17">
        <f>0.13*G31*952.76</f>
        <v>84.921309044000012</v>
      </c>
      <c r="K34" s="20"/>
    </row>
    <row r="35" spans="1:11" x14ac:dyDescent="0.25">
      <c r="A35" s="18"/>
      <c r="B35" s="20"/>
      <c r="C35" s="20"/>
      <c r="D35" s="20"/>
      <c r="E35" s="20"/>
      <c r="F35" s="20"/>
      <c r="G35" s="20"/>
      <c r="H35" s="20"/>
      <c r="I35" s="20"/>
      <c r="J35" s="20"/>
      <c r="K35" s="20"/>
    </row>
    <row r="36" spans="1:11" x14ac:dyDescent="0.25">
      <c r="A36" s="18">
        <v>5</v>
      </c>
      <c r="B36" s="26" t="s">
        <v>56</v>
      </c>
      <c r="C36" s="20"/>
      <c r="D36" s="20"/>
      <c r="E36" s="20"/>
      <c r="F36" s="20"/>
      <c r="G36" s="20"/>
      <c r="H36" s="20"/>
      <c r="I36" s="20"/>
      <c r="J36" s="20"/>
      <c r="K36" s="20"/>
    </row>
    <row r="37" spans="1:11" x14ac:dyDescent="0.25">
      <c r="A37" s="18"/>
      <c r="B37" s="19" t="str">
        <f>B28</f>
        <v>-for wing walls of stand tap</v>
      </c>
      <c r="C37" s="20">
        <f>C15*4</f>
        <v>4</v>
      </c>
      <c r="D37" s="21">
        <v>1.37</v>
      </c>
      <c r="E37" s="21"/>
      <c r="F37" s="21">
        <v>0.6</v>
      </c>
      <c r="G37" s="21">
        <f>PRODUCT(C37:F37)</f>
        <v>3.2880000000000003</v>
      </c>
      <c r="H37" s="20"/>
      <c r="I37" s="20"/>
      <c r="J37" s="20"/>
      <c r="K37" s="20"/>
    </row>
    <row r="38" spans="1:11" x14ac:dyDescent="0.25">
      <c r="A38" s="18"/>
      <c r="B38" s="19" t="str">
        <f>B29</f>
        <v>-for side wall of stand tap</v>
      </c>
      <c r="C38" s="20">
        <f>C15</f>
        <v>1</v>
      </c>
      <c r="D38" s="21">
        <v>1.47</v>
      </c>
      <c r="E38" s="21"/>
      <c r="F38" s="21">
        <v>0.6</v>
      </c>
      <c r="G38" s="21">
        <f>PRODUCT(C38:F38)</f>
        <v>0.88200000000000001</v>
      </c>
      <c r="H38" s="20"/>
      <c r="I38" s="20"/>
      <c r="J38" s="20"/>
      <c r="K38" s="20"/>
    </row>
    <row r="39" spans="1:11" x14ac:dyDescent="0.25">
      <c r="A39" s="18"/>
      <c r="B39" s="19" t="str">
        <f>B30</f>
        <v>-for stand tap</v>
      </c>
      <c r="C39" s="20">
        <f>C15</f>
        <v>1</v>
      </c>
      <c r="D39" s="21">
        <v>0.35</v>
      </c>
      <c r="E39" s="21"/>
      <c r="F39" s="21">
        <v>1.3</v>
      </c>
      <c r="G39" s="21">
        <f>PRODUCT(C39:F39)</f>
        <v>0.45499999999999996</v>
      </c>
      <c r="H39" s="20"/>
      <c r="I39" s="20"/>
      <c r="J39" s="20"/>
      <c r="K39" s="20"/>
    </row>
    <row r="40" spans="1:11" x14ac:dyDescent="0.25">
      <c r="A40" s="18"/>
      <c r="B40" s="19"/>
      <c r="C40" s="20">
        <f>C39</f>
        <v>1</v>
      </c>
      <c r="D40" s="21">
        <v>0.46</v>
      </c>
      <c r="E40" s="21"/>
      <c r="F40" s="21">
        <v>0.70000000000000007</v>
      </c>
      <c r="G40" s="21">
        <f>PRODUCT(C40:F40)</f>
        <v>0.32200000000000006</v>
      </c>
      <c r="H40" s="20"/>
      <c r="I40" s="20"/>
      <c r="J40" s="20"/>
      <c r="K40" s="20"/>
    </row>
    <row r="41" spans="1:11" ht="15" customHeight="1" x14ac:dyDescent="0.25">
      <c r="A41" s="12"/>
      <c r="B41" s="13" t="s">
        <v>16</v>
      </c>
      <c r="C41" s="14"/>
      <c r="D41" s="1"/>
      <c r="E41" s="15"/>
      <c r="F41" s="15"/>
      <c r="G41" s="2">
        <f>SUM(G37:G40)</f>
        <v>4.9470000000000001</v>
      </c>
      <c r="H41" s="16" t="s">
        <v>48</v>
      </c>
      <c r="I41" s="2">
        <f>49954.32/100</f>
        <v>499.54320000000001</v>
      </c>
      <c r="J41" s="17">
        <f>G41*I41</f>
        <v>2471.2402104000003</v>
      </c>
      <c r="K41" s="15"/>
    </row>
    <row r="42" spans="1:11" x14ac:dyDescent="0.25">
      <c r="A42" s="18"/>
      <c r="B42" s="19" t="s">
        <v>44</v>
      </c>
      <c r="C42" s="20"/>
      <c r="D42" s="20"/>
      <c r="E42" s="20"/>
      <c r="F42" s="20"/>
      <c r="G42" s="20"/>
      <c r="H42" s="20"/>
      <c r="I42" s="20"/>
      <c r="J42" s="17">
        <f>0.13*G41*7463.32/100</f>
        <v>47.997357252</v>
      </c>
      <c r="K42" s="20"/>
    </row>
    <row r="43" spans="1:11" x14ac:dyDescent="0.25">
      <c r="A43" s="18"/>
      <c r="B43" s="19" t="s">
        <v>46</v>
      </c>
      <c r="C43" s="20"/>
      <c r="D43" s="20"/>
      <c r="E43" s="20"/>
      <c r="F43" s="20"/>
      <c r="G43" s="20"/>
      <c r="H43" s="20"/>
      <c r="I43" s="20"/>
      <c r="J43" s="17">
        <f>0.13*G41*7296/100</f>
        <v>46.921305600000004</v>
      </c>
      <c r="K43" s="20"/>
    </row>
    <row r="44" spans="1:11" x14ac:dyDescent="0.25">
      <c r="A44" s="18"/>
      <c r="B44" s="20"/>
      <c r="C44" s="20"/>
      <c r="D44" s="20"/>
      <c r="E44" s="20"/>
      <c r="F44" s="20"/>
      <c r="G44" s="20"/>
      <c r="H44" s="20"/>
      <c r="I44" s="20"/>
      <c r="J44" s="20"/>
      <c r="K44" s="20"/>
    </row>
    <row r="45" spans="1:11" x14ac:dyDescent="0.25">
      <c r="A45" s="18">
        <v>6</v>
      </c>
      <c r="B45" s="26" t="s">
        <v>57</v>
      </c>
      <c r="C45" s="20"/>
      <c r="D45" s="20"/>
      <c r="E45" s="20"/>
      <c r="F45" s="20"/>
      <c r="G45" s="20"/>
      <c r="H45" s="20"/>
      <c r="I45" s="20"/>
      <c r="J45" s="20"/>
      <c r="K45" s="20"/>
    </row>
    <row r="46" spans="1:11" x14ac:dyDescent="0.25">
      <c r="A46" s="18"/>
      <c r="B46" s="19" t="str">
        <f>B37</f>
        <v>-for wing walls of stand tap</v>
      </c>
      <c r="C46" s="20">
        <f>C37</f>
        <v>4</v>
      </c>
      <c r="D46" s="21">
        <f>D37</f>
        <v>1.37</v>
      </c>
      <c r="E46" s="21"/>
      <c r="F46" s="21">
        <f>F37</f>
        <v>0.6</v>
      </c>
      <c r="G46" s="21">
        <f>PRODUCT(C46:F46)</f>
        <v>3.2880000000000003</v>
      </c>
      <c r="H46" s="20"/>
      <c r="I46" s="20"/>
      <c r="J46" s="20"/>
      <c r="K46" s="20"/>
    </row>
    <row r="47" spans="1:11" x14ac:dyDescent="0.25">
      <c r="A47" s="18"/>
      <c r="B47" s="19" t="str">
        <f>B38</f>
        <v>-for side wall of stand tap</v>
      </c>
      <c r="C47" s="20">
        <f>C38</f>
        <v>1</v>
      </c>
      <c r="D47" s="21">
        <f>D38</f>
        <v>1.47</v>
      </c>
      <c r="E47" s="21"/>
      <c r="F47" s="21">
        <f>F38</f>
        <v>0.6</v>
      </c>
      <c r="G47" s="21">
        <f>PRODUCT(C47:F47)</f>
        <v>0.88200000000000001</v>
      </c>
      <c r="H47" s="20"/>
      <c r="I47" s="20"/>
      <c r="J47" s="20"/>
      <c r="K47" s="20"/>
    </row>
    <row r="48" spans="1:11" x14ac:dyDescent="0.25">
      <c r="A48" s="18"/>
      <c r="B48" s="19" t="str">
        <f>B39</f>
        <v>-for stand tap</v>
      </c>
      <c r="C48" s="20">
        <f>C39</f>
        <v>1</v>
      </c>
      <c r="D48" s="21">
        <f>D39</f>
        <v>0.35</v>
      </c>
      <c r="E48" s="21"/>
      <c r="F48" s="21">
        <f>F39</f>
        <v>1.3</v>
      </c>
      <c r="G48" s="21">
        <f>PRODUCT(C48:F48)</f>
        <v>0.45499999999999996</v>
      </c>
      <c r="H48" s="20"/>
      <c r="I48" s="20"/>
      <c r="J48" s="20"/>
      <c r="K48" s="20"/>
    </row>
    <row r="49" spans="1:25" x14ac:dyDescent="0.25">
      <c r="A49" s="18"/>
      <c r="B49" s="19"/>
      <c r="C49" s="20">
        <f>C40</f>
        <v>1</v>
      </c>
      <c r="D49" s="21">
        <f>D40</f>
        <v>0.46</v>
      </c>
      <c r="E49" s="21"/>
      <c r="F49" s="21">
        <f>F40</f>
        <v>0.70000000000000007</v>
      </c>
      <c r="G49" s="21">
        <f>PRODUCT(C49:F49)</f>
        <v>0.32200000000000006</v>
      </c>
      <c r="H49" s="20"/>
      <c r="I49" s="20"/>
      <c r="J49" s="20"/>
      <c r="K49" s="20"/>
    </row>
    <row r="50" spans="1:25" x14ac:dyDescent="0.25">
      <c r="A50" s="18"/>
      <c r="B50" s="19" t="s">
        <v>58</v>
      </c>
      <c r="C50" s="20">
        <f>C15</f>
        <v>1</v>
      </c>
      <c r="D50" s="21">
        <f>D46</f>
        <v>1.37</v>
      </c>
      <c r="E50" s="21">
        <v>1.6</v>
      </c>
      <c r="F50" s="21"/>
      <c r="G50" s="21">
        <f>PRODUCT(C50:F50)</f>
        <v>2.1920000000000002</v>
      </c>
      <c r="H50" s="20"/>
      <c r="I50" s="20"/>
      <c r="J50" s="20"/>
      <c r="K50" s="20"/>
    </row>
    <row r="51" spans="1:25" ht="15" customHeight="1" x14ac:dyDescent="0.25">
      <c r="A51" s="12"/>
      <c r="B51" s="13" t="s">
        <v>16</v>
      </c>
      <c r="C51" s="14"/>
      <c r="D51" s="1"/>
      <c r="E51" s="15"/>
      <c r="F51" s="15"/>
      <c r="G51" s="2">
        <f>SUM(G46:G50)</f>
        <v>7.1390000000000002</v>
      </c>
      <c r="H51" s="16" t="s">
        <v>48</v>
      </c>
      <c r="I51" s="2">
        <f>28609.6/100</f>
        <v>286.096</v>
      </c>
      <c r="J51" s="17">
        <f>G51*I51</f>
        <v>2042.4393440000001</v>
      </c>
      <c r="K51" s="15"/>
    </row>
    <row r="52" spans="1:25" x14ac:dyDescent="0.25">
      <c r="A52" s="18"/>
      <c r="B52" s="19" t="s">
        <v>46</v>
      </c>
      <c r="C52" s="20"/>
      <c r="D52" s="20"/>
      <c r="E52" s="20"/>
      <c r="F52" s="20"/>
      <c r="G52" s="20"/>
      <c r="H52" s="20"/>
      <c r="I52" s="20"/>
      <c r="J52" s="17">
        <f>0.13*G51*6809.6/100</f>
        <v>63.197854720000002</v>
      </c>
      <c r="K52" s="20"/>
    </row>
    <row r="53" spans="1:25" x14ac:dyDescent="0.25">
      <c r="A53" s="18"/>
      <c r="B53" s="20"/>
      <c r="C53" s="20"/>
      <c r="D53" s="20"/>
      <c r="E53" s="20"/>
      <c r="F53" s="20"/>
      <c r="G53" s="20"/>
      <c r="H53" s="20"/>
      <c r="I53" s="20"/>
      <c r="J53" s="20"/>
      <c r="K53" s="20"/>
    </row>
    <row r="54" spans="1:25" ht="30" x14ac:dyDescent="0.25">
      <c r="A54" s="18">
        <v>7</v>
      </c>
      <c r="B54" s="41" t="s">
        <v>59</v>
      </c>
      <c r="C54" s="20"/>
      <c r="D54" s="20"/>
      <c r="E54" s="20"/>
      <c r="F54" s="20"/>
      <c r="G54" s="20"/>
      <c r="H54" s="20"/>
      <c r="I54" s="20"/>
      <c r="J54" s="20"/>
      <c r="K54" s="20"/>
      <c r="S54" s="10"/>
      <c r="T54" s="10"/>
      <c r="U54" s="10"/>
      <c r="V54" s="10"/>
      <c r="W54" s="10"/>
      <c r="X54" s="10"/>
      <c r="Y54" s="10"/>
    </row>
    <row r="55" spans="1:25" x14ac:dyDescent="0.25">
      <c r="A55" s="18"/>
      <c r="B55" s="19" t="s">
        <v>36</v>
      </c>
      <c r="C55" s="20">
        <f>C15</f>
        <v>1</v>
      </c>
      <c r="D55" s="21">
        <v>1.3</v>
      </c>
      <c r="E55" s="20"/>
      <c r="F55" s="20"/>
      <c r="G55" s="21">
        <f>PRODUCT(C55:F55)</f>
        <v>1.3</v>
      </c>
      <c r="H55" s="20"/>
      <c r="I55" s="20"/>
      <c r="J55" s="17"/>
      <c r="K55" s="20"/>
    </row>
    <row r="56" spans="1:25" s="10" customFormat="1" x14ac:dyDescent="0.25">
      <c r="A56" s="12"/>
      <c r="B56" s="42" t="s">
        <v>28</v>
      </c>
      <c r="C56" s="14"/>
      <c r="D56" s="1"/>
      <c r="E56" s="15"/>
      <c r="F56" s="15"/>
      <c r="G56" s="43">
        <f>SUM(G55:G55)</f>
        <v>1.3</v>
      </c>
      <c r="H56" s="16" t="s">
        <v>37</v>
      </c>
      <c r="I56" s="2">
        <v>248</v>
      </c>
      <c r="J56" s="43">
        <f>G56*I56</f>
        <v>322.40000000000003</v>
      </c>
      <c r="K56" s="15"/>
      <c r="S56" s="9"/>
      <c r="T56" s="9"/>
      <c r="U56" s="9"/>
      <c r="V56" s="9"/>
      <c r="W56" s="9"/>
      <c r="X56" s="9"/>
      <c r="Y56" s="9"/>
    </row>
    <row r="57" spans="1:25" x14ac:dyDescent="0.25">
      <c r="A57" s="18"/>
      <c r="B57" s="19" t="s">
        <v>60</v>
      </c>
      <c r="C57" s="20"/>
      <c r="D57" s="20"/>
      <c r="E57" s="20"/>
      <c r="F57" s="20"/>
      <c r="G57" s="20"/>
      <c r="H57" s="20"/>
      <c r="I57" s="20"/>
      <c r="J57" s="17">
        <f>0.13*J56</f>
        <v>41.912000000000006</v>
      </c>
      <c r="K57" s="20"/>
      <c r="S57" s="10"/>
      <c r="T57" s="10"/>
      <c r="U57" s="10"/>
      <c r="V57" s="10"/>
      <c r="W57" s="10"/>
      <c r="X57" s="10"/>
      <c r="Y57" s="10"/>
    </row>
    <row r="58" spans="1:25" x14ac:dyDescent="0.25">
      <c r="A58" s="18"/>
      <c r="B58" s="41"/>
      <c r="C58" s="20"/>
      <c r="D58" s="20"/>
      <c r="E58" s="20"/>
      <c r="F58" s="20"/>
      <c r="G58" s="20"/>
      <c r="H58" s="20"/>
      <c r="I58" s="20"/>
      <c r="J58" s="20"/>
      <c r="K58" s="20"/>
    </row>
    <row r="59" spans="1:25" ht="15.75" x14ac:dyDescent="0.25">
      <c r="A59" s="5" t="s">
        <v>42</v>
      </c>
      <c r="B59" s="6" t="s">
        <v>41</v>
      </c>
      <c r="C59" s="5"/>
      <c r="D59" s="7"/>
      <c r="E59" s="7"/>
      <c r="F59" s="7"/>
      <c r="G59" s="7"/>
      <c r="H59" s="5"/>
      <c r="I59" s="7"/>
      <c r="J59" s="7"/>
      <c r="K59" s="8"/>
    </row>
    <row r="60" spans="1:25" ht="168" x14ac:dyDescent="0.25">
      <c r="A60" s="18">
        <v>8</v>
      </c>
      <c r="B60" s="41" t="s">
        <v>69</v>
      </c>
      <c r="C60" s="20"/>
      <c r="D60" s="20"/>
      <c r="E60" s="20"/>
      <c r="F60" s="20"/>
      <c r="G60" s="20"/>
      <c r="H60" s="20"/>
      <c r="I60" s="20"/>
      <c r="J60" s="17"/>
      <c r="K60" s="20"/>
      <c r="S60" s="10"/>
      <c r="T60" s="10"/>
      <c r="U60" s="10"/>
      <c r="V60" s="10"/>
      <c r="W60" s="10"/>
      <c r="X60" s="10"/>
      <c r="Y60" s="10"/>
    </row>
    <row r="61" spans="1:25" x14ac:dyDescent="0.25">
      <c r="A61" s="18"/>
      <c r="B61" s="19" t="s">
        <v>70</v>
      </c>
      <c r="C61" s="20">
        <v>1</v>
      </c>
      <c r="D61" s="21">
        <v>100</v>
      </c>
      <c r="E61" s="20">
        <v>0.15</v>
      </c>
      <c r="F61" s="20">
        <v>0.45</v>
      </c>
      <c r="G61" s="21">
        <f>PRODUCT(C61:F61)</f>
        <v>6.75</v>
      </c>
      <c r="H61" s="20"/>
      <c r="I61" s="20"/>
      <c r="J61" s="17"/>
      <c r="K61" s="20"/>
    </row>
    <row r="62" spans="1:25" s="10" customFormat="1" x14ac:dyDescent="0.25">
      <c r="A62" s="12"/>
      <c r="B62" s="42" t="s">
        <v>28</v>
      </c>
      <c r="C62" s="14"/>
      <c r="D62" s="1"/>
      <c r="E62" s="15"/>
      <c r="F62" s="15"/>
      <c r="G62" s="43">
        <f>SUM(G61:G61)</f>
        <v>6.75</v>
      </c>
      <c r="H62" s="16" t="s">
        <v>29</v>
      </c>
      <c r="I62" s="2">
        <v>748.9</v>
      </c>
      <c r="J62" s="43">
        <f>G62*I62</f>
        <v>5055.0749999999998</v>
      </c>
      <c r="K62" s="15"/>
      <c r="S62" s="9"/>
      <c r="T62" s="9"/>
      <c r="U62" s="9"/>
      <c r="V62" s="9"/>
      <c r="W62" s="9"/>
      <c r="X62" s="9"/>
      <c r="Y62" s="9"/>
    </row>
    <row r="63" spans="1:25" x14ac:dyDescent="0.25">
      <c r="A63" s="18"/>
      <c r="B63" s="19"/>
      <c r="C63" s="20"/>
      <c r="D63" s="20"/>
      <c r="E63" s="20"/>
      <c r="F63" s="20"/>
      <c r="G63" s="20"/>
      <c r="H63" s="20"/>
      <c r="I63" s="20"/>
      <c r="J63" s="17"/>
      <c r="K63" s="20"/>
    </row>
    <row r="64" spans="1:25" ht="30" x14ac:dyDescent="0.25">
      <c r="A64" s="18">
        <v>9</v>
      </c>
      <c r="B64" s="41" t="s">
        <v>71</v>
      </c>
      <c r="C64" s="20"/>
      <c r="D64" s="20"/>
      <c r="E64" s="20"/>
      <c r="F64" s="20"/>
      <c r="G64" s="20"/>
      <c r="H64" s="20"/>
      <c r="I64" s="20"/>
      <c r="J64" s="20"/>
      <c r="K64" s="20"/>
      <c r="S64" s="10"/>
      <c r="T64" s="10"/>
      <c r="U64" s="10"/>
      <c r="V64" s="10"/>
      <c r="W64" s="10"/>
      <c r="X64" s="10"/>
      <c r="Y64" s="10"/>
    </row>
    <row r="65" spans="1:25" x14ac:dyDescent="0.25">
      <c r="A65" s="18"/>
      <c r="B65" s="19" t="s">
        <v>36</v>
      </c>
      <c r="C65" s="20">
        <v>1</v>
      </c>
      <c r="D65" s="21">
        <f>D61</f>
        <v>100</v>
      </c>
      <c r="E65" s="20"/>
      <c r="F65" s="20"/>
      <c r="G65" s="21">
        <f>PRODUCT(C65:F65)</f>
        <v>100</v>
      </c>
      <c r="H65" s="20"/>
      <c r="I65" s="20"/>
      <c r="J65" s="17"/>
      <c r="K65" s="20"/>
    </row>
    <row r="66" spans="1:25" s="10" customFormat="1" x14ac:dyDescent="0.25">
      <c r="A66" s="12"/>
      <c r="B66" s="42" t="s">
        <v>28</v>
      </c>
      <c r="C66" s="14"/>
      <c r="D66" s="1"/>
      <c r="E66" s="15"/>
      <c r="F66" s="15"/>
      <c r="G66" s="43">
        <f>SUM(G65:G65)</f>
        <v>100</v>
      </c>
      <c r="H66" s="16" t="s">
        <v>37</v>
      </c>
      <c r="I66" s="2">
        <f>5319.5/1000</f>
        <v>5.3194999999999997</v>
      </c>
      <c r="J66" s="43">
        <f>G66*I66</f>
        <v>531.94999999999993</v>
      </c>
      <c r="K66" s="15"/>
      <c r="S66" s="9"/>
      <c r="T66" s="9"/>
      <c r="U66" s="9"/>
      <c r="V66" s="9"/>
      <c r="W66" s="9"/>
      <c r="X66" s="9"/>
      <c r="Y66" s="9"/>
    </row>
    <row r="67" spans="1:25" x14ac:dyDescent="0.25">
      <c r="A67" s="18"/>
      <c r="B67" s="41"/>
      <c r="C67" s="20"/>
      <c r="D67" s="20"/>
      <c r="E67" s="20"/>
      <c r="F67" s="20"/>
      <c r="G67" s="20"/>
      <c r="H67" s="20"/>
      <c r="I67" s="20"/>
      <c r="J67" s="20"/>
      <c r="K67" s="20"/>
      <c r="S67" s="10"/>
      <c r="T67" s="10"/>
      <c r="U67" s="10"/>
      <c r="V67" s="10"/>
      <c r="W67" s="10"/>
      <c r="X67" s="10"/>
      <c r="Y67" s="10"/>
    </row>
    <row r="68" spans="1:25" ht="45" x14ac:dyDescent="0.25">
      <c r="A68" s="18">
        <v>10</v>
      </c>
      <c r="B68" s="45" t="s">
        <v>30</v>
      </c>
      <c r="C68" s="20"/>
      <c r="D68" s="26" t="s">
        <v>27</v>
      </c>
      <c r="E68" s="26" t="s">
        <v>31</v>
      </c>
      <c r="F68" s="26" t="s">
        <v>32</v>
      </c>
      <c r="G68" s="20"/>
      <c r="H68" s="20"/>
      <c r="I68" s="20"/>
      <c r="J68" s="17"/>
      <c r="K68" s="20"/>
    </row>
    <row r="69" spans="1:25" s="10" customFormat="1" ht="30" x14ac:dyDescent="0.25">
      <c r="A69" s="18"/>
      <c r="B69" s="46" t="s">
        <v>72</v>
      </c>
      <c r="C69" s="27">
        <f>C65</f>
        <v>1</v>
      </c>
      <c r="D69" s="36">
        <f>D65</f>
        <v>100</v>
      </c>
      <c r="E69" s="27">
        <v>0.33800000000000002</v>
      </c>
      <c r="F69" s="27">
        <f>C69*D69*E69</f>
        <v>33.800000000000004</v>
      </c>
      <c r="G69" s="36">
        <f>F69</f>
        <v>33.800000000000004</v>
      </c>
      <c r="H69" s="27"/>
      <c r="I69" s="27"/>
      <c r="J69" s="16"/>
      <c r="K69" s="27"/>
      <c r="S69" s="9"/>
      <c r="T69" s="9"/>
      <c r="U69" s="9"/>
      <c r="V69" s="9"/>
      <c r="W69" s="9"/>
      <c r="X69" s="9"/>
      <c r="Y69" s="9"/>
    </row>
    <row r="70" spans="1:25" ht="15" customHeight="1" x14ac:dyDescent="0.25">
      <c r="A70" s="12"/>
      <c r="B70" s="13" t="s">
        <v>16</v>
      </c>
      <c r="C70" s="14"/>
      <c r="D70" s="1"/>
      <c r="E70" s="15"/>
      <c r="F70" s="15"/>
      <c r="G70" s="2">
        <f>SUM(G69:G69)</f>
        <v>33.800000000000004</v>
      </c>
      <c r="H70" s="16" t="s">
        <v>33</v>
      </c>
      <c r="I70" s="2">
        <v>287</v>
      </c>
      <c r="J70" s="17">
        <f>G70*I70</f>
        <v>9700.6</v>
      </c>
      <c r="K70" s="15"/>
    </row>
    <row r="71" spans="1:25" x14ac:dyDescent="0.25">
      <c r="A71" s="18"/>
      <c r="B71" s="19" t="s">
        <v>35</v>
      </c>
      <c r="C71" s="20"/>
      <c r="D71" s="20"/>
      <c r="E71" s="20"/>
      <c r="F71" s="20"/>
      <c r="G71" s="20"/>
      <c r="H71" s="20"/>
      <c r="I71" s="20"/>
      <c r="J71" s="17">
        <f>0.13*J70</f>
        <v>1261.0780000000002</v>
      </c>
      <c r="K71" s="20"/>
    </row>
    <row r="72" spans="1:25" x14ac:dyDescent="0.25">
      <c r="A72" s="18"/>
      <c r="B72" s="20"/>
      <c r="C72" s="20"/>
      <c r="D72" s="20"/>
      <c r="E72" s="20"/>
      <c r="F72" s="20"/>
      <c r="G72" s="20"/>
      <c r="H72" s="20"/>
      <c r="I72" s="20"/>
      <c r="J72" s="20"/>
      <c r="K72" s="20"/>
    </row>
    <row r="73" spans="1:25" s="10" customFormat="1" ht="30" x14ac:dyDescent="0.25">
      <c r="A73" s="12">
        <v>11</v>
      </c>
      <c r="B73" s="44" t="s">
        <v>38</v>
      </c>
      <c r="C73" s="14">
        <v>1</v>
      </c>
      <c r="D73" s="1"/>
      <c r="E73" s="15"/>
      <c r="F73" s="15"/>
      <c r="G73" s="43">
        <f>PRODUCT(C73:F73)</f>
        <v>1</v>
      </c>
      <c r="H73" s="16" t="s">
        <v>39</v>
      </c>
      <c r="I73" s="2">
        <v>2000</v>
      </c>
      <c r="J73" s="43">
        <f>G73*I73</f>
        <v>2000</v>
      </c>
      <c r="K73" s="15"/>
      <c r="S73" s="9"/>
      <c r="T73" s="9"/>
      <c r="U73" s="9"/>
      <c r="V73" s="9"/>
      <c r="W73" s="9"/>
      <c r="X73" s="9"/>
      <c r="Y73" s="9"/>
    </row>
    <row r="74" spans="1:25" x14ac:dyDescent="0.25">
      <c r="A74" s="18"/>
      <c r="B74" s="41"/>
      <c r="C74" s="20"/>
      <c r="D74" s="20"/>
      <c r="E74" s="20"/>
      <c r="F74" s="20"/>
      <c r="G74" s="20"/>
      <c r="H74" s="20"/>
      <c r="I74" s="20"/>
      <c r="J74" s="20"/>
      <c r="K74" s="20"/>
    </row>
    <row r="75" spans="1:25" ht="15" customHeight="1" x14ac:dyDescent="0.25">
      <c r="A75" s="12">
        <v>12</v>
      </c>
      <c r="B75" s="28" t="s">
        <v>17</v>
      </c>
      <c r="C75" s="14">
        <v>1</v>
      </c>
      <c r="D75" s="1"/>
      <c r="E75" s="15"/>
      <c r="F75" s="15"/>
      <c r="G75" s="16">
        <f>PRODUCT(C75:F75)</f>
        <v>1</v>
      </c>
      <c r="H75" s="16" t="s">
        <v>18</v>
      </c>
      <c r="I75" s="2">
        <v>500</v>
      </c>
      <c r="J75" s="16">
        <f>G75*I75</f>
        <v>500</v>
      </c>
      <c r="K75" s="15"/>
    </row>
    <row r="76" spans="1:25" x14ac:dyDescent="0.25">
      <c r="A76" s="12"/>
      <c r="B76" s="29"/>
      <c r="C76" s="14"/>
      <c r="D76" s="1"/>
      <c r="E76" s="15"/>
      <c r="F76" s="15"/>
      <c r="G76" s="2"/>
      <c r="H76" s="16"/>
      <c r="I76" s="2"/>
      <c r="J76" s="17"/>
      <c r="K76" s="15"/>
    </row>
    <row r="77" spans="1:25" x14ac:dyDescent="0.25">
      <c r="A77" s="30"/>
      <c r="B77" s="31" t="s">
        <v>20</v>
      </c>
      <c r="C77" s="32"/>
      <c r="D77" s="33"/>
      <c r="E77" s="33"/>
      <c r="F77" s="33"/>
      <c r="G77" s="17"/>
      <c r="H77" s="17"/>
      <c r="I77" s="17"/>
      <c r="J77" s="17">
        <f>SUM(J9:J75)</f>
        <v>42474.090711121004</v>
      </c>
      <c r="K77" s="34"/>
      <c r="S77" s="10"/>
      <c r="T77" s="10"/>
      <c r="U77" s="10"/>
      <c r="V77" s="10"/>
      <c r="W77" s="10"/>
      <c r="X77" s="10"/>
      <c r="Y77" s="10"/>
    </row>
    <row r="79" spans="1:25" s="10" customFormat="1" x14ac:dyDescent="0.25">
      <c r="A79" s="35"/>
      <c r="B79" s="27" t="s">
        <v>19</v>
      </c>
      <c r="C79" s="47">
        <f>J77</f>
        <v>42474.090711121004</v>
      </c>
      <c r="D79" s="48"/>
      <c r="E79" s="36">
        <v>100</v>
      </c>
      <c r="F79" s="35"/>
      <c r="G79" s="37"/>
      <c r="H79" s="35"/>
      <c r="I79" s="38"/>
      <c r="J79" s="39"/>
      <c r="K79" s="40"/>
      <c r="S79" s="9"/>
      <c r="T79" s="9"/>
      <c r="U79" s="9"/>
      <c r="V79" s="9"/>
      <c r="W79" s="9"/>
      <c r="X79" s="9"/>
      <c r="Y79" s="9"/>
    </row>
    <row r="80" spans="1:25" x14ac:dyDescent="0.25">
      <c r="B80" s="27" t="s">
        <v>21</v>
      </c>
      <c r="C80" s="49">
        <v>37500</v>
      </c>
      <c r="D80" s="50"/>
      <c r="E80" s="36"/>
    </row>
    <row r="81" spans="2:5" x14ac:dyDescent="0.25">
      <c r="B81" s="27" t="s">
        <v>22</v>
      </c>
      <c r="C81" s="49">
        <f>C80-C83-C84</f>
        <v>35625</v>
      </c>
      <c r="D81" s="50"/>
      <c r="E81" s="36">
        <f>C81/C79*100</f>
        <v>83.874661949319361</v>
      </c>
    </row>
    <row r="82" spans="2:5" x14ac:dyDescent="0.25">
      <c r="B82" s="27" t="s">
        <v>26</v>
      </c>
      <c r="C82" s="51">
        <f>C79-C81</f>
        <v>6849.0907111210036</v>
      </c>
      <c r="D82" s="51"/>
      <c r="E82" s="36">
        <f>100-E81</f>
        <v>16.125338050680639</v>
      </c>
    </row>
    <row r="83" spans="2:5" x14ac:dyDescent="0.25">
      <c r="B83" s="27" t="s">
        <v>23</v>
      </c>
      <c r="C83" s="47">
        <f>C80*0.03</f>
        <v>1125</v>
      </c>
      <c r="D83" s="48"/>
      <c r="E83" s="36">
        <v>3</v>
      </c>
    </row>
    <row r="84" spans="2:5" x14ac:dyDescent="0.25">
      <c r="B84" s="27" t="s">
        <v>24</v>
      </c>
      <c r="C84" s="47">
        <f>C80*0.02</f>
        <v>750</v>
      </c>
      <c r="D84" s="48"/>
      <c r="E84" s="36">
        <v>2</v>
      </c>
    </row>
  </sheetData>
  <mergeCells count="15">
    <mergeCell ref="A7:F7"/>
    <mergeCell ref="H7:K7"/>
    <mergeCell ref="A1:K1"/>
    <mergeCell ref="A2:K2"/>
    <mergeCell ref="A3:K3"/>
    <mergeCell ref="A4:K4"/>
    <mergeCell ref="A5:K5"/>
    <mergeCell ref="A6:F6"/>
    <mergeCell ref="H6:K6"/>
    <mergeCell ref="C84:D84"/>
    <mergeCell ref="C79:D79"/>
    <mergeCell ref="C80:D80"/>
    <mergeCell ref="C81:D81"/>
    <mergeCell ref="C82:D82"/>
    <mergeCell ref="C83:D83"/>
  </mergeCells>
  <pageMargins left="0.7" right="0.7" top="0.75" bottom="0.75" header="0.3" footer="0.3"/>
  <pageSetup scale="8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F933D-53F8-42A1-BB32-49F166256DBB}">
  <dimension ref="B8:G77"/>
  <sheetViews>
    <sheetView workbookViewId="0">
      <selection activeCell="G14" sqref="G14"/>
    </sheetView>
  </sheetViews>
  <sheetFormatPr defaultRowHeight="15" x14ac:dyDescent="0.25"/>
  <cols>
    <col min="2" max="2" width="6.42578125" style="9" bestFit="1" customWidth="1"/>
    <col min="3" max="3" width="7.42578125" style="9" bestFit="1" customWidth="1"/>
    <col min="4" max="5" width="8.42578125" style="9" bestFit="1" customWidth="1"/>
    <col min="6" max="6" width="9.140625" style="9"/>
    <col min="7" max="7" width="16.5703125" style="9" customWidth="1"/>
  </cols>
  <sheetData>
    <row r="8" spans="2:7" x14ac:dyDescent="0.25">
      <c r="B8" s="10"/>
      <c r="C8" s="10"/>
      <c r="D8" s="10"/>
      <c r="E8" s="10"/>
      <c r="F8" s="10"/>
      <c r="G8" s="10"/>
    </row>
    <row r="18" spans="2:7" x14ac:dyDescent="0.25">
      <c r="B18" s="9" t="s">
        <v>52</v>
      </c>
    </row>
    <row r="19" spans="2:7" x14ac:dyDescent="0.25">
      <c r="B19" s="9" t="s">
        <v>53</v>
      </c>
      <c r="C19" s="9" t="s">
        <v>9</v>
      </c>
      <c r="D19" s="9" t="s">
        <v>61</v>
      </c>
      <c r="E19" s="9" t="s">
        <v>54</v>
      </c>
      <c r="F19" s="9" t="s">
        <v>55</v>
      </c>
      <c r="G19" s="9" t="s">
        <v>67</v>
      </c>
    </row>
    <row r="20" spans="2:7" x14ac:dyDescent="0.25">
      <c r="B20" s="11">
        <f>6/3.281</f>
        <v>1.8287107589149649</v>
      </c>
      <c r="C20" s="11">
        <f>6/3.281</f>
        <v>1.8287107589149649</v>
      </c>
      <c r="D20" s="11">
        <v>0.23</v>
      </c>
      <c r="E20" s="11">
        <f>TRUNC(2/3.281,1)</f>
        <v>0.6</v>
      </c>
      <c r="F20" s="11">
        <f>TRUNC(4.5/3.281,1)</f>
        <v>1.3</v>
      </c>
      <c r="G20" s="11">
        <f>1.17/3.281</f>
        <v>0.35659859798841814</v>
      </c>
    </row>
    <row r="54" spans="2:7" x14ac:dyDescent="0.25">
      <c r="B54" s="10"/>
      <c r="C54" s="10"/>
      <c r="D54" s="10"/>
      <c r="E54" s="10"/>
      <c r="F54" s="10"/>
      <c r="G54" s="10"/>
    </row>
    <row r="57" spans="2:7" x14ac:dyDescent="0.25">
      <c r="B57" s="10"/>
      <c r="C57" s="10"/>
      <c r="D57" s="10"/>
      <c r="E57" s="10"/>
      <c r="F57" s="10"/>
      <c r="G57" s="10"/>
    </row>
    <row r="60" spans="2:7" x14ac:dyDescent="0.25">
      <c r="B60" s="10"/>
      <c r="C60" s="10"/>
      <c r="D60" s="10"/>
      <c r="E60" s="10"/>
      <c r="F60" s="10"/>
      <c r="G60" s="10"/>
    </row>
    <row r="64" spans="2:7" x14ac:dyDescent="0.25">
      <c r="B64" s="10"/>
      <c r="C64" s="10"/>
      <c r="D64" s="10"/>
      <c r="E64" s="10"/>
      <c r="F64" s="10"/>
      <c r="G64" s="10"/>
    </row>
    <row r="67" spans="2:7" x14ac:dyDescent="0.25">
      <c r="B67" s="10"/>
      <c r="C67" s="10"/>
      <c r="D67" s="10"/>
      <c r="E67" s="10"/>
      <c r="F67" s="10"/>
      <c r="G67" s="10"/>
    </row>
    <row r="77" spans="2:7" x14ac:dyDescent="0.25">
      <c r="B77" s="10"/>
      <c r="C77" s="10"/>
      <c r="D77" s="10"/>
      <c r="E77" s="10"/>
      <c r="F77" s="10"/>
      <c r="G77" s="10"/>
    </row>
  </sheetData>
  <sheetProtection algorithmName="SHA-512" hashValue="UasVC9GSftWb5uy9CJpbBvvuVPVbhNGYLzQkJGkMLpMaxQSwiY/HjYdpL4E2qZLhWUUr1RDCCLzaRKEzJlYsHQ==" saltValue="ZRXMmJ20ZvmnRaWSchYt7A==" spinCount="100000"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Named Ranges</vt:lpstr>
      </vt:variant>
      <vt:variant>
        <vt:i4>1</vt:i4>
      </vt:variant>
    </vt:vector>
  </HeadingPairs>
  <TitlesOfParts>
    <vt:vector size="3" baseType="lpstr">
      <vt:lpstr>estimate</vt:lpstr>
      <vt:lpstr>Sheet1</vt:lpstr>
      <vt:lpstr>estimate!Print_Area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2026-03-19T07:18:52Z</dcterms:modified>
</cp:coreProperties>
</file>