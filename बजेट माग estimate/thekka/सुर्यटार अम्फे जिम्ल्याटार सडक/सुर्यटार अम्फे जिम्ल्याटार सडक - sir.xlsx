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55B8652C-4AF0-44EA-8592-D7253F0EC881}" xr6:coauthVersionLast="47" xr6:coauthVersionMax="47" xr10:uidLastSave="{00000000-0000-0000-0000-000000000000}"/>
  <bookViews>
    <workbookView xWindow="-120" yWindow="-120" windowWidth="20730" windowHeight="11040" xr2:uid="{00000000-000D-0000-FFFF-FFFF00000000}"/>
  </bookViews>
  <sheets>
    <sheet name="estimate" sheetId="15"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estimate!$A$1:$K$56</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8" i="15" l="1"/>
  <c r="I40" i="15"/>
  <c r="I32" i="15"/>
  <c r="I27" i="15"/>
  <c r="I17" i="15"/>
  <c r="D46" i="15"/>
  <c r="B46" i="15"/>
  <c r="E23" i="15"/>
  <c r="E38" i="15" s="1"/>
  <c r="D23" i="15"/>
  <c r="D38" i="15" s="1"/>
  <c r="C23" i="15"/>
  <c r="B23" i="15"/>
  <c r="B38" i="15" s="1"/>
  <c r="F13" i="15"/>
  <c r="D26" i="15"/>
  <c r="D31" i="15" s="1"/>
  <c r="E26" i="15"/>
  <c r="E31" i="15" s="1"/>
  <c r="E25" i="15"/>
  <c r="E30" i="15" s="1"/>
  <c r="C26" i="15"/>
  <c r="C25" i="15"/>
  <c r="B26" i="15"/>
  <c r="B31" i="15" s="1"/>
  <c r="B25" i="15"/>
  <c r="B30" i="15" s="1"/>
  <c r="G16" i="15"/>
  <c r="D15" i="15"/>
  <c r="F12" i="15"/>
  <c r="F11" i="15"/>
  <c r="D11" i="15"/>
  <c r="E11" i="15"/>
  <c r="D12" i="15"/>
  <c r="E12" i="15"/>
  <c r="D36" i="15"/>
  <c r="D21" i="15" s="1"/>
  <c r="E36" i="15"/>
  <c r="D37" i="15"/>
  <c r="D22" i="15" s="1"/>
  <c r="E37" i="15"/>
  <c r="E45" i="15"/>
  <c r="G45" i="15" s="1"/>
  <c r="E44" i="15"/>
  <c r="G44" i="15" s="1"/>
  <c r="G52" i="15"/>
  <c r="J52" i="15" s="1"/>
  <c r="G50" i="15"/>
  <c r="J50" i="15" s="1"/>
  <c r="F47" i="15"/>
  <c r="E43" i="15"/>
  <c r="G43" i="15" s="1"/>
  <c r="E35" i="15"/>
  <c r="E20" i="15" s="1"/>
  <c r="D35" i="15"/>
  <c r="E24" i="15"/>
  <c r="E39" i="15" s="1"/>
  <c r="D24" i="15"/>
  <c r="D39" i="15" s="1"/>
  <c r="D47" i="15" s="1"/>
  <c r="C24" i="15"/>
  <c r="B24" i="15"/>
  <c r="B39" i="15" s="1"/>
  <c r="B47" i="15" s="1"/>
  <c r="B20" i="15"/>
  <c r="B35" i="15" s="1"/>
  <c r="B43" i="15" s="1"/>
  <c r="F14" i="15"/>
  <c r="G14" i="15" s="1"/>
  <c r="E10" i="15"/>
  <c r="D10" i="15"/>
  <c r="G13" i="15" l="1"/>
  <c r="F46" i="15"/>
  <c r="G46" i="15" s="1"/>
  <c r="G23" i="15"/>
  <c r="C38" i="15"/>
  <c r="G38" i="15" s="1"/>
  <c r="G31" i="15"/>
  <c r="G15" i="15"/>
  <c r="D25" i="15"/>
  <c r="G26" i="15"/>
  <c r="G11" i="15"/>
  <c r="G12" i="15"/>
  <c r="E22" i="15"/>
  <c r="G22" i="15" s="1"/>
  <c r="G37" i="15"/>
  <c r="E21" i="15"/>
  <c r="G21" i="15" s="1"/>
  <c r="G36" i="15"/>
  <c r="G10" i="15"/>
  <c r="G35" i="15"/>
  <c r="D20" i="15"/>
  <c r="G20" i="15" s="1"/>
  <c r="C39" i="15"/>
  <c r="G24" i="15"/>
  <c r="G25" i="15" l="1"/>
  <c r="G27" i="15" s="1"/>
  <c r="D30" i="15"/>
  <c r="G30" i="15" s="1"/>
  <c r="G32" i="15" s="1"/>
  <c r="J32" i="15" s="1"/>
  <c r="G17" i="15"/>
  <c r="G39" i="15"/>
  <c r="G40" i="15" s="1"/>
  <c r="C47" i="15"/>
  <c r="G47" i="15" s="1"/>
  <c r="G48" i="15" s="1"/>
  <c r="J17" i="15" l="1"/>
  <c r="J27" i="15"/>
  <c r="J40" i="15"/>
  <c r="J48" i="15"/>
  <c r="J54" i="15" l="1"/>
  <c r="C56" i="15" s="1"/>
</calcChain>
</file>

<file path=xl/sharedStrings.xml><?xml version="1.0" encoding="utf-8"?>
<sst xmlns="http://schemas.openxmlformats.org/spreadsheetml/2006/main" count="46" uniqueCount="37">
  <si>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</si>
  <si>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</si>
  <si>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</si>
  <si>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</si>
  <si>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</si>
  <si>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</si>
  <si>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</si>
  <si>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</si>
  <si>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</si>
  <si>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</si>
  <si>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</si>
  <si>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</si>
  <si>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</si>
  <si>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</si>
  <si>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</si>
  <si>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</si>
  <si>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</si>
  <si>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</si>
  <si>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</si>
  <si>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</si>
  <si>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</si>
  <si>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</si>
  <si>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</si>
  <si>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</si>
  <si>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</si>
  <si>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-for plum wall</t>
  </si>
  <si>
    <t>Providing and laying Plum concrete ( Boulder mixed concrete) including form work and 110mm dia PN6 HDPE pipe for Weep hole as per Drawing and Specifications, 60% M 15  concrete and 40% boulders/stones, using Mechanical Aids</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</si>
  <si>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</si>
  <si>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</si>
  <si>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-for drain</t>
  </si>
  <si>
    <t>Provisional sum for lab tests</t>
  </si>
  <si>
    <t xml:space="preserve">Date: 2082        </t>
  </si>
  <si>
    <t>-for road section 1</t>
  </si>
  <si>
    <t>-for road section 2</t>
  </si>
  <si>
    <t>Providing and laying of Plain/Reinforced Cement Concrete in Foundation complete as per Drawing and Technical Specifications., RCC Grade M 20</t>
  </si>
  <si>
    <t>-for mangaal</t>
  </si>
  <si>
    <r>
      <t xml:space="preserve">Project:- </t>
    </r>
    <r>
      <rPr>
        <b/>
        <sz val="14"/>
        <rFont val="Preeti"/>
      </rPr>
      <t>;'o{6f/ cDk]m lhDNof6f/ ;8s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</si>
</sst>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4"/>
      <name val="Preeti"/>
    </font>
    <font>
      <sz val="8"/>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47">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1" fontId="4" fillId="0" borderId="2" xfId="0" applyNumberFormat="1" applyFont="1" applyBorder="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2B2F9-83ED-48E0-B993-453621BB5461}">
  <dimension ref="A1:K56"/>
  <sheetViews>
    <sheetView tabSelected="1" view="pageBreakPreview" topLeftCell="A45" zoomScale="95" zoomScaleNormal="90" zoomScaleSheetLayoutView="95" workbookViewId="0">
      <selection activeCell="I42" sqref="I42"/>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customWidth="1"/>
    <col min="11" max="16384" width="9.140625" style="19"/>
  </cols>
  <sheetData>
    <row r="1" spans="1:11" x14ac:dyDescent="0.25">
      <c r="A1" s="39" t="s">
        <v>0</v>
      </c>
      <c r="B1" s="39"/>
      <c r="C1" s="39"/>
      <c r="D1" s="39"/>
      <c r="E1" s="39"/>
      <c r="F1" s="39"/>
      <c r="G1" s="39"/>
      <c r="H1" s="39"/>
      <c r="I1" s="39"/>
      <c r="J1" s="39"/>
      <c r="K1" s="39"/>
    </row>
    <row r="2" spans="1:11" ht="22.5" x14ac:dyDescent="0.25">
      <c r="A2" s="40" t="s">
        <v>1</v>
      </c>
      <c r="B2" s="40"/>
      <c r="C2" s="40"/>
      <c r="D2" s="40"/>
      <c r="E2" s="40"/>
      <c r="F2" s="40"/>
      <c r="G2" s="40"/>
      <c r="H2" s="40"/>
      <c r="I2" s="40"/>
      <c r="J2" s="40"/>
      <c r="K2" s="40"/>
    </row>
    <row r="3" spans="1:11" x14ac:dyDescent="0.25">
      <c r="A3" s="41" t="s">
        <v>2</v>
      </c>
      <c r="B3" s="41"/>
      <c r="C3" s="41"/>
      <c r="D3" s="41"/>
      <c r="E3" s="41"/>
      <c r="F3" s="41"/>
      <c r="G3" s="41"/>
      <c r="H3" s="41"/>
      <c r="I3" s="41"/>
      <c r="J3" s="41"/>
      <c r="K3" s="41"/>
    </row>
    <row r="4" spans="1:11" x14ac:dyDescent="0.25">
      <c r="A4" s="41" t="s">
        <v>3</v>
      </c>
      <c r="B4" s="41"/>
      <c r="C4" s="41"/>
      <c r="D4" s="41"/>
      <c r="E4" s="41"/>
      <c r="F4" s="41"/>
      <c r="G4" s="41"/>
      <c r="H4" s="41"/>
      <c r="I4" s="41"/>
      <c r="J4" s="41"/>
      <c r="K4" s="41"/>
    </row>
    <row r="5" spans="1:11" ht="18.75" x14ac:dyDescent="0.3">
      <c r="A5" s="42" t="s">
        <v>4</v>
      </c>
      <c r="B5" s="42"/>
      <c r="C5" s="42"/>
      <c r="D5" s="42"/>
      <c r="E5" s="42"/>
      <c r="F5" s="42"/>
      <c r="G5" s="42"/>
      <c r="H5" s="42"/>
      <c r="I5" s="42"/>
      <c r="J5" s="42"/>
      <c r="K5" s="42"/>
    </row>
    <row r="6" spans="1:11" ht="18" x14ac:dyDescent="0.25">
      <c r="A6" s="37" t="s">
        <v>36</v>
      </c>
      <c r="B6" s="37"/>
      <c r="C6" s="37"/>
      <c r="D6" s="37"/>
      <c r="E6" s="37"/>
      <c r="F6" s="37"/>
      <c r="G6" s="10"/>
      <c r="H6" s="38" t="s">
        <v>22</v>
      </c>
      <c r="I6" s="38"/>
      <c r="J6" s="38"/>
      <c r="K6" s="38"/>
    </row>
    <row r="7" spans="1:11" ht="15.75" x14ac:dyDescent="0.25">
      <c r="A7" s="45" t="s">
        <v>27</v>
      </c>
      <c r="B7" s="45"/>
      <c r="C7" s="45"/>
      <c r="D7" s="45"/>
      <c r="E7" s="45"/>
      <c r="F7" s="45"/>
      <c r="G7" s="11"/>
      <c r="H7" s="46" t="s">
        <v>31</v>
      </c>
      <c r="I7" s="46"/>
      <c r="J7" s="46"/>
      <c r="K7" s="46"/>
    </row>
    <row r="8" spans="1:11" ht="15.75" x14ac:dyDescent="0.25">
      <c r="A8" s="12" t="s">
        <v>5</v>
      </c>
      <c r="B8" s="13" t="s">
        <v>6</v>
      </c>
      <c r="C8" s="12" t="s">
        <v>7</v>
      </c>
      <c r="D8" s="14" t="s">
        <v>8</v>
      </c>
      <c r="E8" s="14" t="s">
        <v>9</v>
      </c>
      <c r="F8" s="14" t="s">
        <v>10</v>
      </c>
      <c r="G8" s="14" t="s">
        <v>11</v>
      </c>
      <c r="H8" s="12" t="s">
        <v>12</v>
      </c>
      <c r="I8" s="14" t="s">
        <v>13</v>
      </c>
      <c r="J8" s="14" t="s">
        <v>14</v>
      </c>
      <c r="K8" s="15" t="s">
        <v>15</v>
      </c>
    </row>
    <row r="9" spans="1:11" ht="157.5" x14ac:dyDescent="0.25">
      <c r="A9" s="16">
        <v>1</v>
      </c>
      <c r="B9" s="35" t="s">
        <v>28</v>
      </c>
      <c r="C9" s="17"/>
      <c r="D9" s="17"/>
      <c r="E9" s="17"/>
      <c r="F9" s="17"/>
      <c r="G9" s="17"/>
      <c r="H9" s="17"/>
      <c r="I9" s="17"/>
      <c r="J9" s="17"/>
      <c r="K9" s="17"/>
    </row>
    <row r="10" spans="1:11" x14ac:dyDescent="0.25">
      <c r="A10" s="16"/>
      <c r="B10" s="32" t="s">
        <v>25</v>
      </c>
      <c r="C10" s="36">
        <v>0.5</v>
      </c>
      <c r="D10" s="33">
        <f>D43</f>
        <v>5.5</v>
      </c>
      <c r="E10" s="33">
        <f>F43/2</f>
        <v>2</v>
      </c>
      <c r="F10" s="33">
        <v>1.5</v>
      </c>
      <c r="G10" s="33">
        <f>PRODUCT(C10:F10)</f>
        <v>8.25</v>
      </c>
      <c r="H10" s="17"/>
      <c r="I10" s="17"/>
      <c r="J10" s="17"/>
      <c r="K10" s="17"/>
    </row>
    <row r="11" spans="1:11" x14ac:dyDescent="0.25">
      <c r="A11" s="16"/>
      <c r="B11" s="32"/>
      <c r="C11" s="36">
        <v>0.5</v>
      </c>
      <c r="D11" s="33">
        <f t="shared" ref="D11:D12" si="0">D44</f>
        <v>6</v>
      </c>
      <c r="E11" s="33">
        <f t="shared" ref="E11:E12" si="1">F44/2</f>
        <v>1.1499999999999999</v>
      </c>
      <c r="F11" s="33">
        <f>2.5/2</f>
        <v>1.25</v>
      </c>
      <c r="G11" s="33">
        <f t="shared" ref="G11:G13" si="2">PRODUCT(C11:F11)</f>
        <v>4.3125</v>
      </c>
      <c r="H11" s="17"/>
      <c r="I11" s="17"/>
      <c r="J11" s="17"/>
      <c r="K11" s="17"/>
    </row>
    <row r="12" spans="1:11" x14ac:dyDescent="0.25">
      <c r="A12" s="16"/>
      <c r="B12" s="32"/>
      <c r="C12" s="36">
        <v>0.5</v>
      </c>
      <c r="D12" s="33">
        <f t="shared" si="0"/>
        <v>5</v>
      </c>
      <c r="E12" s="33">
        <f t="shared" si="1"/>
        <v>1.25</v>
      </c>
      <c r="F12" s="33">
        <f>3.5/2</f>
        <v>1.75</v>
      </c>
      <c r="G12" s="33">
        <f t="shared" si="2"/>
        <v>5.46875</v>
      </c>
      <c r="H12" s="17"/>
      <c r="I12" s="17"/>
      <c r="J12" s="17"/>
      <c r="K12" s="17"/>
    </row>
    <row r="13" spans="1:11" x14ac:dyDescent="0.25">
      <c r="A13" s="16"/>
      <c r="B13" s="32" t="s">
        <v>35</v>
      </c>
      <c r="C13" s="36">
        <v>1</v>
      </c>
      <c r="D13" s="33">
        <v>2</v>
      </c>
      <c r="E13" s="33">
        <v>2</v>
      </c>
      <c r="F13" s="33">
        <f>3.5/3.281</f>
        <v>1.0667479427003961</v>
      </c>
      <c r="G13" s="33">
        <f t="shared" si="2"/>
        <v>4.2669917708015843</v>
      </c>
      <c r="H13" s="17"/>
      <c r="I13" s="17"/>
      <c r="J13" s="17"/>
      <c r="K13" s="17"/>
    </row>
    <row r="14" spans="1:11" x14ac:dyDescent="0.25">
      <c r="A14" s="16"/>
      <c r="B14" s="32" t="s">
        <v>29</v>
      </c>
      <c r="C14" s="17">
        <v>1</v>
      </c>
      <c r="D14" s="33">
        <v>10</v>
      </c>
      <c r="E14" s="33">
        <v>0.9</v>
      </c>
      <c r="F14" s="33">
        <f>1.17/3.281</f>
        <v>0.35659859798841814</v>
      </c>
      <c r="G14" s="33">
        <f>PRODUCT(C14:F14)</f>
        <v>3.2093873818957634</v>
      </c>
      <c r="H14" s="17"/>
      <c r="I14" s="17"/>
      <c r="J14" s="17"/>
      <c r="K14" s="17"/>
    </row>
    <row r="15" spans="1:11" x14ac:dyDescent="0.25">
      <c r="A15" s="16"/>
      <c r="B15" s="32" t="s">
        <v>32</v>
      </c>
      <c r="C15" s="17">
        <v>1</v>
      </c>
      <c r="D15" s="33">
        <f>5</f>
        <v>5</v>
      </c>
      <c r="E15" s="33">
        <v>5</v>
      </c>
      <c r="F15" s="33">
        <v>0.15</v>
      </c>
      <c r="G15" s="33">
        <f>PRODUCT(C15:F15)</f>
        <v>3.75</v>
      </c>
      <c r="H15" s="17"/>
      <c r="I15" s="17"/>
      <c r="J15" s="17"/>
      <c r="K15" s="17"/>
    </row>
    <row r="16" spans="1:11" x14ac:dyDescent="0.25">
      <c r="A16" s="16"/>
      <c r="B16" s="32" t="s">
        <v>33</v>
      </c>
      <c r="C16" s="17">
        <v>1</v>
      </c>
      <c r="D16" s="33">
        <v>9</v>
      </c>
      <c r="E16" s="33">
        <v>7</v>
      </c>
      <c r="F16" s="33">
        <v>0.15</v>
      </c>
      <c r="G16" s="33">
        <f>PRODUCT(C16:F16)</f>
        <v>9.4499999999999993</v>
      </c>
      <c r="H16" s="17"/>
      <c r="I16" s="17"/>
      <c r="J16" s="17"/>
      <c r="K16" s="17"/>
    </row>
    <row r="17" spans="1:11" ht="15" customHeight="1" x14ac:dyDescent="0.25">
      <c r="A17" s="2"/>
      <c r="B17" s="34" t="s">
        <v>16</v>
      </c>
      <c r="C17" s="3"/>
      <c r="D17" s="4"/>
      <c r="E17" s="5"/>
      <c r="F17" s="5"/>
      <c r="G17" s="6">
        <f>SUM(G10:G16)</f>
        <v>38.707629152697351</v>
      </c>
      <c r="H17" s="7" t="s">
        <v>17</v>
      </c>
      <c r="I17" s="6">
        <f>1.15*62.95</f>
        <v>72.392499999999998</v>
      </c>
      <c r="J17" s="18">
        <f>G17*I17</f>
        <v>2802.1420434366428</v>
      </c>
      <c r="K17" s="5"/>
    </row>
    <row r="18" spans="1:11" x14ac:dyDescent="0.25">
      <c r="A18" s="16"/>
      <c r="B18" s="17"/>
      <c r="C18" s="17"/>
      <c r="D18" s="17"/>
      <c r="E18" s="17"/>
      <c r="F18" s="17"/>
      <c r="G18" s="17"/>
      <c r="H18" s="17"/>
      <c r="I18" s="17"/>
      <c r="J18" s="17"/>
      <c r="K18" s="17"/>
    </row>
    <row r="19" spans="1:11" ht="110.25" x14ac:dyDescent="0.25">
      <c r="A19" s="16">
        <v>2</v>
      </c>
      <c r="B19" s="35" t="s">
        <v>23</v>
      </c>
      <c r="C19" s="17"/>
      <c r="D19" s="17"/>
      <c r="E19" s="17"/>
      <c r="F19" s="17"/>
      <c r="G19" s="17"/>
      <c r="H19" s="17"/>
      <c r="I19" s="17"/>
      <c r="J19" s="17"/>
      <c r="K19" s="17"/>
    </row>
    <row r="20" spans="1:11" x14ac:dyDescent="0.25">
      <c r="A20" s="16"/>
      <c r="B20" s="32" t="str">
        <f>B10</f>
        <v>-for plum wall</v>
      </c>
      <c r="C20" s="17">
        <v>1</v>
      </c>
      <c r="D20" s="33">
        <f>D35</f>
        <v>5.5</v>
      </c>
      <c r="E20" s="33">
        <f>E35</f>
        <v>2</v>
      </c>
      <c r="F20" s="33">
        <v>0.15</v>
      </c>
      <c r="G20" s="33">
        <f>PRODUCT(C20:F20)</f>
        <v>1.65</v>
      </c>
      <c r="H20" s="17"/>
      <c r="I20" s="17"/>
      <c r="J20" s="17"/>
      <c r="K20" s="17"/>
    </row>
    <row r="21" spans="1:11" x14ac:dyDescent="0.25">
      <c r="A21" s="16"/>
      <c r="B21" s="32"/>
      <c r="C21" s="17">
        <v>1</v>
      </c>
      <c r="D21" s="33">
        <f t="shared" ref="D21:E21" si="3">D36</f>
        <v>6</v>
      </c>
      <c r="E21" s="33">
        <f t="shared" si="3"/>
        <v>1.1499999999999999</v>
      </c>
      <c r="F21" s="33">
        <v>0.15</v>
      </c>
      <c r="G21" s="33">
        <f t="shared" ref="G21:G23" si="4">PRODUCT(C21:F21)</f>
        <v>1.0349999999999999</v>
      </c>
      <c r="H21" s="17"/>
      <c r="I21" s="17"/>
      <c r="J21" s="17"/>
      <c r="K21" s="17"/>
    </row>
    <row r="22" spans="1:11" x14ac:dyDescent="0.25">
      <c r="A22" s="16"/>
      <c r="B22" s="32"/>
      <c r="C22" s="17">
        <v>1</v>
      </c>
      <c r="D22" s="33">
        <f t="shared" ref="D22:E22" si="5">D37</f>
        <v>5</v>
      </c>
      <c r="E22" s="33">
        <f t="shared" si="5"/>
        <v>1.25</v>
      </c>
      <c r="F22" s="33">
        <v>0.15</v>
      </c>
      <c r="G22" s="33">
        <f t="shared" si="4"/>
        <v>0.9375</v>
      </c>
      <c r="H22" s="17"/>
      <c r="I22" s="17"/>
      <c r="J22" s="17"/>
      <c r="K22" s="17"/>
    </row>
    <row r="23" spans="1:11" x14ac:dyDescent="0.25">
      <c r="A23" s="16"/>
      <c r="B23" s="32" t="str">
        <f>B13</f>
        <v>-for mangaal</v>
      </c>
      <c r="C23" s="36">
        <f>C13</f>
        <v>1</v>
      </c>
      <c r="D23" s="33">
        <f>D13</f>
        <v>2</v>
      </c>
      <c r="E23" s="33">
        <f>E13</f>
        <v>2</v>
      </c>
      <c r="F23" s="33">
        <v>0.15</v>
      </c>
      <c r="G23" s="33">
        <f t="shared" si="4"/>
        <v>0.6</v>
      </c>
      <c r="H23" s="17"/>
      <c r="I23" s="17"/>
      <c r="J23" s="17"/>
      <c r="K23" s="17"/>
    </row>
    <row r="24" spans="1:11" x14ac:dyDescent="0.25">
      <c r="A24" s="16"/>
      <c r="B24" s="32" t="str">
        <f>B14</f>
        <v>-for drain</v>
      </c>
      <c r="C24" s="17">
        <f>C14</f>
        <v>1</v>
      </c>
      <c r="D24" s="33">
        <f>D14</f>
        <v>10</v>
      </c>
      <c r="E24" s="33">
        <f>E14</f>
        <v>0.9</v>
      </c>
      <c r="F24" s="33">
        <v>0.15</v>
      </c>
      <c r="G24" s="33">
        <f>PRODUCT(C24:F24)</f>
        <v>1.3499999999999999</v>
      </c>
      <c r="H24" s="17"/>
      <c r="I24" s="17"/>
      <c r="J24" s="17"/>
      <c r="K24" s="17"/>
    </row>
    <row r="25" spans="1:11" x14ac:dyDescent="0.25">
      <c r="A25" s="16"/>
      <c r="B25" s="32" t="str">
        <f>B15</f>
        <v>-for road section 1</v>
      </c>
      <c r="C25" s="17">
        <f>C15</f>
        <v>1</v>
      </c>
      <c r="D25" s="33">
        <f>D15</f>
        <v>5</v>
      </c>
      <c r="E25" s="33">
        <f>E15</f>
        <v>5</v>
      </c>
      <c r="F25" s="33">
        <v>0.15</v>
      </c>
      <c r="G25" s="33">
        <f>PRODUCT(C25:F25)</f>
        <v>3.75</v>
      </c>
      <c r="H25" s="17"/>
      <c r="I25" s="17"/>
      <c r="J25" s="17"/>
      <c r="K25" s="17"/>
    </row>
    <row r="26" spans="1:11" x14ac:dyDescent="0.25">
      <c r="A26" s="16"/>
      <c r="B26" s="32" t="str">
        <f>B16</f>
        <v>-for road section 2</v>
      </c>
      <c r="C26" s="17">
        <f>C16</f>
        <v>1</v>
      </c>
      <c r="D26" s="33">
        <f>D16</f>
        <v>9</v>
      </c>
      <c r="E26" s="33">
        <f>E16</f>
        <v>7</v>
      </c>
      <c r="F26" s="33">
        <v>0.15</v>
      </c>
      <c r="G26" s="33">
        <f>PRODUCT(C26:F26)</f>
        <v>9.4499999999999993</v>
      </c>
      <c r="H26" s="17"/>
      <c r="I26" s="17"/>
      <c r="J26" s="17"/>
      <c r="K26" s="17"/>
    </row>
    <row r="27" spans="1:11" ht="15" customHeight="1" x14ac:dyDescent="0.25">
      <c r="A27" s="2"/>
      <c r="B27" s="34" t="s">
        <v>16</v>
      </c>
      <c r="C27" s="3"/>
      <c r="D27" s="4"/>
      <c r="E27" s="5"/>
      <c r="F27" s="5"/>
      <c r="G27" s="6">
        <f>SUM(G20:G26)</f>
        <v>18.772499999999997</v>
      </c>
      <c r="H27" s="7" t="s">
        <v>17</v>
      </c>
      <c r="I27" s="6">
        <f>1.15*4458.52</f>
        <v>5127.2979999999998</v>
      </c>
      <c r="J27" s="18">
        <f>G27*I27</f>
        <v>96252.201704999985</v>
      </c>
      <c r="K27" s="5"/>
    </row>
    <row r="28" spans="1:11" x14ac:dyDescent="0.25">
      <c r="A28" s="16"/>
      <c r="B28" s="32"/>
      <c r="C28" s="17"/>
      <c r="D28" s="17"/>
      <c r="E28" s="17"/>
      <c r="F28" s="17"/>
      <c r="G28" s="17"/>
      <c r="H28" s="17"/>
      <c r="I28" s="17"/>
      <c r="J28" s="18"/>
      <c r="K28" s="17"/>
    </row>
    <row r="29" spans="1:11" ht="94.5" x14ac:dyDescent="0.25">
      <c r="A29" s="16">
        <v>3</v>
      </c>
      <c r="B29" s="35" t="s">
        <v>34</v>
      </c>
      <c r="C29" s="17"/>
      <c r="D29" s="17"/>
      <c r="E29" s="17"/>
      <c r="F29" s="17"/>
      <c r="G29" s="17"/>
      <c r="H29" s="17"/>
      <c r="I29" s="17"/>
      <c r="J29" s="17"/>
      <c r="K29" s="17"/>
    </row>
    <row r="30" spans="1:11" x14ac:dyDescent="0.25">
      <c r="A30" s="16"/>
      <c r="B30" s="32" t="str">
        <f>B25</f>
        <v>-for road section 1</v>
      </c>
      <c r="C30" s="17">
        <v>1</v>
      </c>
      <c r="D30" s="33">
        <f>D25</f>
        <v>5</v>
      </c>
      <c r="E30" s="33">
        <f>E25</f>
        <v>5</v>
      </c>
      <c r="F30" s="33">
        <v>0.15</v>
      </c>
      <c r="G30" s="33">
        <f t="shared" ref="G30:G31" si="6">PRODUCT(C30:F30)</f>
        <v>3.75</v>
      </c>
      <c r="H30" s="17"/>
      <c r="I30" s="17"/>
      <c r="J30" s="17"/>
      <c r="K30" s="17"/>
    </row>
    <row r="31" spans="1:11" x14ac:dyDescent="0.25">
      <c r="A31" s="16"/>
      <c r="B31" s="32" t="str">
        <f>B26</f>
        <v>-for road section 2</v>
      </c>
      <c r="C31" s="17">
        <v>1</v>
      </c>
      <c r="D31" s="33">
        <f>D26</f>
        <v>9</v>
      </c>
      <c r="E31" s="33">
        <f>E26</f>
        <v>7</v>
      </c>
      <c r="F31" s="33">
        <v>0.15</v>
      </c>
      <c r="G31" s="33">
        <f t="shared" si="6"/>
        <v>9.4499999999999993</v>
      </c>
      <c r="H31" s="17"/>
      <c r="I31" s="17"/>
      <c r="J31" s="17"/>
      <c r="K31" s="17"/>
    </row>
    <row r="32" spans="1:11" ht="15" customHeight="1" x14ac:dyDescent="0.25">
      <c r="A32" s="2"/>
      <c r="B32" s="34" t="s">
        <v>16</v>
      </c>
      <c r="C32" s="3"/>
      <c r="D32" s="4"/>
      <c r="E32" s="5"/>
      <c r="F32" s="5"/>
      <c r="G32" s="6">
        <f>SUM(G30:G31)</f>
        <v>13.2</v>
      </c>
      <c r="H32" s="7" t="s">
        <v>17</v>
      </c>
      <c r="I32" s="6">
        <f>1.15*12000.5</f>
        <v>13800.574999999999</v>
      </c>
      <c r="J32" s="18">
        <f>G32*I32</f>
        <v>182167.58999999997</v>
      </c>
      <c r="K32" s="5"/>
    </row>
    <row r="33" spans="1:11" ht="15.75" x14ac:dyDescent="0.25">
      <c r="A33" s="16"/>
      <c r="B33" s="35"/>
      <c r="C33" s="17"/>
      <c r="D33" s="17"/>
      <c r="E33" s="17"/>
      <c r="F33" s="17"/>
      <c r="G33" s="17"/>
      <c r="H33" s="17"/>
      <c r="I33" s="17"/>
      <c r="J33" s="17"/>
      <c r="K33" s="17"/>
    </row>
    <row r="34" spans="1:11" ht="94.5" x14ac:dyDescent="0.25">
      <c r="A34" s="16">
        <v>4</v>
      </c>
      <c r="B34" s="35" t="s">
        <v>24</v>
      </c>
      <c r="C34" s="17"/>
      <c r="D34" s="17"/>
      <c r="E34" s="17"/>
      <c r="F34" s="17"/>
      <c r="G34" s="17"/>
      <c r="H34" s="17"/>
      <c r="I34" s="17"/>
      <c r="J34" s="17"/>
      <c r="K34" s="17"/>
    </row>
    <row r="35" spans="1:11" x14ac:dyDescent="0.25">
      <c r="A35" s="16"/>
      <c r="B35" s="32" t="str">
        <f>B20</f>
        <v>-for plum wall</v>
      </c>
      <c r="C35" s="17">
        <v>1</v>
      </c>
      <c r="D35" s="33">
        <f>D43</f>
        <v>5.5</v>
      </c>
      <c r="E35" s="33">
        <f>F43/2</f>
        <v>2</v>
      </c>
      <c r="F35" s="33">
        <v>0.05</v>
      </c>
      <c r="G35" s="33">
        <f>PRODUCT(C35:F35)</f>
        <v>0.55000000000000004</v>
      </c>
      <c r="H35" s="17"/>
      <c r="I35" s="17"/>
      <c r="J35" s="17"/>
      <c r="K35" s="17"/>
    </row>
    <row r="36" spans="1:11" x14ac:dyDescent="0.25">
      <c r="A36" s="16"/>
      <c r="B36" s="32"/>
      <c r="C36" s="17">
        <v>1</v>
      </c>
      <c r="D36" s="33">
        <f t="shared" ref="D36:D37" si="7">D44</f>
        <v>6</v>
      </c>
      <c r="E36" s="33">
        <f t="shared" ref="E36:E37" si="8">F44/2</f>
        <v>1.1499999999999999</v>
      </c>
      <c r="F36" s="33">
        <v>0.05</v>
      </c>
      <c r="G36" s="33">
        <f t="shared" ref="G36:G38" si="9">PRODUCT(C36:F36)</f>
        <v>0.34499999999999997</v>
      </c>
      <c r="H36" s="17"/>
      <c r="I36" s="17"/>
      <c r="J36" s="17"/>
      <c r="K36" s="17"/>
    </row>
    <row r="37" spans="1:11" x14ac:dyDescent="0.25">
      <c r="A37" s="16"/>
      <c r="B37" s="32"/>
      <c r="C37" s="17">
        <v>1</v>
      </c>
      <c r="D37" s="33">
        <f t="shared" si="7"/>
        <v>5</v>
      </c>
      <c r="E37" s="33">
        <f t="shared" si="8"/>
        <v>1.25</v>
      </c>
      <c r="F37" s="33">
        <v>0.05</v>
      </c>
      <c r="G37" s="33">
        <f t="shared" si="9"/>
        <v>0.3125</v>
      </c>
      <c r="H37" s="17"/>
      <c r="I37" s="17"/>
      <c r="J37" s="17"/>
      <c r="K37" s="17"/>
    </row>
    <row r="38" spans="1:11" x14ac:dyDescent="0.25">
      <c r="A38" s="16"/>
      <c r="B38" s="32" t="str">
        <f t="shared" ref="B38:E39" si="10">B23</f>
        <v>-for mangaal</v>
      </c>
      <c r="C38" s="36">
        <f t="shared" si="10"/>
        <v>1</v>
      </c>
      <c r="D38" s="33">
        <f t="shared" si="10"/>
        <v>2</v>
      </c>
      <c r="E38" s="33">
        <f t="shared" si="10"/>
        <v>2</v>
      </c>
      <c r="F38" s="33">
        <v>0.1</v>
      </c>
      <c r="G38" s="33">
        <f t="shared" si="9"/>
        <v>0.4</v>
      </c>
      <c r="H38" s="17"/>
      <c r="I38" s="17"/>
      <c r="J38" s="17"/>
      <c r="K38" s="17"/>
    </row>
    <row r="39" spans="1:11" x14ac:dyDescent="0.25">
      <c r="A39" s="16"/>
      <c r="B39" s="32" t="str">
        <f t="shared" si="10"/>
        <v>-for drain</v>
      </c>
      <c r="C39" s="17">
        <f t="shared" si="10"/>
        <v>1</v>
      </c>
      <c r="D39" s="33">
        <f t="shared" si="10"/>
        <v>10</v>
      </c>
      <c r="E39" s="33">
        <f t="shared" si="10"/>
        <v>0.9</v>
      </c>
      <c r="F39" s="33">
        <v>0.1</v>
      </c>
      <c r="G39" s="33">
        <f>PRODUCT(C39:F39)</f>
        <v>0.9</v>
      </c>
      <c r="H39" s="17"/>
      <c r="I39" s="17"/>
      <c r="J39" s="17"/>
      <c r="K39" s="17"/>
    </row>
    <row r="40" spans="1:11" ht="15" customHeight="1" x14ac:dyDescent="0.25">
      <c r="A40" s="2"/>
      <c r="B40" s="34" t="s">
        <v>16</v>
      </c>
      <c r="C40" s="3"/>
      <c r="D40" s="4"/>
      <c r="E40" s="5"/>
      <c r="F40" s="5"/>
      <c r="G40" s="6">
        <f>SUM(G35:G39)</f>
        <v>2.5074999999999998</v>
      </c>
      <c r="H40" s="7" t="s">
        <v>17</v>
      </c>
      <c r="I40" s="6">
        <f>1.15*10964.46</f>
        <v>12609.128999999997</v>
      </c>
      <c r="J40" s="18">
        <f>G40*I40</f>
        <v>31617.390967499992</v>
      </c>
      <c r="K40" s="5"/>
    </row>
    <row r="41" spans="1:11" x14ac:dyDescent="0.25">
      <c r="A41" s="16"/>
      <c r="B41" s="17"/>
      <c r="C41" s="17"/>
      <c r="D41" s="17"/>
      <c r="E41" s="17"/>
      <c r="F41" s="17"/>
      <c r="G41" s="17"/>
      <c r="H41" s="17"/>
      <c r="I41" s="17"/>
      <c r="J41" s="17"/>
      <c r="K41" s="17"/>
    </row>
    <row r="42" spans="1:11" ht="141.75" x14ac:dyDescent="0.25">
      <c r="A42" s="16">
        <v>5</v>
      </c>
      <c r="B42" s="35" t="s">
        <v>26</v>
      </c>
      <c r="C42" s="17"/>
      <c r="D42" s="17"/>
      <c r="E42" s="17"/>
      <c r="F42" s="17"/>
      <c r="G42" s="17"/>
      <c r="H42" s="17"/>
      <c r="I42" s="17"/>
      <c r="J42" s="17"/>
      <c r="K42" s="17"/>
    </row>
    <row r="43" spans="1:11" x14ac:dyDescent="0.25">
      <c r="A43" s="16"/>
      <c r="B43" s="32" t="str">
        <f>B35</f>
        <v>-for plum wall</v>
      </c>
      <c r="C43" s="17">
        <v>1</v>
      </c>
      <c r="D43" s="33">
        <v>5.5</v>
      </c>
      <c r="E43" s="33">
        <f>((F43/2)+0.45)/2</f>
        <v>1.2250000000000001</v>
      </c>
      <c r="F43" s="33">
        <v>4</v>
      </c>
      <c r="G43" s="33">
        <f>PRODUCT(C43:F43)</f>
        <v>26.950000000000003</v>
      </c>
      <c r="H43" s="17"/>
      <c r="I43" s="17"/>
      <c r="J43" s="17"/>
      <c r="K43" s="17"/>
    </row>
    <row r="44" spans="1:11" x14ac:dyDescent="0.25">
      <c r="A44" s="16"/>
      <c r="B44" s="32"/>
      <c r="C44" s="17">
        <v>1</v>
      </c>
      <c r="D44" s="33">
        <v>6</v>
      </c>
      <c r="E44" s="33">
        <f>((F44/2)+0.45)/2</f>
        <v>0.79999999999999993</v>
      </c>
      <c r="F44" s="33">
        <v>2.2999999999999998</v>
      </c>
      <c r="G44" s="33">
        <f>PRODUCT(C44:F44)</f>
        <v>11.04</v>
      </c>
      <c r="H44" s="17"/>
      <c r="I44" s="17"/>
      <c r="J44" s="17"/>
      <c r="K44" s="17"/>
    </row>
    <row r="45" spans="1:11" x14ac:dyDescent="0.25">
      <c r="A45" s="16"/>
      <c r="B45" s="32"/>
      <c r="C45" s="17">
        <v>1</v>
      </c>
      <c r="D45" s="33">
        <v>5</v>
      </c>
      <c r="E45" s="33">
        <f>((F45/2)+0.45)/2</f>
        <v>0.85</v>
      </c>
      <c r="F45" s="33">
        <v>2.5</v>
      </c>
      <c r="G45" s="33">
        <f>PRODUCT(C45:F45)</f>
        <v>10.625</v>
      </c>
      <c r="H45" s="17"/>
      <c r="I45" s="17"/>
      <c r="J45" s="17"/>
      <c r="K45" s="17"/>
    </row>
    <row r="46" spans="1:11" x14ac:dyDescent="0.25">
      <c r="A46" s="16"/>
      <c r="B46" s="32" t="str">
        <f>B13</f>
        <v>-for mangaal</v>
      </c>
      <c r="C46" s="17">
        <v>1</v>
      </c>
      <c r="D46" s="33">
        <f>2+2+1.2+1.2</f>
        <v>6.4</v>
      </c>
      <c r="E46" s="33">
        <v>0.4</v>
      </c>
      <c r="F46" s="33">
        <f>F13</f>
        <v>1.0667479427003961</v>
      </c>
      <c r="G46" s="33">
        <f>PRODUCT(C46:F46)</f>
        <v>2.7308747333130143</v>
      </c>
      <c r="H46" s="17"/>
      <c r="I46" s="17"/>
      <c r="J46" s="17"/>
      <c r="K46" s="17"/>
    </row>
    <row r="47" spans="1:11" x14ac:dyDescent="0.25">
      <c r="A47" s="16"/>
      <c r="B47" s="32" t="str">
        <f>B39</f>
        <v>-for drain</v>
      </c>
      <c r="C47" s="17">
        <f>C39*2</f>
        <v>2</v>
      </c>
      <c r="D47" s="33">
        <f>D39</f>
        <v>10</v>
      </c>
      <c r="E47" s="33">
        <v>0.3</v>
      </c>
      <c r="F47" s="33">
        <f>1.17/3.281</f>
        <v>0.35659859798841814</v>
      </c>
      <c r="G47" s="33">
        <f>PRODUCT(C47:F47)</f>
        <v>2.139591587930509</v>
      </c>
      <c r="H47" s="17"/>
      <c r="I47" s="17"/>
      <c r="J47" s="17"/>
      <c r="K47" s="17"/>
    </row>
    <row r="48" spans="1:11" ht="15" customHeight="1" x14ac:dyDescent="0.25">
      <c r="A48" s="2"/>
      <c r="B48" s="34" t="s">
        <v>16</v>
      </c>
      <c r="C48" s="3"/>
      <c r="D48" s="4"/>
      <c r="E48" s="5"/>
      <c r="F48" s="5"/>
      <c r="G48" s="6">
        <f>SUM(G43:G47)</f>
        <v>53.485466321243528</v>
      </c>
      <c r="H48" s="7" t="s">
        <v>17</v>
      </c>
      <c r="I48" s="6">
        <f>1.15*9860.43</f>
        <v>11339.494499999999</v>
      </c>
      <c r="J48" s="18">
        <f>G48*I48</f>
        <v>606498.15117967618</v>
      </c>
      <c r="K48" s="5"/>
    </row>
    <row r="49" spans="1:11" x14ac:dyDescent="0.25">
      <c r="A49" s="16"/>
      <c r="B49" s="17"/>
      <c r="C49" s="17"/>
      <c r="D49" s="17"/>
      <c r="E49" s="17"/>
      <c r="F49" s="17"/>
      <c r="G49" s="17"/>
      <c r="H49" s="17"/>
      <c r="I49" s="17"/>
      <c r="J49" s="17"/>
      <c r="K49" s="17"/>
    </row>
    <row r="50" spans="1:11" ht="15" customHeight="1" x14ac:dyDescent="0.25">
      <c r="A50" s="2">
        <v>6</v>
      </c>
      <c r="B50" s="1" t="s">
        <v>30</v>
      </c>
      <c r="C50" s="3">
        <v>1</v>
      </c>
      <c r="D50" s="4"/>
      <c r="E50" s="5"/>
      <c r="F50" s="5"/>
      <c r="G50" s="7">
        <f t="shared" ref="G50" si="11">PRODUCT(C50:F50)</f>
        <v>1</v>
      </c>
      <c r="H50" s="7" t="s">
        <v>19</v>
      </c>
      <c r="I50" s="6">
        <v>5000</v>
      </c>
      <c r="J50" s="7">
        <f>G50*I50</f>
        <v>5000</v>
      </c>
      <c r="K50" s="5"/>
    </row>
    <row r="51" spans="1:11" x14ac:dyDescent="0.25">
      <c r="A51" s="2"/>
      <c r="B51" s="8"/>
      <c r="C51" s="3"/>
      <c r="D51" s="4"/>
      <c r="E51" s="5"/>
      <c r="F51" s="5"/>
      <c r="G51" s="6"/>
      <c r="H51" s="7"/>
      <c r="I51" s="6"/>
      <c r="J51" s="18"/>
      <c r="K51" s="5"/>
    </row>
    <row r="52" spans="1:11" ht="15" customHeight="1" x14ac:dyDescent="0.25">
      <c r="A52" s="2">
        <v>7</v>
      </c>
      <c r="B52" s="1" t="s">
        <v>18</v>
      </c>
      <c r="C52" s="3">
        <v>1</v>
      </c>
      <c r="D52" s="4"/>
      <c r="E52" s="5"/>
      <c r="F52" s="5"/>
      <c r="G52" s="7">
        <f t="shared" ref="G52" si="12">PRODUCT(C52:F52)</f>
        <v>1</v>
      </c>
      <c r="H52" s="7" t="s">
        <v>19</v>
      </c>
      <c r="I52" s="6">
        <v>500</v>
      </c>
      <c r="J52" s="7">
        <f>G52*I52</f>
        <v>500</v>
      </c>
      <c r="K52" s="5"/>
    </row>
    <row r="53" spans="1:11" x14ac:dyDescent="0.25">
      <c r="A53" s="2"/>
      <c r="B53" s="8"/>
      <c r="C53" s="3"/>
      <c r="D53" s="4"/>
      <c r="E53" s="5"/>
      <c r="F53" s="5"/>
      <c r="G53" s="6"/>
      <c r="H53" s="7"/>
      <c r="I53" s="6"/>
      <c r="J53" s="18"/>
      <c r="K53" s="5"/>
    </row>
    <row r="54" spans="1:11" x14ac:dyDescent="0.25">
      <c r="A54" s="21"/>
      <c r="B54" s="22" t="s">
        <v>21</v>
      </c>
      <c r="C54" s="23"/>
      <c r="D54" s="24"/>
      <c r="E54" s="24"/>
      <c r="F54" s="24"/>
      <c r="G54" s="18"/>
      <c r="H54" s="18"/>
      <c r="I54" s="18"/>
      <c r="J54" s="18">
        <f>SUM(J9:J52)</f>
        <v>924837.47589561273</v>
      </c>
      <c r="K54" s="25"/>
    </row>
    <row r="56" spans="1:11" s="20" customFormat="1" x14ac:dyDescent="0.25">
      <c r="A56" s="26"/>
      <c r="B56" s="27" t="s">
        <v>20</v>
      </c>
      <c r="C56" s="43">
        <f>J54</f>
        <v>924837.47589561273</v>
      </c>
      <c r="D56" s="44"/>
      <c r="E56" s="9"/>
      <c r="F56" s="26"/>
      <c r="G56" s="28"/>
      <c r="H56" s="26"/>
      <c r="I56" s="29"/>
      <c r="J56" s="30"/>
      <c r="K56" s="31"/>
    </row>
  </sheetData>
  <mergeCells count="10">
    <mergeCell ref="A7:F7"/>
    <mergeCell ref="H7:K7"/>
    <mergeCell ref="C56:D56"/>
    <mergeCell ref="A6:F6"/>
    <mergeCell ref="H6:K6"/>
    <mergeCell ref="A1:K1"/>
    <mergeCell ref="A2:K2"/>
    <mergeCell ref="A3:K3"/>
    <mergeCell ref="A4:K4"/>
    <mergeCell ref="A5:K5"/>
  </mergeCells>
  <phoneticPr fontId="14" type="noConversion"/>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2026-03-30T06:29:59Z</dcterms:modified>
</cp:coreProperties>
</file>