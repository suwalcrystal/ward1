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E8DF9C78-7BF3-4A6F-8BB1-DDD829351F22}" xr6:coauthVersionLast="47" xr6:coauthVersionMax="47" xr10:uidLastSave="{00000000-0000-0000-0000-000000000000}"/>
  <bookViews>
    <workbookView xWindow="-120" yWindow="-120" windowWidth="20730" windowHeight="11040" xr2:uid="{00000000-000D-0000-FFFF-FFFF00000000}"/>
  </bookViews>
  <sheets>
    <sheet name="estimate" sheetId="15"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estimate!$A$1:$K$78</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1" i="15" l="1"/>
  <c r="G59" i="15"/>
  <c r="F59" i="15"/>
  <c r="D59" i="15"/>
  <c r="B59" i="15"/>
  <c r="E24" i="15"/>
  <c r="E46" i="15" s="1"/>
  <c r="D24" i="15"/>
  <c r="D46" i="15" s="1"/>
  <c r="C24" i="15"/>
  <c r="B24" i="15"/>
  <c r="B46" i="15" s="1"/>
  <c r="F13" i="15"/>
  <c r="G13" i="15" s="1"/>
  <c r="D27" i="15"/>
  <c r="D33" i="15" s="1"/>
  <c r="E27" i="15"/>
  <c r="E33" i="15" s="1"/>
  <c r="E26" i="15"/>
  <c r="E32" i="15" s="1"/>
  <c r="C27" i="15"/>
  <c r="C26" i="15"/>
  <c r="B27" i="15"/>
  <c r="B33" i="15" s="1"/>
  <c r="B26" i="15"/>
  <c r="B32" i="15" s="1"/>
  <c r="G16" i="15"/>
  <c r="D15" i="15"/>
  <c r="F12" i="15"/>
  <c r="F11" i="15"/>
  <c r="D11" i="15"/>
  <c r="E11" i="15"/>
  <c r="D12" i="15"/>
  <c r="E12" i="15"/>
  <c r="D44" i="15"/>
  <c r="D22" i="15" s="1"/>
  <c r="E44" i="15"/>
  <c r="D45" i="15"/>
  <c r="D23" i="15" s="1"/>
  <c r="E45" i="15"/>
  <c r="E58" i="15"/>
  <c r="G58" i="15" s="1"/>
  <c r="E57" i="15"/>
  <c r="G57" i="15" s="1"/>
  <c r="C78" i="15"/>
  <c r="C77" i="15"/>
  <c r="G69" i="15"/>
  <c r="J69" i="15" s="1"/>
  <c r="G67" i="15"/>
  <c r="J67" i="15" s="1"/>
  <c r="F60" i="15"/>
  <c r="E56" i="15"/>
  <c r="G56" i="15" s="1"/>
  <c r="E43" i="15"/>
  <c r="E21" i="15" s="1"/>
  <c r="D43" i="15"/>
  <c r="E25" i="15"/>
  <c r="E47" i="15" s="1"/>
  <c r="D25" i="15"/>
  <c r="D47" i="15" s="1"/>
  <c r="D60" i="15" s="1"/>
  <c r="C25" i="15"/>
  <c r="B25" i="15"/>
  <c r="B47" i="15" s="1"/>
  <c r="B60" i="15" s="1"/>
  <c r="B21" i="15"/>
  <c r="B43" i="15" s="1"/>
  <c r="B56" i="15" s="1"/>
  <c r="F14" i="15"/>
  <c r="G14" i="15" s="1"/>
  <c r="E10" i="15"/>
  <c r="D10" i="15"/>
  <c r="G24" i="15" l="1"/>
  <c r="C46" i="15"/>
  <c r="G46" i="15" s="1"/>
  <c r="G33" i="15"/>
  <c r="C75" i="15"/>
  <c r="G15" i="15"/>
  <c r="D26" i="15"/>
  <c r="G27" i="15"/>
  <c r="G11" i="15"/>
  <c r="G12" i="15"/>
  <c r="E23" i="15"/>
  <c r="G23" i="15" s="1"/>
  <c r="G45" i="15"/>
  <c r="E22" i="15"/>
  <c r="G22" i="15" s="1"/>
  <c r="G44" i="15"/>
  <c r="G10" i="15"/>
  <c r="G43" i="15"/>
  <c r="D21" i="15"/>
  <c r="G21" i="15" s="1"/>
  <c r="C47" i="15"/>
  <c r="G25" i="15"/>
  <c r="G26" i="15" l="1"/>
  <c r="G28" i="15" s="1"/>
  <c r="D32" i="15"/>
  <c r="G32" i="15" s="1"/>
  <c r="G34" i="15" s="1"/>
  <c r="J34" i="15" s="1"/>
  <c r="G17" i="15"/>
  <c r="G47" i="15"/>
  <c r="G48" i="15" s="1"/>
  <c r="C60" i="15"/>
  <c r="G60" i="15" s="1"/>
  <c r="J35" i="15" l="1"/>
  <c r="J36" i="15"/>
  <c r="J37" i="15"/>
  <c r="J38" i="15"/>
  <c r="J39" i="15"/>
  <c r="J18" i="15"/>
  <c r="J17" i="15"/>
  <c r="J28" i="15"/>
  <c r="J29" i="15"/>
  <c r="J53" i="15"/>
  <c r="J52" i="15"/>
  <c r="J51" i="15"/>
  <c r="J50" i="15"/>
  <c r="J49" i="15"/>
  <c r="J48" i="15"/>
  <c r="J65" i="15"/>
  <c r="J64" i="15"/>
  <c r="J63" i="15"/>
  <c r="J62" i="15"/>
  <c r="J61" i="15"/>
  <c r="J71" i="15" l="1"/>
  <c r="C73" i="15" s="1"/>
  <c r="E75" i="15" l="1"/>
  <c r="E76" i="15" s="1"/>
  <c r="C76" i="15"/>
</calcChain>
</file>

<file path=xl/sharedStrings.xml><?xml version="1.0" encoding="utf-8"?>
<sst xmlns="http://schemas.openxmlformats.org/spreadsheetml/2006/main" count="67" uniqueCount="51">
  <si>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</si>
  <si>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</si>
  <si>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</si>
  <si>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</si>
  <si>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</si>
  <si>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</si>
  <si>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</si>
  <si>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</si>
  <si>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</si>
  <si>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</si>
  <si>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</si>
  <si>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</si>
  <si>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</si>
  <si>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</si>
  <si>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</si>
  <si>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</si>
  <si>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</si>
  <si>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</si>
  <si>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</si>
  <si>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</si>
  <si>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</si>
  <si>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</si>
  <si>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-13% VAT for materials</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</si>
  <si>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</si>
  <si>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</si>
  <si>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</si>
  <si>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</si>
  <si>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</si>
  <si>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</si>
  <si>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</si>
  <si>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</si>
  <si>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</si>
  <si>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</si>
  <si>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</si>
  <si>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-13% VAT for water</t>
  </si>
  <si>
    <t>User contribution</t>
  </si>
  <si>
    <t>-for plum wall</t>
  </si>
  <si>
    <t>Providing and laying Plum concrete ( Boulder mixed concrete) including form work and 110mm dia PN6 HDPE pipe for Weep hole as per Drawing and Specifications, 60% M 15  concrete and 40% boulders/stones, using Mechanical Aids</t>
  </si>
  <si>
    <t>-13% VAT for boulder</t>
  </si>
  <si>
    <t>-13% VAT for aggregates</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</si>
  <si>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</si>
  <si>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</si>
  <si>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-13% VAT</t>
  </si>
  <si>
    <t>-for drain</t>
  </si>
  <si>
    <t>Provisional sum for lab tests</t>
  </si>
  <si>
    <t xml:space="preserve">Date: 2082        </t>
  </si>
  <si>
    <t>-for road section 1</t>
  </si>
  <si>
    <t>-for road section 2</t>
  </si>
  <si>
    <t>Providing and laying of Plain/Reinforced Cement Concrete in Foundation complete as per Drawing and Technical Specifications., RCC Grade M 20</t>
  </si>
  <si>
    <t>-for mangaal</t>
  </si>
  <si>
    <r>
      <t xml:space="preserve">Project:- </t>
    </r>
    <r>
      <rPr>
        <b/>
        <sz val="14"/>
        <rFont val="Preeti"/>
      </rPr>
      <t>;'o{6f/ cDk]m lhDNof6f/ ;8s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</si>
</sst>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
      <b/>
      <sz val="14"/>
      <name val="Preeti"/>
    </font>
    <font>
      <sz val="8"/>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0">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1" fontId="4" fillId="0" borderId="2" xfId="0" applyNumberFormat="1" applyFont="1" applyBorder="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2B2F9-83ED-48E0-B993-453621BB5461}">
  <dimension ref="A1:K78"/>
  <sheetViews>
    <sheetView tabSelected="1" view="pageBreakPreview" zoomScale="95" zoomScaleNormal="90" zoomScaleSheetLayoutView="95" workbookViewId="0">
      <selection activeCell="A7" sqref="A7:F7"/>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customWidth="1"/>
    <col min="11" max="16384" width="9.140625" style="19"/>
  </cols>
  <sheetData>
    <row r="1" spans="1:11" x14ac:dyDescent="0.25">
      <c r="A1" s="44" t="s">
        <v>0</v>
      </c>
      <c r="B1" s="44"/>
      <c r="C1" s="44"/>
      <c r="D1" s="44"/>
      <c r="E1" s="44"/>
      <c r="F1" s="44"/>
      <c r="G1" s="44"/>
      <c r="H1" s="44"/>
      <c r="I1" s="44"/>
      <c r="J1" s="44"/>
      <c r="K1" s="44"/>
    </row>
    <row r="2" spans="1:11" ht="22.5" x14ac:dyDescent="0.25">
      <c r="A2" s="45" t="s">
        <v>1</v>
      </c>
      <c r="B2" s="45"/>
      <c r="C2" s="45"/>
      <c r="D2" s="45"/>
      <c r="E2" s="45"/>
      <c r="F2" s="45"/>
      <c r="G2" s="45"/>
      <c r="H2" s="45"/>
      <c r="I2" s="45"/>
      <c r="J2" s="45"/>
      <c r="K2" s="45"/>
    </row>
    <row r="3" spans="1:11" x14ac:dyDescent="0.25">
      <c r="A3" s="46" t="s">
        <v>2</v>
      </c>
      <c r="B3" s="46"/>
      <c r="C3" s="46"/>
      <c r="D3" s="46"/>
      <c r="E3" s="46"/>
      <c r="F3" s="46"/>
      <c r="G3" s="46"/>
      <c r="H3" s="46"/>
      <c r="I3" s="46"/>
      <c r="J3" s="46"/>
      <c r="K3" s="46"/>
    </row>
    <row r="4" spans="1:11" x14ac:dyDescent="0.25">
      <c r="A4" s="46" t="s">
        <v>3</v>
      </c>
      <c r="B4" s="46"/>
      <c r="C4" s="46"/>
      <c r="D4" s="46"/>
      <c r="E4" s="46"/>
      <c r="F4" s="46"/>
      <c r="G4" s="46"/>
      <c r="H4" s="46"/>
      <c r="I4" s="46"/>
      <c r="J4" s="46"/>
      <c r="K4" s="46"/>
    </row>
    <row r="5" spans="1:11" ht="18.75" x14ac:dyDescent="0.3">
      <c r="A5" s="47" t="s">
        <v>4</v>
      </c>
      <c r="B5" s="47"/>
      <c r="C5" s="47"/>
      <c r="D5" s="47"/>
      <c r="E5" s="47"/>
      <c r="F5" s="47"/>
      <c r="G5" s="47"/>
      <c r="H5" s="47"/>
      <c r="I5" s="47"/>
      <c r="J5" s="47"/>
      <c r="K5" s="47"/>
    </row>
    <row r="6" spans="1:11" ht="18" x14ac:dyDescent="0.25">
      <c r="A6" s="48" t="s">
        <v>50</v>
      </c>
      <c r="B6" s="48"/>
      <c r="C6" s="48"/>
      <c r="D6" s="48"/>
      <c r="E6" s="48"/>
      <c r="F6" s="48"/>
      <c r="G6" s="10"/>
      <c r="H6" s="49" t="s">
        <v>27</v>
      </c>
      <c r="I6" s="49"/>
      <c r="J6" s="49"/>
      <c r="K6" s="49"/>
    </row>
    <row r="7" spans="1:11" ht="15.75" x14ac:dyDescent="0.25">
      <c r="A7" s="39" t="s">
        <v>40</v>
      </c>
      <c r="B7" s="39"/>
      <c r="C7" s="39"/>
      <c r="D7" s="39"/>
      <c r="E7" s="39"/>
      <c r="F7" s="39"/>
      <c r="G7" s="11"/>
      <c r="H7" s="40" t="s">
        <v>45</v>
      </c>
      <c r="I7" s="40"/>
      <c r="J7" s="40"/>
      <c r="K7" s="40"/>
    </row>
    <row r="8" spans="1:11" ht="15.75" x14ac:dyDescent="0.25">
      <c r="A8" s="12" t="s">
        <v>5</v>
      </c>
      <c r="B8" s="13" t="s">
        <v>6</v>
      </c>
      <c r="C8" s="12" t="s">
        <v>7</v>
      </c>
      <c r="D8" s="14" t="s">
        <v>8</v>
      </c>
      <c r="E8" s="14" t="s">
        <v>9</v>
      </c>
      <c r="F8" s="14" t="s">
        <v>10</v>
      </c>
      <c r="G8" s="14" t="s">
        <v>11</v>
      </c>
      <c r="H8" s="12" t="s">
        <v>12</v>
      </c>
      <c r="I8" s="14" t="s">
        <v>13</v>
      </c>
      <c r="J8" s="14" t="s">
        <v>14</v>
      </c>
      <c r="K8" s="15" t="s">
        <v>15</v>
      </c>
    </row>
    <row r="9" spans="1:11" ht="157.5" x14ac:dyDescent="0.25">
      <c r="A9" s="16">
        <v>1</v>
      </c>
      <c r="B9" s="35" t="s">
        <v>41</v>
      </c>
      <c r="C9" s="17"/>
      <c r="D9" s="17"/>
      <c r="E9" s="17"/>
      <c r="F9" s="17"/>
      <c r="G9" s="17"/>
      <c r="H9" s="17"/>
      <c r="I9" s="17"/>
      <c r="J9" s="17"/>
      <c r="K9" s="17"/>
    </row>
    <row r="10" spans="1:11" x14ac:dyDescent="0.25">
      <c r="A10" s="16"/>
      <c r="B10" s="32" t="s">
        <v>36</v>
      </c>
      <c r="C10" s="36">
        <v>0.5</v>
      </c>
      <c r="D10" s="33">
        <f>D56</f>
        <v>5.5</v>
      </c>
      <c r="E10" s="33">
        <f>F56/2</f>
        <v>2</v>
      </c>
      <c r="F10" s="33">
        <v>1.5</v>
      </c>
      <c r="G10" s="33">
        <f>PRODUCT(C10:F10)</f>
        <v>8.25</v>
      </c>
      <c r="H10" s="17"/>
      <c r="I10" s="17"/>
      <c r="J10" s="17"/>
      <c r="K10" s="17"/>
    </row>
    <row r="11" spans="1:11" x14ac:dyDescent="0.25">
      <c r="A11" s="16"/>
      <c r="B11" s="32"/>
      <c r="C11" s="36">
        <v>0.5</v>
      </c>
      <c r="D11" s="33">
        <f t="shared" ref="D11:D12" si="0">D57</f>
        <v>6</v>
      </c>
      <c r="E11" s="33">
        <f t="shared" ref="E11:E12" si="1">F57/2</f>
        <v>1.1499999999999999</v>
      </c>
      <c r="F11" s="33">
        <f>2.5/2</f>
        <v>1.25</v>
      </c>
      <c r="G11" s="33">
        <f t="shared" ref="G11:G13" si="2">PRODUCT(C11:F11)</f>
        <v>4.3125</v>
      </c>
      <c r="H11" s="17"/>
      <c r="I11" s="17"/>
      <c r="J11" s="17"/>
      <c r="K11" s="17"/>
    </row>
    <row r="12" spans="1:11" x14ac:dyDescent="0.25">
      <c r="A12" s="16"/>
      <c r="B12" s="32"/>
      <c r="C12" s="36">
        <v>0.5</v>
      </c>
      <c r="D12" s="33">
        <f t="shared" si="0"/>
        <v>5</v>
      </c>
      <c r="E12" s="33">
        <f t="shared" si="1"/>
        <v>1.25</v>
      </c>
      <c r="F12" s="33">
        <f>3.5/2</f>
        <v>1.75</v>
      </c>
      <c r="G12" s="33">
        <f t="shared" si="2"/>
        <v>5.46875</v>
      </c>
      <c r="H12" s="17"/>
      <c r="I12" s="17"/>
      <c r="J12" s="17"/>
      <c r="K12" s="17"/>
    </row>
    <row r="13" spans="1:11" x14ac:dyDescent="0.25">
      <c r="A13" s="16"/>
      <c r="B13" s="32" t="s">
        <v>49</v>
      </c>
      <c r="C13" s="36">
        <v>1</v>
      </c>
      <c r="D13" s="33">
        <v>2</v>
      </c>
      <c r="E13" s="33">
        <v>2</v>
      </c>
      <c r="F13" s="33">
        <f>3.5/3.281</f>
        <v>1.0667479427003961</v>
      </c>
      <c r="G13" s="33">
        <f t="shared" si="2"/>
        <v>4.2669917708015843</v>
      </c>
      <c r="H13" s="17"/>
      <c r="I13" s="17"/>
      <c r="J13" s="17"/>
      <c r="K13" s="17"/>
    </row>
    <row r="14" spans="1:11" x14ac:dyDescent="0.25">
      <c r="A14" s="16"/>
      <c r="B14" s="32" t="s">
        <v>43</v>
      </c>
      <c r="C14" s="17">
        <v>1</v>
      </c>
      <c r="D14" s="33">
        <v>10</v>
      </c>
      <c r="E14" s="33">
        <v>0.9</v>
      </c>
      <c r="F14" s="33">
        <f>1.17/3.281</f>
        <v>0.35659859798841814</v>
      </c>
      <c r="G14" s="33">
        <f>PRODUCT(C14:F14)</f>
        <v>3.2093873818957634</v>
      </c>
      <c r="H14" s="17"/>
      <c r="I14" s="17"/>
      <c r="J14" s="17"/>
      <c r="K14" s="17"/>
    </row>
    <row r="15" spans="1:11" x14ac:dyDescent="0.25">
      <c r="A15" s="16"/>
      <c r="B15" s="32" t="s">
        <v>46</v>
      </c>
      <c r="C15" s="17">
        <v>1</v>
      </c>
      <c r="D15" s="33">
        <f>5</f>
        <v>5</v>
      </c>
      <c r="E15" s="33">
        <v>5</v>
      </c>
      <c r="F15" s="33">
        <v>0.15</v>
      </c>
      <c r="G15" s="33">
        <f>PRODUCT(C15:F15)</f>
        <v>3.75</v>
      </c>
      <c r="H15" s="17"/>
      <c r="I15" s="17"/>
      <c r="J15" s="17"/>
      <c r="K15" s="17"/>
    </row>
    <row r="16" spans="1:11" x14ac:dyDescent="0.25">
      <c r="A16" s="16"/>
      <c r="B16" s="32" t="s">
        <v>47</v>
      </c>
      <c r="C16" s="17">
        <v>1</v>
      </c>
      <c r="D16" s="33">
        <v>9</v>
      </c>
      <c r="E16" s="33">
        <v>7</v>
      </c>
      <c r="F16" s="33">
        <v>0.15</v>
      </c>
      <c r="G16" s="33">
        <f>PRODUCT(C16:F16)</f>
        <v>9.4499999999999993</v>
      </c>
      <c r="H16" s="17"/>
      <c r="I16" s="17"/>
      <c r="J16" s="17"/>
      <c r="K16" s="17"/>
    </row>
    <row r="17" spans="1:11" ht="15" customHeight="1" x14ac:dyDescent="0.25">
      <c r="A17" s="2"/>
      <c r="B17" s="34" t="s">
        <v>16</v>
      </c>
      <c r="C17" s="3"/>
      <c r="D17" s="4"/>
      <c r="E17" s="5"/>
      <c r="F17" s="5"/>
      <c r="G17" s="6">
        <f>SUM(G10:G16)</f>
        <v>38.707629152697351</v>
      </c>
      <c r="H17" s="7" t="s">
        <v>17</v>
      </c>
      <c r="I17" s="6">
        <v>62.95</v>
      </c>
      <c r="J17" s="18">
        <f>G17*I17</f>
        <v>2436.6452551622983</v>
      </c>
      <c r="K17" s="5"/>
    </row>
    <row r="18" spans="1:11" x14ac:dyDescent="0.25">
      <c r="A18" s="16"/>
      <c r="B18" s="32" t="s">
        <v>42</v>
      </c>
      <c r="C18" s="17"/>
      <c r="D18" s="17"/>
      <c r="E18" s="17"/>
      <c r="F18" s="17"/>
      <c r="G18" s="17"/>
      <c r="H18" s="17"/>
      <c r="I18" s="17"/>
      <c r="J18" s="18">
        <f>0.13*G17*18612/360</f>
        <v>260.1539755352789</v>
      </c>
      <c r="K18" s="17"/>
    </row>
    <row r="19" spans="1:11" x14ac:dyDescent="0.25">
      <c r="A19" s="16"/>
      <c r="B19" s="17"/>
      <c r="C19" s="17"/>
      <c r="D19" s="17"/>
      <c r="E19" s="17"/>
      <c r="F19" s="17"/>
      <c r="G19" s="17"/>
      <c r="H19" s="17"/>
      <c r="I19" s="17"/>
      <c r="J19" s="17"/>
      <c r="K19" s="17"/>
    </row>
    <row r="20" spans="1:11" ht="94.5" x14ac:dyDescent="0.25">
      <c r="A20" s="16">
        <v>2</v>
      </c>
      <c r="B20" s="35" t="s">
        <v>28</v>
      </c>
      <c r="C20" s="17"/>
      <c r="D20" s="17"/>
      <c r="E20" s="17"/>
      <c r="F20" s="17"/>
      <c r="G20" s="17"/>
      <c r="H20" s="17"/>
      <c r="I20" s="17"/>
      <c r="J20" s="17"/>
      <c r="K20" s="17"/>
    </row>
    <row r="21" spans="1:11" x14ac:dyDescent="0.25">
      <c r="A21" s="16"/>
      <c r="B21" s="32" t="str">
        <f>B10</f>
        <v>-for plum wall</v>
      </c>
      <c r="C21" s="17">
        <v>1</v>
      </c>
      <c r="D21" s="33">
        <f>D43</f>
        <v>5.5</v>
      </c>
      <c r="E21" s="33">
        <f>E43</f>
        <v>2</v>
      </c>
      <c r="F21" s="33">
        <v>0.15</v>
      </c>
      <c r="G21" s="33">
        <f>PRODUCT(C21:F21)</f>
        <v>1.65</v>
      </c>
      <c r="H21" s="17"/>
      <c r="I21" s="17"/>
      <c r="J21" s="17"/>
      <c r="K21" s="17"/>
    </row>
    <row r="22" spans="1:11" x14ac:dyDescent="0.25">
      <c r="A22" s="16"/>
      <c r="B22" s="32"/>
      <c r="C22" s="17">
        <v>1</v>
      </c>
      <c r="D22" s="33">
        <f t="shared" ref="D22:E22" si="3">D44</f>
        <v>6</v>
      </c>
      <c r="E22" s="33">
        <f t="shared" si="3"/>
        <v>1.1499999999999999</v>
      </c>
      <c r="F22" s="33">
        <v>0.15</v>
      </c>
      <c r="G22" s="33">
        <f t="shared" ref="G22:G24" si="4">PRODUCT(C22:F22)</f>
        <v>1.0349999999999999</v>
      </c>
      <c r="H22" s="17"/>
      <c r="I22" s="17"/>
      <c r="J22" s="17"/>
      <c r="K22" s="17"/>
    </row>
    <row r="23" spans="1:11" x14ac:dyDescent="0.25">
      <c r="A23" s="16"/>
      <c r="B23" s="32"/>
      <c r="C23" s="17">
        <v>1</v>
      </c>
      <c r="D23" s="33">
        <f t="shared" ref="D23:E23" si="5">D45</f>
        <v>5</v>
      </c>
      <c r="E23" s="33">
        <f t="shared" si="5"/>
        <v>1.25</v>
      </c>
      <c r="F23" s="33">
        <v>0.15</v>
      </c>
      <c r="G23" s="33">
        <f t="shared" si="4"/>
        <v>0.9375</v>
      </c>
      <c r="H23" s="17"/>
      <c r="I23" s="17"/>
      <c r="J23" s="17"/>
      <c r="K23" s="17"/>
    </row>
    <row r="24" spans="1:11" x14ac:dyDescent="0.25">
      <c r="A24" s="16"/>
      <c r="B24" s="32" t="str">
        <f>B13</f>
        <v>-for mangaal</v>
      </c>
      <c r="C24" s="36">
        <f>C13</f>
        <v>1</v>
      </c>
      <c r="D24" s="33">
        <f>D13</f>
        <v>2</v>
      </c>
      <c r="E24" s="33">
        <f>E13</f>
        <v>2</v>
      </c>
      <c r="F24" s="33">
        <v>0.15</v>
      </c>
      <c r="G24" s="33">
        <f t="shared" si="4"/>
        <v>0.6</v>
      </c>
      <c r="H24" s="17"/>
      <c r="I24" s="17"/>
      <c r="J24" s="17"/>
      <c r="K24" s="17"/>
    </row>
    <row r="25" spans="1:11" x14ac:dyDescent="0.25">
      <c r="A25" s="16"/>
      <c r="B25" s="32" t="str">
        <f>B14</f>
        <v>-for drain</v>
      </c>
      <c r="C25" s="17">
        <f>C14</f>
        <v>1</v>
      </c>
      <c r="D25" s="33">
        <f>D14</f>
        <v>10</v>
      </c>
      <c r="E25" s="33">
        <f>E14</f>
        <v>0.9</v>
      </c>
      <c r="F25" s="33">
        <v>0.15</v>
      </c>
      <c r="G25" s="33">
        <f>PRODUCT(C25:F25)</f>
        <v>1.3499999999999999</v>
      </c>
      <c r="H25" s="17"/>
      <c r="I25" s="17"/>
      <c r="J25" s="17"/>
      <c r="K25" s="17"/>
    </row>
    <row r="26" spans="1:11" x14ac:dyDescent="0.25">
      <c r="A26" s="16"/>
      <c r="B26" s="32" t="str">
        <f>B15</f>
        <v>-for road section 1</v>
      </c>
      <c r="C26" s="17">
        <f>C15</f>
        <v>1</v>
      </c>
      <c r="D26" s="33">
        <f>D15</f>
        <v>5</v>
      </c>
      <c r="E26" s="33">
        <f>E15</f>
        <v>5</v>
      </c>
      <c r="F26" s="33">
        <v>0.15</v>
      </c>
      <c r="G26" s="33">
        <f>PRODUCT(C26:F26)</f>
        <v>3.75</v>
      </c>
      <c r="H26" s="17"/>
      <c r="I26" s="17"/>
      <c r="J26" s="17"/>
      <c r="K26" s="17"/>
    </row>
    <row r="27" spans="1:11" x14ac:dyDescent="0.25">
      <c r="A27" s="16"/>
      <c r="B27" s="32" t="str">
        <f>B16</f>
        <v>-for road section 2</v>
      </c>
      <c r="C27" s="17">
        <f>C16</f>
        <v>1</v>
      </c>
      <c r="D27" s="33">
        <f>D16</f>
        <v>9</v>
      </c>
      <c r="E27" s="33">
        <f>E16</f>
        <v>7</v>
      </c>
      <c r="F27" s="33">
        <v>0.15</v>
      </c>
      <c r="G27" s="33">
        <f>PRODUCT(C27:F27)</f>
        <v>9.4499999999999993</v>
      </c>
      <c r="H27" s="17"/>
      <c r="I27" s="17"/>
      <c r="J27" s="17"/>
      <c r="K27" s="17"/>
    </row>
    <row r="28" spans="1:11" ht="15" customHeight="1" x14ac:dyDescent="0.25">
      <c r="A28" s="2"/>
      <c r="B28" s="34" t="s">
        <v>16</v>
      </c>
      <c r="C28" s="3"/>
      <c r="D28" s="4"/>
      <c r="E28" s="5"/>
      <c r="F28" s="5"/>
      <c r="G28" s="6">
        <f>SUM(G21:G27)</f>
        <v>18.772499999999997</v>
      </c>
      <c r="H28" s="7" t="s">
        <v>17</v>
      </c>
      <c r="I28" s="6">
        <v>4458.5200000000004</v>
      </c>
      <c r="J28" s="18">
        <f>G28*I28</f>
        <v>83697.566699999996</v>
      </c>
      <c r="K28" s="5"/>
    </row>
    <row r="29" spans="1:11" x14ac:dyDescent="0.25">
      <c r="A29" s="16"/>
      <c r="B29" s="32" t="s">
        <v>22</v>
      </c>
      <c r="C29" s="17"/>
      <c r="D29" s="17"/>
      <c r="E29" s="17"/>
      <c r="F29" s="17"/>
      <c r="G29" s="17"/>
      <c r="H29" s="17"/>
      <c r="I29" s="17"/>
      <c r="J29" s="18">
        <f>0.13*G28*(14817.6)/5</f>
        <v>7232.2482959999998</v>
      </c>
      <c r="K29" s="17"/>
    </row>
    <row r="30" spans="1:11" x14ac:dyDescent="0.25">
      <c r="A30" s="16"/>
      <c r="B30" s="32"/>
      <c r="C30" s="17"/>
      <c r="D30" s="17"/>
      <c r="E30" s="17"/>
      <c r="F30" s="17"/>
      <c r="G30" s="17"/>
      <c r="H30" s="17"/>
      <c r="I30" s="17"/>
      <c r="J30" s="18"/>
      <c r="K30" s="17"/>
    </row>
    <row r="31" spans="1:11" ht="78.75" x14ac:dyDescent="0.25">
      <c r="A31" s="16">
        <v>3</v>
      </c>
      <c r="B31" s="35" t="s">
        <v>48</v>
      </c>
      <c r="C31" s="17"/>
      <c r="D31" s="17"/>
      <c r="E31" s="17"/>
      <c r="F31" s="17"/>
      <c r="G31" s="17"/>
      <c r="H31" s="17"/>
      <c r="I31" s="17"/>
      <c r="J31" s="17"/>
      <c r="K31" s="17"/>
    </row>
    <row r="32" spans="1:11" x14ac:dyDescent="0.25">
      <c r="A32" s="16"/>
      <c r="B32" s="32" t="str">
        <f>B26</f>
        <v>-for road section 1</v>
      </c>
      <c r="C32" s="17">
        <v>1</v>
      </c>
      <c r="D32" s="33">
        <f>D26</f>
        <v>5</v>
      </c>
      <c r="E32" s="33">
        <f>E26</f>
        <v>5</v>
      </c>
      <c r="F32" s="33">
        <v>0.15</v>
      </c>
      <c r="G32" s="33">
        <f t="shared" ref="G32:G33" si="6">PRODUCT(C32:F32)</f>
        <v>3.75</v>
      </c>
      <c r="H32" s="17"/>
      <c r="I32" s="17"/>
      <c r="J32" s="17"/>
      <c r="K32" s="17"/>
    </row>
    <row r="33" spans="1:11" x14ac:dyDescent="0.25">
      <c r="A33" s="16"/>
      <c r="B33" s="32" t="str">
        <f>B27</f>
        <v>-for road section 2</v>
      </c>
      <c r="C33" s="17">
        <v>1</v>
      </c>
      <c r="D33" s="33">
        <f>D27</f>
        <v>9</v>
      </c>
      <c r="E33" s="33">
        <f>E27</f>
        <v>7</v>
      </c>
      <c r="F33" s="33">
        <v>0.15</v>
      </c>
      <c r="G33" s="33">
        <f t="shared" si="6"/>
        <v>9.4499999999999993</v>
      </c>
      <c r="H33" s="17"/>
      <c r="I33" s="17"/>
      <c r="J33" s="17"/>
      <c r="K33" s="17"/>
    </row>
    <row r="34" spans="1:11" ht="15" customHeight="1" x14ac:dyDescent="0.25">
      <c r="A34" s="2"/>
      <c r="B34" s="34" t="s">
        <v>16</v>
      </c>
      <c r="C34" s="3"/>
      <c r="D34" s="4"/>
      <c r="E34" s="5"/>
      <c r="F34" s="5"/>
      <c r="G34" s="6">
        <f>SUM(G32:G33)</f>
        <v>13.2</v>
      </c>
      <c r="H34" s="7" t="s">
        <v>17</v>
      </c>
      <c r="I34" s="6">
        <v>12000.5</v>
      </c>
      <c r="J34" s="18">
        <f>G34*I34</f>
        <v>158406.6</v>
      </c>
      <c r="K34" s="5"/>
    </row>
    <row r="35" spans="1:11" x14ac:dyDescent="0.25">
      <c r="A35" s="16"/>
      <c r="B35" s="32" t="s">
        <v>30</v>
      </c>
      <c r="C35" s="17"/>
      <c r="D35" s="17"/>
      <c r="E35" s="17"/>
      <c r="F35" s="17"/>
      <c r="G35" s="17"/>
      <c r="H35" s="17"/>
      <c r="I35" s="17"/>
      <c r="J35" s="18">
        <f>0.13*G34*(67891.51)/15</f>
        <v>7766.7887439999995</v>
      </c>
      <c r="K35" s="17"/>
    </row>
    <row r="36" spans="1:11" x14ac:dyDescent="0.25">
      <c r="A36" s="16"/>
      <c r="B36" s="32" t="s">
        <v>31</v>
      </c>
      <c r="C36" s="17"/>
      <c r="D36" s="17"/>
      <c r="E36" s="17"/>
      <c r="F36" s="17"/>
      <c r="G36" s="17"/>
      <c r="H36" s="17"/>
      <c r="I36" s="17"/>
      <c r="J36" s="18">
        <f>0.13*G34*(21432.6)/15</f>
        <v>2451.8894399999999</v>
      </c>
      <c r="K36" s="17"/>
    </row>
    <row r="37" spans="1:11" x14ac:dyDescent="0.25">
      <c r="A37" s="16"/>
      <c r="B37" s="32" t="s">
        <v>32</v>
      </c>
      <c r="C37" s="17"/>
      <c r="D37" s="17"/>
      <c r="E37" s="17"/>
      <c r="F37" s="17"/>
      <c r="G37" s="17"/>
      <c r="H37" s="17"/>
      <c r="I37" s="17"/>
      <c r="J37" s="18">
        <f>0.13*G34*(27147.96+17146.08)/15</f>
        <v>5067.2381759999998</v>
      </c>
      <c r="K37" s="17"/>
    </row>
    <row r="38" spans="1:11" x14ac:dyDescent="0.25">
      <c r="A38" s="16"/>
      <c r="B38" s="32" t="s">
        <v>33</v>
      </c>
      <c r="C38" s="17"/>
      <c r="D38" s="17"/>
      <c r="E38" s="17"/>
      <c r="F38" s="17"/>
      <c r="G38" s="17"/>
      <c r="H38" s="17"/>
      <c r="I38" s="17"/>
      <c r="J38" s="18">
        <f>0.13*G34*(6923.4)/15</f>
        <v>792.03695999999991</v>
      </c>
      <c r="K38" s="17"/>
    </row>
    <row r="39" spans="1:11" x14ac:dyDescent="0.25">
      <c r="A39" s="16"/>
      <c r="B39" s="32" t="s">
        <v>34</v>
      </c>
      <c r="C39" s="17"/>
      <c r="D39" s="17"/>
      <c r="E39" s="17"/>
      <c r="F39" s="17"/>
      <c r="G39" s="17"/>
      <c r="H39" s="17"/>
      <c r="I39" s="17"/>
      <c r="J39" s="18">
        <f>0.13*G34*(775)/15</f>
        <v>88.66</v>
      </c>
      <c r="K39" s="17"/>
    </row>
    <row r="40" spans="1:11" x14ac:dyDescent="0.25">
      <c r="A40" s="16"/>
      <c r="B40" s="17"/>
      <c r="C40" s="17"/>
      <c r="D40" s="17"/>
      <c r="E40" s="17"/>
      <c r="F40" s="17"/>
      <c r="G40" s="17"/>
      <c r="H40" s="17"/>
      <c r="I40" s="17"/>
      <c r="J40" s="17"/>
      <c r="K40" s="17"/>
    </row>
    <row r="41" spans="1:11" ht="15.75" x14ac:dyDescent="0.25">
      <c r="A41" s="16"/>
      <c r="B41" s="35"/>
      <c r="C41" s="17"/>
      <c r="D41" s="17"/>
      <c r="E41" s="17"/>
      <c r="F41" s="17"/>
      <c r="G41" s="17"/>
      <c r="H41" s="17"/>
      <c r="I41" s="17"/>
      <c r="J41" s="17"/>
      <c r="K41" s="17"/>
    </row>
    <row r="42" spans="1:11" ht="78.75" x14ac:dyDescent="0.25">
      <c r="A42" s="16">
        <v>4</v>
      </c>
      <c r="B42" s="35" t="s">
        <v>29</v>
      </c>
      <c r="C42" s="17"/>
      <c r="D42" s="17"/>
      <c r="E42" s="17"/>
      <c r="F42" s="17"/>
      <c r="G42" s="17"/>
      <c r="H42" s="17"/>
      <c r="I42" s="17"/>
      <c r="J42" s="17"/>
      <c r="K42" s="17"/>
    </row>
    <row r="43" spans="1:11" x14ac:dyDescent="0.25">
      <c r="A43" s="16"/>
      <c r="B43" s="32" t="str">
        <f>B21</f>
        <v>-for plum wall</v>
      </c>
      <c r="C43" s="17">
        <v>1</v>
      </c>
      <c r="D43" s="33">
        <f>D56</f>
        <v>5.5</v>
      </c>
      <c r="E43" s="33">
        <f>F56/2</f>
        <v>2</v>
      </c>
      <c r="F43" s="33">
        <v>0.05</v>
      </c>
      <c r="G43" s="33">
        <f>PRODUCT(C43:F43)</f>
        <v>0.55000000000000004</v>
      </c>
      <c r="H43" s="17"/>
      <c r="I43" s="17"/>
      <c r="J43" s="17"/>
      <c r="K43" s="17"/>
    </row>
    <row r="44" spans="1:11" x14ac:dyDescent="0.25">
      <c r="A44" s="16"/>
      <c r="B44" s="32"/>
      <c r="C44" s="17">
        <v>1</v>
      </c>
      <c r="D44" s="33">
        <f t="shared" ref="D44:D45" si="7">D57</f>
        <v>6</v>
      </c>
      <c r="E44" s="33">
        <f t="shared" ref="E44:E45" si="8">F57/2</f>
        <v>1.1499999999999999</v>
      </c>
      <c r="F44" s="33">
        <v>0.05</v>
      </c>
      <c r="G44" s="33">
        <f t="shared" ref="G44:G46" si="9">PRODUCT(C44:F44)</f>
        <v>0.34499999999999997</v>
      </c>
      <c r="H44" s="17"/>
      <c r="I44" s="17"/>
      <c r="J44" s="17"/>
      <c r="K44" s="17"/>
    </row>
    <row r="45" spans="1:11" x14ac:dyDescent="0.25">
      <c r="A45" s="16"/>
      <c r="B45" s="32"/>
      <c r="C45" s="17">
        <v>1</v>
      </c>
      <c r="D45" s="33">
        <f t="shared" si="7"/>
        <v>5</v>
      </c>
      <c r="E45" s="33">
        <f t="shared" si="8"/>
        <v>1.25</v>
      </c>
      <c r="F45" s="33">
        <v>0.05</v>
      </c>
      <c r="G45" s="33">
        <f t="shared" si="9"/>
        <v>0.3125</v>
      </c>
      <c r="H45" s="17"/>
      <c r="I45" s="17"/>
      <c r="J45" s="17"/>
      <c r="K45" s="17"/>
    </row>
    <row r="46" spans="1:11" x14ac:dyDescent="0.25">
      <c r="A46" s="16"/>
      <c r="B46" s="32" t="str">
        <f>B24</f>
        <v>-for mangaal</v>
      </c>
      <c r="C46" s="36">
        <f>C24</f>
        <v>1</v>
      </c>
      <c r="D46" s="33">
        <f>D24</f>
        <v>2</v>
      </c>
      <c r="E46" s="33">
        <f>E24</f>
        <v>2</v>
      </c>
      <c r="F46" s="33">
        <v>0.1</v>
      </c>
      <c r="G46" s="33">
        <f t="shared" si="9"/>
        <v>0.4</v>
      </c>
      <c r="H46" s="17"/>
      <c r="I46" s="17"/>
      <c r="J46" s="17"/>
      <c r="K46" s="17"/>
    </row>
    <row r="47" spans="1:11" x14ac:dyDescent="0.25">
      <c r="A47" s="16"/>
      <c r="B47" s="32" t="str">
        <f>B25</f>
        <v>-for drain</v>
      </c>
      <c r="C47" s="17">
        <f>C25</f>
        <v>1</v>
      </c>
      <c r="D47" s="33">
        <f>D25</f>
        <v>10</v>
      </c>
      <c r="E47" s="33">
        <f>E25</f>
        <v>0.9</v>
      </c>
      <c r="F47" s="33">
        <v>0.1</v>
      </c>
      <c r="G47" s="33">
        <f>PRODUCT(C47:F47)</f>
        <v>0.9</v>
      </c>
      <c r="H47" s="17"/>
      <c r="I47" s="17"/>
      <c r="J47" s="17"/>
      <c r="K47" s="17"/>
    </row>
    <row r="48" spans="1:11" ht="15" customHeight="1" x14ac:dyDescent="0.25">
      <c r="A48" s="2"/>
      <c r="B48" s="34" t="s">
        <v>16</v>
      </c>
      <c r="C48" s="3"/>
      <c r="D48" s="4"/>
      <c r="E48" s="5"/>
      <c r="F48" s="5"/>
      <c r="G48" s="6">
        <f>SUM(G43:G47)</f>
        <v>2.5074999999999998</v>
      </c>
      <c r="H48" s="7" t="s">
        <v>17</v>
      </c>
      <c r="I48" s="6">
        <v>10964.46</v>
      </c>
      <c r="J48" s="18">
        <f>G48*I48</f>
        <v>27493.383449999998</v>
      </c>
      <c r="K48" s="5"/>
    </row>
    <row r="49" spans="1:11" x14ac:dyDescent="0.25">
      <c r="A49" s="16"/>
      <c r="B49" s="32" t="s">
        <v>30</v>
      </c>
      <c r="C49" s="17"/>
      <c r="D49" s="17"/>
      <c r="E49" s="17"/>
      <c r="F49" s="17"/>
      <c r="G49" s="17"/>
      <c r="H49" s="17"/>
      <c r="I49" s="17"/>
      <c r="J49" s="18">
        <f>0.13*G48*(53818.03)/15</f>
        <v>1169.5554886166667</v>
      </c>
      <c r="K49" s="17"/>
    </row>
    <row r="50" spans="1:11" x14ac:dyDescent="0.25">
      <c r="A50" s="16"/>
      <c r="B50" s="32" t="s">
        <v>31</v>
      </c>
      <c r="C50" s="17"/>
      <c r="D50" s="17"/>
      <c r="E50" s="17"/>
      <c r="F50" s="17"/>
      <c r="G50" s="17"/>
      <c r="H50" s="17"/>
      <c r="I50" s="17"/>
      <c r="J50" s="18">
        <f>0.13*G48*(21432.6)/15</f>
        <v>465.766119</v>
      </c>
      <c r="K50" s="17"/>
    </row>
    <row r="51" spans="1:11" x14ac:dyDescent="0.25">
      <c r="A51" s="16"/>
      <c r="B51" s="32" t="s">
        <v>32</v>
      </c>
      <c r="C51" s="17"/>
      <c r="D51" s="17"/>
      <c r="E51" s="17"/>
      <c r="F51" s="17"/>
      <c r="G51" s="17"/>
      <c r="H51" s="17"/>
      <c r="I51" s="17"/>
      <c r="J51" s="18">
        <f>0.13*G48*(25719.12+13573.98+4286.52)/15</f>
        <v>947.05777529999989</v>
      </c>
      <c r="K51" s="17"/>
    </row>
    <row r="52" spans="1:11" x14ac:dyDescent="0.25">
      <c r="A52" s="16"/>
      <c r="B52" s="32" t="s">
        <v>33</v>
      </c>
      <c r="C52" s="17"/>
      <c r="D52" s="17"/>
      <c r="E52" s="17"/>
      <c r="F52" s="17"/>
      <c r="G52" s="17"/>
      <c r="H52" s="17"/>
      <c r="I52" s="17"/>
      <c r="J52" s="18">
        <f>0.13*G48*(6325.7)/15</f>
        <v>137.46800383333331</v>
      </c>
      <c r="K52" s="17"/>
    </row>
    <row r="53" spans="1:11" x14ac:dyDescent="0.25">
      <c r="A53" s="16"/>
      <c r="B53" s="32" t="s">
        <v>34</v>
      </c>
      <c r="C53" s="17"/>
      <c r="D53" s="17"/>
      <c r="E53" s="17"/>
      <c r="F53" s="17"/>
      <c r="G53" s="17"/>
      <c r="H53" s="17"/>
      <c r="I53" s="17"/>
      <c r="J53" s="18">
        <f>0.13*G48*(310)/5</f>
        <v>20.210450000000002</v>
      </c>
      <c r="K53" s="17"/>
    </row>
    <row r="54" spans="1:11" x14ac:dyDescent="0.25">
      <c r="A54" s="16"/>
      <c r="B54" s="17"/>
      <c r="C54" s="17"/>
      <c r="D54" s="17"/>
      <c r="E54" s="17"/>
      <c r="F54" s="17"/>
      <c r="G54" s="17"/>
      <c r="H54" s="17"/>
      <c r="I54" s="17"/>
      <c r="J54" s="17"/>
      <c r="K54" s="17"/>
    </row>
    <row r="55" spans="1:11" ht="141.75" x14ac:dyDescent="0.25">
      <c r="A55" s="16">
        <v>5</v>
      </c>
      <c r="B55" s="35" t="s">
        <v>37</v>
      </c>
      <c r="C55" s="17"/>
      <c r="D55" s="17"/>
      <c r="E55" s="17"/>
      <c r="F55" s="17"/>
      <c r="G55" s="17"/>
      <c r="H55" s="17"/>
      <c r="I55" s="17"/>
      <c r="J55" s="17"/>
      <c r="K55" s="17"/>
    </row>
    <row r="56" spans="1:11" x14ac:dyDescent="0.25">
      <c r="A56" s="16"/>
      <c r="B56" s="32" t="str">
        <f>B43</f>
        <v>-for plum wall</v>
      </c>
      <c r="C56" s="17">
        <v>1</v>
      </c>
      <c r="D56" s="33">
        <v>5.5</v>
      </c>
      <c r="E56" s="33">
        <f>((F56/2)+0.45)/2</f>
        <v>1.2250000000000001</v>
      </c>
      <c r="F56" s="33">
        <v>4</v>
      </c>
      <c r="G56" s="33">
        <f>PRODUCT(C56:F56)</f>
        <v>26.950000000000003</v>
      </c>
      <c r="H56" s="17"/>
      <c r="I56" s="17"/>
      <c r="J56" s="17"/>
      <c r="K56" s="17"/>
    </row>
    <row r="57" spans="1:11" x14ac:dyDescent="0.25">
      <c r="A57" s="16"/>
      <c r="B57" s="32"/>
      <c r="C57" s="17">
        <v>1</v>
      </c>
      <c r="D57" s="33">
        <v>6</v>
      </c>
      <c r="E57" s="33">
        <f>((F57/2)+0.45)/2</f>
        <v>0.79999999999999993</v>
      </c>
      <c r="F57" s="33">
        <v>2.2999999999999998</v>
      </c>
      <c r="G57" s="33">
        <f>PRODUCT(C57:F57)</f>
        <v>11.04</v>
      </c>
      <c r="H57" s="17"/>
      <c r="I57" s="17"/>
      <c r="J57" s="17"/>
      <c r="K57" s="17"/>
    </row>
    <row r="58" spans="1:11" x14ac:dyDescent="0.25">
      <c r="A58" s="16"/>
      <c r="B58" s="32"/>
      <c r="C58" s="17">
        <v>1</v>
      </c>
      <c r="D58" s="33">
        <v>5</v>
      </c>
      <c r="E58" s="33">
        <f>((F58/2)+0.45)/2</f>
        <v>0.85</v>
      </c>
      <c r="F58" s="33">
        <v>2.5</v>
      </c>
      <c r="G58" s="33">
        <f>PRODUCT(C58:F58)</f>
        <v>10.625</v>
      </c>
      <c r="H58" s="17"/>
      <c r="I58" s="17"/>
      <c r="J58" s="17"/>
      <c r="K58" s="17"/>
    </row>
    <row r="59" spans="1:11" x14ac:dyDescent="0.25">
      <c r="A59" s="16"/>
      <c r="B59" s="32" t="str">
        <f>B13</f>
        <v>-for mangaal</v>
      </c>
      <c r="C59" s="17">
        <v>1</v>
      </c>
      <c r="D59" s="33">
        <f>2+2+1.2+1.2</f>
        <v>6.4</v>
      </c>
      <c r="E59" s="33">
        <v>0.4</v>
      </c>
      <c r="F59" s="33">
        <f>F13</f>
        <v>1.0667479427003961</v>
      </c>
      <c r="G59" s="33">
        <f>PRODUCT(C59:F59)</f>
        <v>2.7308747333130143</v>
      </c>
      <c r="H59" s="17"/>
      <c r="I59" s="17"/>
      <c r="J59" s="17"/>
      <c r="K59" s="17"/>
    </row>
    <row r="60" spans="1:11" x14ac:dyDescent="0.25">
      <c r="A60" s="16"/>
      <c r="B60" s="32" t="str">
        <f>B47</f>
        <v>-for drain</v>
      </c>
      <c r="C60" s="17">
        <f>C47*2</f>
        <v>2</v>
      </c>
      <c r="D60" s="33">
        <f>D47</f>
        <v>10</v>
      </c>
      <c r="E60" s="33">
        <v>0.3</v>
      </c>
      <c r="F60" s="33">
        <f>1.17/3.281</f>
        <v>0.35659859798841814</v>
      </c>
      <c r="G60" s="33">
        <f>PRODUCT(C60:F60)</f>
        <v>2.139591587930509</v>
      </c>
      <c r="H60" s="17"/>
      <c r="I60" s="17"/>
      <c r="J60" s="17"/>
      <c r="K60" s="17"/>
    </row>
    <row r="61" spans="1:11" ht="15" customHeight="1" x14ac:dyDescent="0.25">
      <c r="A61" s="2"/>
      <c r="B61" s="34" t="s">
        <v>16</v>
      </c>
      <c r="C61" s="3"/>
      <c r="D61" s="4"/>
      <c r="E61" s="5"/>
      <c r="F61" s="5"/>
      <c r="G61" s="6">
        <f>SUM(G56:G60)</f>
        <v>53.485466321243528</v>
      </c>
      <c r="H61" s="7" t="s">
        <v>17</v>
      </c>
      <c r="I61" s="6">
        <v>9860.43</v>
      </c>
      <c r="J61" s="18">
        <f>G61*I61</f>
        <v>527389.69667797931</v>
      </c>
      <c r="K61" s="5"/>
    </row>
    <row r="62" spans="1:11" x14ac:dyDescent="0.25">
      <c r="A62" s="16"/>
      <c r="B62" s="32" t="s">
        <v>30</v>
      </c>
      <c r="C62" s="17"/>
      <c r="D62" s="17"/>
      <c r="E62" s="17"/>
      <c r="F62" s="17"/>
      <c r="G62" s="17"/>
      <c r="H62" s="17"/>
      <c r="I62" s="17"/>
      <c r="J62" s="18">
        <f>0.13*G61*(22152.7)/10</f>
        <v>15403.01736706995</v>
      </c>
      <c r="K62" s="17"/>
    </row>
    <row r="63" spans="1:11" x14ac:dyDescent="0.25">
      <c r="A63" s="16"/>
      <c r="B63" s="32" t="s">
        <v>31</v>
      </c>
      <c r="C63" s="17"/>
      <c r="D63" s="17"/>
      <c r="E63" s="17"/>
      <c r="F63" s="17"/>
      <c r="G63" s="17"/>
      <c r="H63" s="17"/>
      <c r="I63" s="17"/>
      <c r="J63" s="18">
        <f>0.13*G61*(9525.6)/10</f>
        <v>6623.2550538652849</v>
      </c>
      <c r="K63" s="17"/>
    </row>
    <row r="64" spans="1:11" x14ac:dyDescent="0.25">
      <c r="A64" s="16"/>
      <c r="B64" s="32" t="s">
        <v>38</v>
      </c>
      <c r="C64" s="17"/>
      <c r="D64" s="17"/>
      <c r="E64" s="17"/>
      <c r="F64" s="17"/>
      <c r="G64" s="17"/>
      <c r="H64" s="17"/>
      <c r="I64" s="17"/>
      <c r="J64" s="18">
        <f>0.13*G61*(11331.936)/10</f>
        <v>7879.2204566723321</v>
      </c>
      <c r="K64" s="17"/>
    </row>
    <row r="65" spans="1:11" x14ac:dyDescent="0.25">
      <c r="A65" s="16"/>
      <c r="B65" s="32" t="s">
        <v>39</v>
      </c>
      <c r="C65" s="17"/>
      <c r="D65" s="17"/>
      <c r="E65" s="17"/>
      <c r="F65" s="17"/>
      <c r="G65" s="17"/>
      <c r="H65" s="17"/>
      <c r="I65" s="17"/>
      <c r="J65" s="18">
        <f>0.13*G61*(10954.44+5228.496+2286.144)/10</f>
        <v>12841.755632216582</v>
      </c>
      <c r="K65" s="17"/>
    </row>
    <row r="66" spans="1:11" x14ac:dyDescent="0.25">
      <c r="A66" s="16"/>
      <c r="B66" s="17"/>
      <c r="C66" s="17"/>
      <c r="D66" s="17"/>
      <c r="E66" s="17"/>
      <c r="F66" s="17"/>
      <c r="G66" s="17"/>
      <c r="H66" s="17"/>
      <c r="I66" s="17"/>
      <c r="J66" s="17"/>
      <c r="K66" s="17"/>
    </row>
    <row r="67" spans="1:11" ht="15" customHeight="1" x14ac:dyDescent="0.25">
      <c r="A67" s="2">
        <v>6</v>
      </c>
      <c r="B67" s="1" t="s">
        <v>44</v>
      </c>
      <c r="C67" s="3">
        <v>1</v>
      </c>
      <c r="D67" s="4"/>
      <c r="E67" s="5"/>
      <c r="F67" s="5"/>
      <c r="G67" s="7">
        <f t="shared" ref="G67" si="10">PRODUCT(C67:F67)</f>
        <v>1</v>
      </c>
      <c r="H67" s="7" t="s">
        <v>19</v>
      </c>
      <c r="I67" s="6">
        <v>5000</v>
      </c>
      <c r="J67" s="7">
        <f>G67*I67</f>
        <v>5000</v>
      </c>
      <c r="K67" s="5"/>
    </row>
    <row r="68" spans="1:11" x14ac:dyDescent="0.25">
      <c r="A68" s="2"/>
      <c r="B68" s="8"/>
      <c r="C68" s="3"/>
      <c r="D68" s="4"/>
      <c r="E68" s="5"/>
      <c r="F68" s="5"/>
      <c r="G68" s="6"/>
      <c r="H68" s="7"/>
      <c r="I68" s="6"/>
      <c r="J68" s="18"/>
      <c r="K68" s="5"/>
    </row>
    <row r="69" spans="1:11" ht="15" customHeight="1" x14ac:dyDescent="0.25">
      <c r="A69" s="2">
        <v>7</v>
      </c>
      <c r="B69" s="1" t="s">
        <v>18</v>
      </c>
      <c r="C69" s="3">
        <v>1</v>
      </c>
      <c r="D69" s="4"/>
      <c r="E69" s="5"/>
      <c r="F69" s="5"/>
      <c r="G69" s="7">
        <f t="shared" ref="G69" si="11">PRODUCT(C69:F69)</f>
        <v>1</v>
      </c>
      <c r="H69" s="7" t="s">
        <v>19</v>
      </c>
      <c r="I69" s="6">
        <v>500</v>
      </c>
      <c r="J69" s="7">
        <f>G69*I69</f>
        <v>500</v>
      </c>
      <c r="K69" s="5"/>
    </row>
    <row r="70" spans="1:11" x14ac:dyDescent="0.25">
      <c r="A70" s="2"/>
      <c r="B70" s="8"/>
      <c r="C70" s="3"/>
      <c r="D70" s="4"/>
      <c r="E70" s="5"/>
      <c r="F70" s="5"/>
      <c r="G70" s="6"/>
      <c r="H70" s="7"/>
      <c r="I70" s="6"/>
      <c r="J70" s="18"/>
      <c r="K70" s="5"/>
    </row>
    <row r="71" spans="1:11" x14ac:dyDescent="0.25">
      <c r="A71" s="21"/>
      <c r="B71" s="22" t="s">
        <v>21</v>
      </c>
      <c r="C71" s="23"/>
      <c r="D71" s="24"/>
      <c r="E71" s="24"/>
      <c r="F71" s="24"/>
      <c r="G71" s="18"/>
      <c r="H71" s="18"/>
      <c r="I71" s="18"/>
      <c r="J71" s="18">
        <f>SUM(J9:J69)</f>
        <v>874070.21402125107</v>
      </c>
      <c r="K71" s="25"/>
    </row>
    <row r="73" spans="1:11" s="20" customFormat="1" x14ac:dyDescent="0.25">
      <c r="A73" s="26"/>
      <c r="B73" s="27" t="s">
        <v>20</v>
      </c>
      <c r="C73" s="37">
        <f>J71</f>
        <v>874070.21402125107</v>
      </c>
      <c r="D73" s="38"/>
      <c r="E73" s="9">
        <v>100</v>
      </c>
      <c r="F73" s="26"/>
      <c r="G73" s="28"/>
      <c r="H73" s="26"/>
      <c r="I73" s="29"/>
      <c r="J73" s="30"/>
      <c r="K73" s="31"/>
    </row>
    <row r="74" spans="1:11" x14ac:dyDescent="0.25">
      <c r="B74" s="27" t="s">
        <v>23</v>
      </c>
      <c r="C74" s="41">
        <v>750000</v>
      </c>
      <c r="D74" s="42"/>
      <c r="E74" s="9"/>
    </row>
    <row r="75" spans="1:11" x14ac:dyDescent="0.25">
      <c r="B75" s="27" t="s">
        <v>24</v>
      </c>
      <c r="C75" s="41">
        <f>C74-C77-C78</f>
        <v>712500</v>
      </c>
      <c r="D75" s="42"/>
      <c r="E75" s="9">
        <f>C75/C73*100</f>
        <v>81.51519049277168</v>
      </c>
    </row>
    <row r="76" spans="1:11" x14ac:dyDescent="0.25">
      <c r="B76" s="27" t="s">
        <v>35</v>
      </c>
      <c r="C76" s="43">
        <f>C73-C75</f>
        <v>161570.21402125107</v>
      </c>
      <c r="D76" s="43"/>
      <c r="E76" s="9">
        <f>100-E75</f>
        <v>18.48480950722832</v>
      </c>
    </row>
    <row r="77" spans="1:11" x14ac:dyDescent="0.25">
      <c r="B77" s="27" t="s">
        <v>25</v>
      </c>
      <c r="C77" s="37">
        <f>C74*0.03</f>
        <v>22500</v>
      </c>
      <c r="D77" s="38"/>
      <c r="E77" s="9">
        <v>3</v>
      </c>
    </row>
    <row r="78" spans="1:11" x14ac:dyDescent="0.25">
      <c r="B78" s="27" t="s">
        <v>26</v>
      </c>
      <c r="C78" s="37">
        <f>C74*0.02</f>
        <v>15000</v>
      </c>
      <c r="D78" s="38"/>
      <c r="E78" s="9">
        <v>2</v>
      </c>
    </row>
  </sheetData>
  <mergeCells count="15">
    <mergeCell ref="A6:F6"/>
    <mergeCell ref="H6:K6"/>
    <mergeCell ref="A1:K1"/>
    <mergeCell ref="A2:K2"/>
    <mergeCell ref="A3:K3"/>
    <mergeCell ref="A4:K4"/>
    <mergeCell ref="A5:K5"/>
    <mergeCell ref="C77:D77"/>
    <mergeCell ref="C78:D78"/>
    <mergeCell ref="A7:F7"/>
    <mergeCell ref="H7:K7"/>
    <mergeCell ref="C73:D73"/>
    <mergeCell ref="C74:D74"/>
    <mergeCell ref="C75:D75"/>
    <mergeCell ref="C76:D76"/>
  </mergeCells>
  <phoneticPr fontId="14" type="noConversion"/>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2026-03-16T06:06:00Z</dcterms:modified>
</cp:coreProperties>
</file>