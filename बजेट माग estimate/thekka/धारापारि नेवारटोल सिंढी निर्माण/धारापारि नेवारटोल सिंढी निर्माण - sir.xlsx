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C93F0AC2-62EB-4D19-9D55-D5752A9ACCB1}"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estimate!$A$1:$K$30</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12" l="1"/>
  <c r="I20" i="12"/>
  <c r="I15" i="12"/>
  <c r="I11" i="12"/>
  <c r="F19" i="12"/>
  <c r="E19" i="12"/>
  <c r="C19" i="12"/>
  <c r="B19" i="12"/>
  <c r="E14" i="12"/>
  <c r="E18" i="12" s="1"/>
  <c r="F10" i="12"/>
  <c r="D10" i="12"/>
  <c r="D14" i="12" s="1"/>
  <c r="D18" i="12" s="1"/>
  <c r="G18" i="12" l="1"/>
  <c r="D23" i="12"/>
  <c r="G23" i="12" l="1"/>
  <c r="G24" i="12" s="1"/>
  <c r="J24" i="12" s="1"/>
  <c r="D19" i="12"/>
  <c r="G19" i="12" s="1"/>
  <c r="G20" i="12" s="1"/>
  <c r="G14" i="12"/>
  <c r="G15" i="12" s="1"/>
  <c r="J20" i="12" l="1"/>
  <c r="J15" i="12"/>
  <c r="G10" i="12" l="1"/>
  <c r="G11" i="12" s="1"/>
  <c r="J11" i="12" l="1"/>
  <c r="G26" i="12" l="1"/>
  <c r="J26" i="12" s="1"/>
  <c r="J28" i="12" s="1"/>
  <c r="C30" i="12" l="1"/>
</calcChain>
</file>

<file path=xl/sharedStrings.xml><?xml version="1.0" encoding="utf-8"?>
<sst xmlns="http://schemas.openxmlformats.org/spreadsheetml/2006/main" count="40" uniqueCount="32">
  <si>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</si>
  <si>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</si>
  <si>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</si>
  <si>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</si>
  <si>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</si>
  <si>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</si>
  <si>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</si>
  <si>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</si>
  <si>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</si>
  <si>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</si>
  <si>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</si>
  <si>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</si>
  <si>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</si>
  <si>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</si>
  <si>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</si>
  <si>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</si>
  <si>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</si>
  <si>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</si>
  <si>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</si>
  <si>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</si>
  <si>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F.Y.: 2082/2083</t>
  </si>
  <si>
    <t>sub-total</t>
  </si>
  <si>
    <t>cum</t>
  </si>
  <si>
    <t>Location:- Shankharapur Municipality 1</t>
  </si>
  <si>
    <t>Date:2082</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</si>
  <si>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</si>
  <si>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r>
      <t>Project:-</t>
    </r>
    <r>
      <rPr>
        <sz val="12"/>
        <rFont val="Preeti"/>
      </rPr>
      <t xml:space="preserve"> wf/fkfgL g}jf/6f]n l;9L</t>
    </r>
  </si>
  <si>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</si>
  <si>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</si>
  <si>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-masonary wall</t>
  </si>
  <si>
    <t>Random Rubble Masonry, Providing and laying of Stone Masonry Work in the Cement Mortar 1:6 in Foundation complete as per Drawing and Technical Specifications.</t>
  </si>
  <si>
    <r>
      <t>-</t>
    </r>
    <r>
      <rPr>
        <sz val="12"/>
        <rFont val="Preeti"/>
      </rPr>
      <t>l;9L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</si>
</sst>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22" zoomScaleNormal="100" zoomScaleSheetLayoutView="95" workbookViewId="0">
      <selection activeCell="I25" sqref="I25"/>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41" t="s">
        <v>0</v>
      </c>
      <c r="B1" s="41"/>
      <c r="C1" s="41"/>
      <c r="D1" s="41"/>
      <c r="E1" s="41"/>
      <c r="F1" s="41"/>
      <c r="G1" s="41"/>
      <c r="H1" s="41"/>
      <c r="I1" s="41"/>
      <c r="J1" s="41"/>
      <c r="K1" s="41"/>
    </row>
    <row r="2" spans="1:11" ht="22.5" x14ac:dyDescent="0.25">
      <c r="A2" s="42" t="s">
        <v>1</v>
      </c>
      <c r="B2" s="42"/>
      <c r="C2" s="42"/>
      <c r="D2" s="42"/>
      <c r="E2" s="42"/>
      <c r="F2" s="42"/>
      <c r="G2" s="42"/>
      <c r="H2" s="42"/>
      <c r="I2" s="42"/>
      <c r="J2" s="42"/>
      <c r="K2" s="42"/>
    </row>
    <row r="3" spans="1:11" x14ac:dyDescent="0.25">
      <c r="A3" s="43" t="s">
        <v>2</v>
      </c>
      <c r="B3" s="43"/>
      <c r="C3" s="43"/>
      <c r="D3" s="43"/>
      <c r="E3" s="43"/>
      <c r="F3" s="43"/>
      <c r="G3" s="43"/>
      <c r="H3" s="43"/>
      <c r="I3" s="43"/>
      <c r="J3" s="43"/>
      <c r="K3" s="43"/>
    </row>
    <row r="4" spans="1:11" x14ac:dyDescent="0.25">
      <c r="A4" s="43" t="s">
        <v>3</v>
      </c>
      <c r="B4" s="43"/>
      <c r="C4" s="43"/>
      <c r="D4" s="43"/>
      <c r="E4" s="43"/>
      <c r="F4" s="43"/>
      <c r="G4" s="43"/>
      <c r="H4" s="43"/>
      <c r="I4" s="43"/>
      <c r="J4" s="43"/>
      <c r="K4" s="43"/>
    </row>
    <row r="5" spans="1:11" ht="18.75" x14ac:dyDescent="0.3">
      <c r="A5" s="44" t="s">
        <v>4</v>
      </c>
      <c r="B5" s="44"/>
      <c r="C5" s="44"/>
      <c r="D5" s="44"/>
      <c r="E5" s="44"/>
      <c r="F5" s="44"/>
      <c r="G5" s="44"/>
      <c r="H5" s="44"/>
      <c r="I5" s="44"/>
      <c r="J5" s="44"/>
      <c r="K5" s="44"/>
    </row>
    <row r="6" spans="1:11" ht="15.75" x14ac:dyDescent="0.25">
      <c r="A6" s="39" t="s">
        <v>26</v>
      </c>
      <c r="B6" s="39"/>
      <c r="C6" s="39"/>
      <c r="D6" s="39"/>
      <c r="E6" s="39"/>
      <c r="F6" s="39"/>
      <c r="G6" s="4"/>
      <c r="H6" s="40" t="s">
        <v>20</v>
      </c>
      <c r="I6" s="40"/>
      <c r="J6" s="40"/>
      <c r="K6" s="40"/>
    </row>
    <row r="7" spans="1:11" ht="15.75" x14ac:dyDescent="0.25">
      <c r="A7" s="47" t="s">
        <v>23</v>
      </c>
      <c r="B7" s="47"/>
      <c r="C7" s="47"/>
      <c r="D7" s="47"/>
      <c r="E7" s="47"/>
      <c r="F7" s="47"/>
      <c r="G7" s="5"/>
      <c r="H7" s="48" t="s">
        <v>24</v>
      </c>
      <c r="I7" s="48"/>
      <c r="J7" s="48"/>
      <c r="K7" s="48"/>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25</v>
      </c>
      <c r="C9" s="12"/>
      <c r="D9" s="12"/>
      <c r="E9" s="12"/>
      <c r="F9" s="12"/>
      <c r="G9" s="12"/>
      <c r="H9" s="12"/>
      <c r="I9" s="12"/>
      <c r="J9" s="13"/>
      <c r="K9" s="12"/>
    </row>
    <row r="10" spans="1:11" ht="15.75" x14ac:dyDescent="0.25">
      <c r="A10" s="10"/>
      <c r="B10" s="14" t="s">
        <v>31</v>
      </c>
      <c r="C10" s="12">
        <v>1</v>
      </c>
      <c r="D10" s="15">
        <f>10+3+5+6+2+5+3</f>
        <v>34</v>
      </c>
      <c r="E10" s="12">
        <v>3</v>
      </c>
      <c r="F10" s="12">
        <f>0.15+0.1</f>
        <v>0.25</v>
      </c>
      <c r="G10" s="15">
        <f t="shared" ref="G10" si="0">PRODUCT(C10:F10)</f>
        <v>25.5</v>
      </c>
      <c r="H10" s="12"/>
      <c r="I10" s="12"/>
      <c r="J10" s="13"/>
      <c r="K10" s="12"/>
    </row>
    <row r="11" spans="1:11" s="22" customFormat="1" x14ac:dyDescent="0.25">
      <c r="A11" s="16"/>
      <c r="B11" s="17" t="s">
        <v>21</v>
      </c>
      <c r="C11" s="18"/>
      <c r="D11" s="1"/>
      <c r="E11" s="19"/>
      <c r="F11" s="19"/>
      <c r="G11" s="20">
        <f>SUM(G10:G10)</f>
        <v>25.5</v>
      </c>
      <c r="H11" s="21" t="s">
        <v>22</v>
      </c>
      <c r="I11" s="2">
        <f>1.15*748.9</f>
        <v>861.2349999999999</v>
      </c>
      <c r="J11" s="20">
        <f>G11*I11</f>
        <v>21961.492499999997</v>
      </c>
      <c r="K11" s="19"/>
    </row>
    <row r="12" spans="1:11" x14ac:dyDescent="0.25">
      <c r="A12" s="10"/>
      <c r="B12" s="23"/>
      <c r="C12" s="12"/>
      <c r="D12" s="12"/>
      <c r="E12" s="12"/>
      <c r="F12" s="12"/>
      <c r="G12" s="12"/>
      <c r="H12" s="12"/>
      <c r="I12" s="12"/>
      <c r="J12" s="13"/>
      <c r="K12" s="12"/>
    </row>
    <row r="13" spans="1:11" ht="105" x14ac:dyDescent="0.25">
      <c r="A13" s="10">
        <v>2</v>
      </c>
      <c r="B13" s="11" t="s">
        <v>27</v>
      </c>
      <c r="C13" s="12"/>
      <c r="D13" s="12"/>
      <c r="E13" s="12"/>
      <c r="F13" s="12"/>
      <c r="G13" s="12"/>
      <c r="H13" s="12"/>
      <c r="I13" s="12"/>
      <c r="J13" s="12"/>
      <c r="K13" s="12"/>
    </row>
    <row r="14" spans="1:11" ht="15.75" x14ac:dyDescent="0.25">
      <c r="A14" s="10"/>
      <c r="B14" s="14" t="s">
        <v>31</v>
      </c>
      <c r="C14" s="12">
        <v>1</v>
      </c>
      <c r="D14" s="15">
        <f>D10</f>
        <v>34</v>
      </c>
      <c r="E14" s="12">
        <f>E10+E23</f>
        <v>3.45</v>
      </c>
      <c r="F14" s="12">
        <v>0.15</v>
      </c>
      <c r="G14" s="15">
        <f t="shared" ref="G14" si="1">PRODUCT(C14:F14)</f>
        <v>17.595000000000002</v>
      </c>
      <c r="H14" s="12"/>
      <c r="I14" s="12"/>
      <c r="J14" s="13"/>
      <c r="K14" s="12"/>
    </row>
    <row r="15" spans="1:11" s="22" customFormat="1" x14ac:dyDescent="0.25">
      <c r="A15" s="16"/>
      <c r="B15" s="17" t="s">
        <v>21</v>
      </c>
      <c r="C15" s="18"/>
      <c r="D15" s="1"/>
      <c r="E15" s="19"/>
      <c r="F15" s="19"/>
      <c r="G15" s="20">
        <f>SUM(G14:G14)</f>
        <v>17.595000000000002</v>
      </c>
      <c r="H15" s="21" t="s">
        <v>22</v>
      </c>
      <c r="I15" s="2">
        <f>1.15*4458.52</f>
        <v>5127.2979999999998</v>
      </c>
      <c r="J15" s="20">
        <f>G15*I15</f>
        <v>90214.808310000008</v>
      </c>
      <c r="K15" s="19"/>
    </row>
    <row r="16" spans="1:11" x14ac:dyDescent="0.25">
      <c r="A16" s="10"/>
      <c r="B16" s="11"/>
      <c r="C16" s="12"/>
      <c r="D16" s="12"/>
      <c r="E16" s="12"/>
      <c r="F16" s="12"/>
      <c r="G16" s="12"/>
      <c r="H16" s="12"/>
      <c r="I16" s="12"/>
      <c r="J16" s="12"/>
      <c r="K16" s="12"/>
    </row>
    <row r="17" spans="1:11" ht="90" x14ac:dyDescent="0.25">
      <c r="A17" s="10">
        <v>3</v>
      </c>
      <c r="B17" s="11" t="s">
        <v>28</v>
      </c>
      <c r="C17" s="12"/>
      <c r="D17" s="24"/>
      <c r="E17" s="24"/>
      <c r="F17" s="24"/>
      <c r="G17" s="12"/>
      <c r="H17" s="12"/>
      <c r="I17" s="12"/>
      <c r="J17" s="13"/>
      <c r="K17" s="12"/>
    </row>
    <row r="18" spans="1:11" ht="15.75" x14ac:dyDescent="0.25">
      <c r="A18" s="10"/>
      <c r="B18" s="14" t="s">
        <v>31</v>
      </c>
      <c r="C18" s="12">
        <v>1</v>
      </c>
      <c r="D18" s="15">
        <f>D14</f>
        <v>34</v>
      </c>
      <c r="E18" s="12">
        <f>E14</f>
        <v>3.45</v>
      </c>
      <c r="F18" s="12">
        <v>0.1</v>
      </c>
      <c r="G18" s="15">
        <f t="shared" ref="G18:G19" si="2">PRODUCT(C18:F18)</f>
        <v>11.730000000000002</v>
      </c>
      <c r="H18" s="12"/>
      <c r="I18" s="12"/>
      <c r="J18" s="13"/>
      <c r="K18" s="12"/>
    </row>
    <row r="19" spans="1:11" ht="15.75" x14ac:dyDescent="0.25">
      <c r="A19" s="10"/>
      <c r="B19" s="14" t="str">
        <f>B23</f>
        <v>-masonary wall</v>
      </c>
      <c r="C19" s="12">
        <f>C23</f>
        <v>1</v>
      </c>
      <c r="D19" s="15">
        <f>D23</f>
        <v>34</v>
      </c>
      <c r="E19" s="12">
        <f>E23</f>
        <v>0.45</v>
      </c>
      <c r="F19" s="12">
        <f>0.05</f>
        <v>0.05</v>
      </c>
      <c r="G19" s="15">
        <f t="shared" si="2"/>
        <v>0.76500000000000012</v>
      </c>
      <c r="H19" s="12"/>
      <c r="I19" s="12"/>
      <c r="J19" s="13"/>
      <c r="K19" s="12"/>
    </row>
    <row r="20" spans="1:11" s="22" customFormat="1" x14ac:dyDescent="0.25">
      <c r="A20" s="16"/>
      <c r="B20" s="17" t="s">
        <v>21</v>
      </c>
      <c r="C20" s="18"/>
      <c r="D20" s="1"/>
      <c r="E20" s="19"/>
      <c r="F20" s="19"/>
      <c r="G20" s="20">
        <f>SUM(G18:G19)</f>
        <v>12.495000000000003</v>
      </c>
      <c r="H20" s="21" t="s">
        <v>22</v>
      </c>
      <c r="I20" s="2">
        <f>1.15*11587.52</f>
        <v>13325.647999999999</v>
      </c>
      <c r="J20" s="20">
        <f>G20*I20</f>
        <v>166503.97176000001</v>
      </c>
      <c r="K20" s="19"/>
    </row>
    <row r="21" spans="1:11" x14ac:dyDescent="0.25">
      <c r="A21" s="10"/>
      <c r="B21" s="23"/>
      <c r="C21" s="12"/>
      <c r="D21" s="12"/>
      <c r="E21" s="12"/>
      <c r="F21" s="12"/>
      <c r="G21" s="12"/>
      <c r="H21" s="12"/>
      <c r="I21" s="12"/>
      <c r="J21" s="13"/>
      <c r="K21" s="12"/>
    </row>
    <row r="22" spans="1:11" ht="90" x14ac:dyDescent="0.25">
      <c r="A22" s="10">
        <v>4</v>
      </c>
      <c r="B22" s="11" t="s">
        <v>30</v>
      </c>
      <c r="C22" s="12"/>
      <c r="D22" s="24"/>
      <c r="E22" s="24"/>
      <c r="F22" s="24"/>
      <c r="G22" s="12"/>
      <c r="H22" s="12"/>
      <c r="I22" s="12"/>
      <c r="J22" s="13"/>
      <c r="K22" s="12"/>
    </row>
    <row r="23" spans="1:11" x14ac:dyDescent="0.25">
      <c r="A23" s="10"/>
      <c r="B23" s="17" t="s">
        <v>29</v>
      </c>
      <c r="C23" s="12">
        <v>1</v>
      </c>
      <c r="D23" s="15">
        <f>D14</f>
        <v>34</v>
      </c>
      <c r="E23" s="12">
        <v>0.45</v>
      </c>
      <c r="F23" s="12">
        <v>0.75</v>
      </c>
      <c r="G23" s="15">
        <f t="shared" ref="G23" si="3">PRODUCT(C23:F23)</f>
        <v>11.475000000000001</v>
      </c>
      <c r="H23" s="12"/>
      <c r="I23" s="12"/>
      <c r="J23" s="13"/>
      <c r="K23" s="12"/>
    </row>
    <row r="24" spans="1:11" s="22" customFormat="1" x14ac:dyDescent="0.25">
      <c r="A24" s="16"/>
      <c r="B24" s="17" t="s">
        <v>21</v>
      </c>
      <c r="C24" s="18"/>
      <c r="D24" s="1"/>
      <c r="E24" s="19"/>
      <c r="F24" s="19"/>
      <c r="G24" s="20">
        <f>SUM(G23:G23)</f>
        <v>11.475000000000001</v>
      </c>
      <c r="H24" s="21" t="s">
        <v>22</v>
      </c>
      <c r="I24" s="2">
        <f>1.15*9878.43</f>
        <v>11360.1945</v>
      </c>
      <c r="J24" s="20">
        <f>G24*I24</f>
        <v>130358.23188750001</v>
      </c>
      <c r="K24" s="19"/>
    </row>
    <row r="25" spans="1:11" x14ac:dyDescent="0.25">
      <c r="A25" s="10"/>
      <c r="B25" s="23"/>
      <c r="C25" s="12"/>
      <c r="D25" s="12"/>
      <c r="E25" s="12"/>
      <c r="F25" s="12"/>
      <c r="G25" s="12"/>
      <c r="H25" s="12"/>
      <c r="I25" s="12"/>
      <c r="J25" s="13"/>
      <c r="K25" s="12"/>
    </row>
    <row r="26" spans="1:11" ht="15" customHeight="1" x14ac:dyDescent="0.25">
      <c r="A26" s="16">
        <v>5</v>
      </c>
      <c r="B26" s="25" t="s">
        <v>16</v>
      </c>
      <c r="C26" s="18">
        <v>1</v>
      </c>
      <c r="D26" s="1"/>
      <c r="E26" s="19"/>
      <c r="F26" s="19"/>
      <c r="G26" s="21">
        <f t="shared" ref="G26" si="4">PRODUCT(C26:F26)</f>
        <v>1</v>
      </c>
      <c r="H26" s="21" t="s">
        <v>17</v>
      </c>
      <c r="I26" s="2">
        <v>500</v>
      </c>
      <c r="J26" s="21">
        <f>G26*I26</f>
        <v>500</v>
      </c>
      <c r="K26" s="19"/>
    </row>
    <row r="27" spans="1:11" x14ac:dyDescent="0.25">
      <c r="A27" s="16"/>
      <c r="B27" s="26"/>
      <c r="C27" s="18"/>
      <c r="D27" s="1"/>
      <c r="E27" s="19"/>
      <c r="F27" s="19"/>
      <c r="G27" s="2"/>
      <c r="H27" s="21"/>
      <c r="I27" s="2"/>
      <c r="J27" s="13"/>
      <c r="K27" s="19"/>
    </row>
    <row r="28" spans="1:11" x14ac:dyDescent="0.25">
      <c r="A28" s="27"/>
      <c r="B28" s="28" t="s">
        <v>19</v>
      </c>
      <c r="C28" s="29"/>
      <c r="D28" s="30"/>
      <c r="E28" s="30"/>
      <c r="F28" s="30"/>
      <c r="G28" s="13"/>
      <c r="H28" s="13"/>
      <c r="I28" s="13"/>
      <c r="J28" s="13">
        <f>SUM(J9:J26)</f>
        <v>409538.50445750006</v>
      </c>
      <c r="K28" s="31"/>
    </row>
    <row r="30" spans="1:11" s="22" customFormat="1" x14ac:dyDescent="0.25">
      <c r="A30" s="32"/>
      <c r="B30" s="33" t="s">
        <v>18</v>
      </c>
      <c r="C30" s="45">
        <f>J28</f>
        <v>409538.50445750006</v>
      </c>
      <c r="D30" s="46"/>
      <c r="E30" s="34"/>
      <c r="F30" s="32"/>
      <c r="G30" s="35"/>
      <c r="H30" s="32"/>
      <c r="I30" s="36"/>
      <c r="J30" s="37"/>
      <c r="K30" s="38"/>
    </row>
  </sheetData>
  <mergeCells count="10">
    <mergeCell ref="A7:F7"/>
    <mergeCell ref="H7:K7"/>
    <mergeCell ref="C30:D30"/>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2026-03-30T06:15:49Z</dcterms:modified>
</cp:coreProperties>
</file>