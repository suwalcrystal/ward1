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0" i="13" l="1"/>
  <c r="G28" i="13"/>
  <c r="G29" i="13" s="1"/>
  <c r="E28" i="13"/>
  <c r="D28" i="13"/>
  <c r="C28" i="13"/>
  <c r="B28" i="13"/>
  <c r="G21" i="13"/>
  <c r="G20" i="13"/>
  <c r="E20" i="13"/>
  <c r="D20" i="13"/>
  <c r="C20" i="13"/>
  <c r="B20" i="13"/>
  <c r="G14" i="13"/>
  <c r="G13" i="13"/>
  <c r="D13" i="13"/>
  <c r="G100" i="13"/>
  <c r="G81" i="13"/>
  <c r="G68" i="13"/>
  <c r="G56" i="13"/>
  <c r="G47" i="13"/>
  <c r="G37" i="13"/>
  <c r="E55" i="13"/>
  <c r="D55" i="13"/>
  <c r="B54" i="13"/>
  <c r="C54" i="13"/>
  <c r="D54" i="13"/>
  <c r="F54" i="13"/>
  <c r="G54" i="13"/>
  <c r="C55" i="13"/>
  <c r="F46" i="13"/>
  <c r="F45" i="13"/>
  <c r="D46" i="13"/>
  <c r="D45" i="13"/>
  <c r="C46" i="13"/>
  <c r="C45" i="13"/>
  <c r="G45" i="13" s="1"/>
  <c r="D99" i="13"/>
  <c r="C98" i="13" s="1"/>
  <c r="D98" i="13"/>
  <c r="C99" i="13" s="1"/>
  <c r="F99" i="13" s="1"/>
  <c r="G99" i="13" s="1"/>
  <c r="E99" i="13"/>
  <c r="E98" i="13"/>
  <c r="D93" i="13"/>
  <c r="C92" i="13" s="1"/>
  <c r="F92" i="13" s="1"/>
  <c r="G92" i="13" s="1"/>
  <c r="D92" i="13"/>
  <c r="E93" i="13"/>
  <c r="E92" i="13"/>
  <c r="C93" i="13"/>
  <c r="B92" i="13"/>
  <c r="E91" i="13"/>
  <c r="F91" i="13"/>
  <c r="G91" i="13" s="1"/>
  <c r="D91" i="13"/>
  <c r="C91" i="13"/>
  <c r="E89" i="13"/>
  <c r="F89" i="13"/>
  <c r="G89" i="13" s="1"/>
  <c r="E90" i="13"/>
  <c r="F90" i="13"/>
  <c r="G90" i="13"/>
  <c r="C90" i="13"/>
  <c r="C89" i="13"/>
  <c r="D90" i="13"/>
  <c r="D89" i="13"/>
  <c r="B89" i="13"/>
  <c r="C88" i="13"/>
  <c r="C87" i="13"/>
  <c r="Q95" i="13"/>
  <c r="D87" i="13"/>
  <c r="D88" i="13"/>
  <c r="E73" i="13"/>
  <c r="D73" i="13"/>
  <c r="D62" i="13"/>
  <c r="G77" i="13"/>
  <c r="F77" i="13"/>
  <c r="E77" i="13"/>
  <c r="D77" i="13"/>
  <c r="B77" i="13"/>
  <c r="G75" i="13"/>
  <c r="G76" i="13"/>
  <c r="F76" i="13"/>
  <c r="F75" i="13"/>
  <c r="E76" i="13"/>
  <c r="E75" i="13"/>
  <c r="D76" i="13"/>
  <c r="D75" i="13"/>
  <c r="G74" i="13"/>
  <c r="E74" i="13"/>
  <c r="D74" i="13"/>
  <c r="B74" i="13"/>
  <c r="E65" i="13"/>
  <c r="D65" i="13"/>
  <c r="G63" i="13"/>
  <c r="G64" i="13"/>
  <c r="D64" i="13"/>
  <c r="F64" i="13"/>
  <c r="F63" i="13"/>
  <c r="D63" i="13"/>
  <c r="G65" i="13"/>
  <c r="B26" i="13"/>
  <c r="C26" i="13"/>
  <c r="D26" i="13"/>
  <c r="E26" i="13"/>
  <c r="G26" i="13"/>
  <c r="C18" i="13"/>
  <c r="G18" i="13" s="1"/>
  <c r="B18" i="13"/>
  <c r="D18" i="13"/>
  <c r="E18" i="13"/>
  <c r="F11" i="13"/>
  <c r="G11" i="13"/>
  <c r="D11" i="13"/>
  <c r="E11" i="13"/>
  <c r="T11" i="13"/>
  <c r="S11" i="13"/>
  <c r="Q87" i="13"/>
  <c r="P87" i="13"/>
  <c r="O87" i="13"/>
  <c r="N87" i="13"/>
  <c r="C97" i="13"/>
  <c r="C96" i="13"/>
  <c r="F97" i="13"/>
  <c r="G97" i="13" s="1"/>
  <c r="F96" i="13"/>
  <c r="G96" i="13" s="1"/>
  <c r="E96" i="13"/>
  <c r="E97" i="13"/>
  <c r="D96" i="13"/>
  <c r="B96" i="13"/>
  <c r="M88" i="13"/>
  <c r="C95" i="13"/>
  <c r="F95" i="13" s="1"/>
  <c r="G95" i="13" s="1"/>
  <c r="O95" i="13"/>
  <c r="N95" i="13"/>
  <c r="E95" i="13"/>
  <c r="D95" i="13"/>
  <c r="E94" i="13"/>
  <c r="F94" i="13"/>
  <c r="G94" i="13" s="1"/>
  <c r="C94" i="13"/>
  <c r="D94" i="13"/>
  <c r="B94" i="13"/>
  <c r="F67" i="13"/>
  <c r="D67" i="13"/>
  <c r="G67" i="13"/>
  <c r="C67" i="13"/>
  <c r="N67" i="13"/>
  <c r="B67" i="13"/>
  <c r="G66" i="13"/>
  <c r="F66" i="13"/>
  <c r="D66" i="13"/>
  <c r="C66" i="13"/>
  <c r="B66" i="13"/>
  <c r="G80" i="13"/>
  <c r="F80" i="13"/>
  <c r="E80" i="13"/>
  <c r="D80" i="13"/>
  <c r="G79" i="13"/>
  <c r="F79" i="13"/>
  <c r="E79" i="13"/>
  <c r="D79" i="13"/>
  <c r="G78" i="13"/>
  <c r="F78" i="13"/>
  <c r="E78" i="13"/>
  <c r="D78" i="13"/>
  <c r="C78" i="13"/>
  <c r="E27" i="13"/>
  <c r="D27" i="13"/>
  <c r="G27" i="13" s="1"/>
  <c r="C27" i="13"/>
  <c r="B27" i="13"/>
  <c r="E19" i="13"/>
  <c r="D19" i="13"/>
  <c r="E12" i="13"/>
  <c r="D12" i="13"/>
  <c r="X10" i="13"/>
  <c r="W10" i="13"/>
  <c r="B19" i="13"/>
  <c r="C19" i="13"/>
  <c r="F12" i="13"/>
  <c r="G12" i="13"/>
  <c r="D110" i="13"/>
  <c r="D106" i="13"/>
  <c r="B73" i="13"/>
  <c r="B87" i="13" s="1"/>
  <c r="F10" i="13"/>
  <c r="T10" i="13"/>
  <c r="S10" i="13"/>
  <c r="G55" i="13" l="1"/>
  <c r="G46" i="13"/>
  <c r="F98" i="13"/>
  <c r="G98" i="13" s="1"/>
  <c r="F93" i="13"/>
  <c r="G93" i="13" s="1"/>
  <c r="G19" i="13"/>
  <c r="D53" i="13"/>
  <c r="B52" i="13"/>
  <c r="F44" i="13"/>
  <c r="F52" i="13" s="1"/>
  <c r="F43" i="13"/>
  <c r="F36" i="13"/>
  <c r="F35" i="13"/>
  <c r="C25" i="13"/>
  <c r="C35" i="13" s="1"/>
  <c r="B17" i="13"/>
  <c r="B25" i="13"/>
  <c r="I21" i="13"/>
  <c r="C44" i="13" l="1"/>
  <c r="C52" i="13" s="1"/>
  <c r="C53" i="13" s="1"/>
  <c r="C43" i="13"/>
  <c r="C36" i="13"/>
  <c r="I68" i="13"/>
  <c r="F114" i="13"/>
  <c r="G114" i="13" s="1"/>
  <c r="I111" i="13"/>
  <c r="G110" i="13"/>
  <c r="G111" i="13" s="1"/>
  <c r="E88" i="13"/>
  <c r="E87" i="13"/>
  <c r="I100" i="13"/>
  <c r="F88" i="13" l="1"/>
  <c r="G88" i="13" s="1"/>
  <c r="E36" i="13"/>
  <c r="E35" i="13"/>
  <c r="G62" i="13"/>
  <c r="J111" i="13"/>
  <c r="G73" i="13"/>
  <c r="F87" i="13"/>
  <c r="G87" i="13" s="1"/>
  <c r="J100" i="13" l="1"/>
  <c r="J82" i="13"/>
  <c r="J70" i="13"/>
  <c r="E53" i="13"/>
  <c r="G53" i="13" s="1"/>
  <c r="D44" i="13"/>
  <c r="D43" i="13"/>
  <c r="G43" i="13" s="1"/>
  <c r="E10" i="13"/>
  <c r="E17" i="13"/>
  <c r="D36" i="13"/>
  <c r="G36" i="13" s="1"/>
  <c r="E25" i="13"/>
  <c r="D10" i="13"/>
  <c r="D17" i="13"/>
  <c r="D25" i="13"/>
  <c r="D35" i="13"/>
  <c r="G35" i="13" s="1"/>
  <c r="J84" i="13" l="1"/>
  <c r="J83" i="13"/>
  <c r="J81" i="13"/>
  <c r="J68" i="13"/>
  <c r="J69" i="13"/>
  <c r="J102" i="13"/>
  <c r="J101" i="13"/>
  <c r="J37" i="13"/>
  <c r="D52" i="13"/>
  <c r="G52" i="13" s="1"/>
  <c r="G44" i="13"/>
  <c r="G25" i="13"/>
  <c r="G17" i="13"/>
  <c r="G10" i="13"/>
  <c r="J40" i="13" l="1"/>
  <c r="J39" i="13"/>
  <c r="J38" i="13"/>
  <c r="J22" i="13"/>
  <c r="J21" i="13"/>
  <c r="G106" i="13" l="1"/>
  <c r="R10" i="13"/>
  <c r="N10" i="13"/>
  <c r="M10" i="13"/>
  <c r="G107" i="13" l="1"/>
  <c r="J107" i="13" s="1"/>
  <c r="G115" i="13"/>
  <c r="J115" i="13" s="1"/>
  <c r="J116" i="13" s="1"/>
  <c r="C127" i="13" l="1"/>
  <c r="C126" i="13"/>
  <c r="G118" i="13"/>
  <c r="J118" i="13" s="1"/>
  <c r="G59" i="13"/>
  <c r="J59" i="13" s="1"/>
  <c r="I56" i="13"/>
  <c r="I47" i="13"/>
  <c r="Q10" i="13"/>
  <c r="P10" i="13"/>
  <c r="C124" i="13" l="1"/>
  <c r="J14" i="13"/>
  <c r="J32" i="13" l="1"/>
  <c r="J29" i="13"/>
  <c r="J31" i="13"/>
  <c r="J30" i="13"/>
  <c r="J49" i="13" l="1"/>
  <c r="J48" i="13"/>
  <c r="J47" i="13"/>
  <c r="J57" i="13"/>
  <c r="J56" i="13"/>
  <c r="C122" i="13" l="1"/>
  <c r="C125" i="13" s="1"/>
  <c r="E124" i="13" l="1"/>
  <c r="E125" i="13" s="1"/>
</calcChain>
</file>

<file path=xl/sharedStrings.xml><?xml version="1.0" encoding="utf-8"?>
<sst xmlns="http://schemas.openxmlformats.org/spreadsheetml/2006/main" count="137" uniqueCount="103">
  <si>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</si>
  <si>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</si>
  <si>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</si>
  <si>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</si>
  <si>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</si>
  <si>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</si>
  <si>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</si>
  <si>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</si>
  <si>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</si>
  <si>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</si>
  <si>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</si>
  <si>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</si>
  <si>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</si>
  <si>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</si>
  <si>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</si>
  <si>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</si>
  <si>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</si>
  <si>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</si>
  <si>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</si>
  <si>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</si>
  <si>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</si>
  <si>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</si>
  <si>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</si>
  <si>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</si>
  <si>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</si>
  <si>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</si>
  <si>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</si>
  <si>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</si>
  <si>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</si>
  <si>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</si>
  <si>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</si>
  <si>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</si>
  <si>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</si>
  <si>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</si>
  <si>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</si>
  <si>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</si>
  <si>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</si>
  <si>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</si>
  <si>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Provisional sum for other unforseen works</t>
  </si>
  <si>
    <t>PS</t>
  </si>
  <si>
    <t>-for pipe laying from source to tank</t>
  </si>
  <si>
    <t>Pipe works</t>
  </si>
  <si>
    <t>-13% VAT for sand</t>
  </si>
  <si>
    <t>Plain cement concrete (1:2:4)</t>
  </si>
  <si>
    <t>-13% VAT for cement</t>
  </si>
  <si>
    <t>-13% VAT for aggregate</t>
  </si>
  <si>
    <t>sqm</t>
  </si>
  <si>
    <t>Water tap size</t>
  </si>
  <si>
    <t>length</t>
  </si>
  <si>
    <t>Height 1</t>
  </si>
  <si>
    <t>Height 2</t>
  </si>
  <si>
    <t>20mm thick cement plaster (1:6)</t>
  </si>
  <si>
    <t>3 mm thick  cement punning</t>
  </si>
  <si>
    <t>-13% VAT for block stone</t>
  </si>
  <si>
    <t>thickness</t>
  </si>
  <si>
    <t>Date:2082</t>
  </si>
  <si>
    <t>Unit Weight (Kg/m)</t>
  </si>
  <si>
    <t>Total Weight (Kg)</t>
  </si>
  <si>
    <t>-13% VAT for nails</t>
  </si>
  <si>
    <t>Earthwork in Excavation in ordinary soil</t>
  </si>
  <si>
    <t>Width of stand tap</t>
  </si>
  <si>
    <t>Laying and joining of 25 mmØ HDPE pipe with butt-weld joints</t>
  </si>
  <si>
    <r>
      <t>Project:-</t>
    </r>
    <r>
      <rPr>
        <sz val="12"/>
        <rFont val="Preeti"/>
      </rPr>
      <t xml:space="preserve"> </t>
    </r>
    <r>
      <rPr>
        <sz val="14"/>
        <rFont val="Preeti"/>
      </rPr>
      <t>alndfg l;d vfg]kfgL</t>
    </r>
  </si>
  <si>
    <t>Plain cement concrete (1:1.5:3)</t>
  </si>
  <si>
    <t>Mild steel reinforcement</t>
  </si>
  <si>
    <t>Kg</t>
  </si>
  <si>
    <t>-13% VAT for MS bars</t>
  </si>
  <si>
    <t>-13% VAT for Bind wire</t>
  </si>
  <si>
    <t>Form work for concrete work</t>
  </si>
  <si>
    <t>-13% VAT for local wood</t>
  </si>
  <si>
    <t>-for 25mm pipe laying from intake to sim intake</t>
  </si>
  <si>
    <t>Intake size</t>
  </si>
  <si>
    <t>breadth</t>
  </si>
  <si>
    <t>height</t>
  </si>
  <si>
    <t>wall thickness</t>
  </si>
  <si>
    <t>Dry boulder packing work</t>
  </si>
  <si>
    <t>R.R. masonry in 1:6 cement mortar</t>
  </si>
  <si>
    <t>-for intake 1</t>
  </si>
  <si>
    <t>-for short wall of intake 1</t>
  </si>
  <si>
    <t>-for long wall of intake 1</t>
  </si>
  <si>
    <t>-for outer face wall of intake 1</t>
  </si>
  <si>
    <t>-for inner face wall of intake 1</t>
  </si>
  <si>
    <t>- for floor area of intake 1</t>
  </si>
  <si>
    <t>-for intake 1 cover</t>
  </si>
  <si>
    <t>-for kulo</t>
  </si>
  <si>
    <t>kulo</t>
  </si>
  <si>
    <t>-for kulo base</t>
  </si>
  <si>
    <t>-for kulo shear wall</t>
  </si>
  <si>
    <t>-for shear wall cover slab</t>
  </si>
  <si>
    <t>-distribution bars</t>
  </si>
  <si>
    <t>-for intake 2</t>
  </si>
  <si>
    <t>-for intake 2 cover</t>
  </si>
  <si>
    <t>-for shear wall outer face of intake 2</t>
  </si>
  <si>
    <t>-for shear wall shorter side of intake 2</t>
  </si>
  <si>
    <t>-for shear wall longer side of intake 2</t>
  </si>
  <si>
    <t>-for shear wall inner face of intake 2</t>
  </si>
  <si>
    <t>-for binding shear wall of intake 2</t>
  </si>
  <si>
    <t>-for existing intake cover</t>
  </si>
  <si>
    <t>-for outer face wall of intake 2</t>
  </si>
  <si>
    <t>-for inner face wall of intake 2</t>
  </si>
  <si>
    <t>- for floor area of intake 2</t>
  </si>
  <si>
    <t>-for kulo 2</t>
  </si>
  <si>
    <r>
      <t>Earthwork in Excavation in ordinary soil (</t>
    </r>
    <r>
      <rPr>
        <b/>
        <sz val="14"/>
        <rFont val="Preeti"/>
      </rPr>
      <t>vGg] k'g{] sfo{</t>
    </r>
    <r>
      <rPr>
        <sz val="1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</si>
</sst>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62">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4" fillId="0" borderId="0" xfId="0" applyNumberFormat="1" applyFont="1" applyFill="1"/>
    <xf numFmtId="0" fontId="4" fillId="0" borderId="0" xfId="0" applyFont="1" applyFill="1"/>
    <xf numFmtId="0" fontId="3" fillId="0" borderId="0" xfId="0" applyFont="1" applyFill="1" applyAlignment="1">
      <alignment horizontal="center"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Fill="1" applyAlignment="1">
      <alignment horizontal="center"/>
    </xf>
    <xf numFmtId="0" fontId="8" fillId="0" borderId="0" xfId="0" applyFont="1" applyFill="1" applyAlignment="1">
      <alignment horizontal="left"/>
    </xf>
    <xf numFmtId="0" fontId="9" fillId="0" borderId="0" xfId="0" applyFont="1" applyFill="1" applyAlignment="1">
      <alignment horizontal="center"/>
    </xf>
    <xf numFmtId="0" fontId="8" fillId="0" borderId="0" xfId="0" applyFont="1" applyFill="1" applyAlignment="1">
      <alignment horizontal="right"/>
    </xf>
    <xf numFmtId="0" fontId="8" fillId="0" borderId="1" xfId="0" applyFont="1" applyFill="1" applyBorder="1"/>
    <xf numFmtId="164" fontId="9" fillId="0" borderId="0" xfId="1" applyFont="1" applyFill="1"/>
    <xf numFmtId="0" fontId="8" fillId="0" borderId="1" xfId="0" applyFont="1" applyFill="1" applyBorder="1" applyAlignment="1">
      <alignment horizontal="right"/>
    </xf>
    <xf numFmtId="0" fontId="9" fillId="0" borderId="2" xfId="0" applyFont="1" applyFill="1" applyBorder="1" applyAlignment="1">
      <alignment horizontal="center"/>
    </xf>
    <xf numFmtId="0" fontId="9" fillId="0" borderId="2" xfId="0" applyFont="1" applyFill="1" applyBorder="1" applyAlignment="1">
      <alignment horizontal="center" vertical="top" wrapText="1"/>
    </xf>
    <xf numFmtId="164" fontId="9" fillId="0" borderId="2" xfId="1" applyFont="1" applyFill="1" applyBorder="1" applyAlignment="1">
      <alignment horizontal="center"/>
    </xf>
    <xf numFmtId="0" fontId="9" fillId="0" borderId="2" xfId="0" applyFont="1" applyFill="1" applyBorder="1" applyAlignment="1">
      <alignment horizontal="center" wrapText="1"/>
    </xf>
    <xf numFmtId="0" fontId="4" fillId="0" borderId="0" xfId="0" applyFont="1" applyFill="1" applyAlignment="1">
      <alignment vertical="center"/>
    </xf>
    <xf numFmtId="0" fontId="9" fillId="0" borderId="2" xfId="0" applyFont="1" applyFill="1" applyBorder="1" applyAlignment="1">
      <alignment vertical="center"/>
    </xf>
    <xf numFmtId="0" fontId="4" fillId="0" borderId="2" xfId="0" quotePrefix="1" applyFont="1" applyFill="1" applyBorder="1" applyAlignment="1">
      <alignment wrapText="1"/>
    </xf>
    <xf numFmtId="164" fontId="9" fillId="0" borderId="2" xfId="1" applyFont="1" applyFill="1" applyBorder="1" applyAlignment="1">
      <alignment vertical="center"/>
    </xf>
    <xf numFmtId="0" fontId="9" fillId="0" borderId="2" xfId="0" applyFont="1" applyFill="1" applyBorder="1" applyAlignment="1">
      <alignment vertical="center" wrapText="1"/>
    </xf>
    <xf numFmtId="0" fontId="4" fillId="0" borderId="0" xfId="0" applyFont="1" applyFill="1" applyAlignment="1">
      <alignment wrapText="1"/>
    </xf>
    <xf numFmtId="0" fontId="6" fillId="0" borderId="2" xfId="0" applyFont="1" applyFill="1" applyBorder="1" applyAlignment="1">
      <alignment vertical="center"/>
    </xf>
    <xf numFmtId="0" fontId="4" fillId="0" borderId="2" xfId="0" quotePrefix="1" applyFont="1" applyFill="1" applyBorder="1" applyAlignment="1">
      <alignment horizontal="right"/>
    </xf>
    <xf numFmtId="0" fontId="4" fillId="0" borderId="2" xfId="0" applyFont="1" applyFill="1" applyBorder="1"/>
    <xf numFmtId="2" fontId="4" fillId="0" borderId="2" xfId="0" applyNumberFormat="1" applyFont="1" applyFill="1" applyBorder="1"/>
    <xf numFmtId="1" fontId="4" fillId="0" borderId="2" xfId="0" applyNumberFormat="1" applyFont="1" applyFill="1" applyBorder="1"/>
    <xf numFmtId="1" fontId="3" fillId="0" borderId="2" xfId="0" applyNumberFormat="1" applyFont="1" applyFill="1" applyBorder="1" applyAlignment="1">
      <alignment vertical="center"/>
    </xf>
    <xf numFmtId="0" fontId="2" fillId="0" borderId="2" xfId="0" quotePrefix="1" applyFont="1" applyFill="1" applyBorder="1" applyAlignment="1">
      <alignment horizontal="right" wrapText="1"/>
    </xf>
    <xf numFmtId="165" fontId="2" fillId="0" borderId="2" xfId="0" applyNumberFormat="1" applyFont="1" applyFill="1" applyBorder="1" applyAlignment="1">
      <alignment vertical="center"/>
    </xf>
    <xf numFmtId="2" fontId="2" fillId="0" borderId="2" xfId="0" applyNumberFormat="1" applyFont="1" applyFill="1" applyBorder="1" applyAlignment="1">
      <alignment vertical="center"/>
    </xf>
    <xf numFmtId="2" fontId="3" fillId="0" borderId="2" xfId="0" applyNumberFormat="1" applyFont="1" applyFill="1" applyBorder="1" applyAlignment="1">
      <alignment vertical="center"/>
    </xf>
    <xf numFmtId="2" fontId="3" fillId="0" borderId="2" xfId="0" applyNumberFormat="1" applyFont="1" applyFill="1" applyBorder="1"/>
    <xf numFmtId="0" fontId="4" fillId="0" borderId="2" xfId="0" applyFont="1" applyFill="1" applyBorder="1" applyAlignment="1">
      <alignment wrapText="1"/>
    </xf>
    <xf numFmtId="0" fontId="2" fillId="0" borderId="2" xfId="0" quotePrefix="1" applyFont="1" applyFill="1" applyBorder="1" applyAlignment="1">
      <alignment vertical="center" wrapText="1"/>
    </xf>
    <xf numFmtId="2" fontId="6" fillId="0" borderId="2" xfId="0" applyNumberFormat="1" applyFont="1" applyFill="1" applyBorder="1" applyAlignment="1">
      <alignment vertical="center"/>
    </xf>
    <xf numFmtId="0" fontId="4" fillId="0" borderId="2" xfId="0" applyFont="1" applyFill="1" applyBorder="1" applyAlignment="1">
      <alignment vertical="center"/>
    </xf>
    <xf numFmtId="0" fontId="4" fillId="0" borderId="2" xfId="0" applyFont="1" applyFill="1" applyBorder="1" applyAlignment="1">
      <alignment vertical="center" wrapText="1"/>
    </xf>
    <xf numFmtId="0" fontId="2" fillId="0" borderId="2" xfId="0" quotePrefix="1" applyFont="1" applyFill="1" applyBorder="1" applyAlignment="1">
      <alignment horizontal="right" vertical="center" wrapText="1"/>
    </xf>
    <xf numFmtId="1" fontId="2" fillId="0" borderId="2" xfId="0" quotePrefix="1" applyNumberFormat="1" applyFont="1" applyFill="1" applyBorder="1" applyAlignment="1">
      <alignment vertical="center" wrapText="1"/>
    </xf>
    <xf numFmtId="0" fontId="4" fillId="0" borderId="2" xfId="0" quotePrefix="1" applyFont="1" applyFill="1" applyBorder="1" applyAlignment="1">
      <alignment horizontal="right" vertical="center" wrapText="1"/>
    </xf>
    <xf numFmtId="2" fontId="4" fillId="0" borderId="2" xfId="0" applyNumberFormat="1" applyFont="1" applyFill="1" applyBorder="1" applyAlignment="1">
      <alignment vertical="center"/>
    </xf>
    <xf numFmtId="1" fontId="2" fillId="0" borderId="2" xfId="0" applyNumberFormat="1" applyFont="1" applyFill="1" applyBorder="1" applyAlignment="1">
      <alignment vertical="center" wrapText="1"/>
    </xf>
    <xf numFmtId="1" fontId="2" fillId="0" borderId="2" xfId="0" applyNumberFormat="1" applyFont="1" applyFill="1" applyBorder="1" applyAlignment="1">
      <alignment horizontal="right" vertical="center" wrapText="1"/>
    </xf>
    <xf numFmtId="0" fontId="3" fillId="0" borderId="2" xfId="0" applyFont="1" applyFill="1" applyBorder="1"/>
    <xf numFmtId="0" fontId="3" fillId="0" borderId="2" xfId="0" applyFont="1" applyFill="1" applyBorder="1" applyAlignment="1">
      <alignment horizontal="right" wrapText="1"/>
    </xf>
    <xf numFmtId="165" fontId="2" fillId="0" borderId="2" xfId="0" applyNumberFormat="1" applyFont="1" applyFill="1" applyBorder="1"/>
    <xf numFmtId="2" fontId="2" fillId="0" borderId="2" xfId="0" applyNumberFormat="1" applyFont="1" applyFill="1" applyBorder="1"/>
    <xf numFmtId="0" fontId="2" fillId="0" borderId="2" xfId="0" applyFont="1" applyFill="1" applyBorder="1"/>
    <xf numFmtId="0" fontId="2" fillId="0" borderId="0" xfId="0" applyFont="1" applyFill="1" applyAlignment="1">
      <alignment vertical="center"/>
    </xf>
    <xf numFmtId="2" fontId="4" fillId="0" borderId="3" xfId="0" applyNumberFormat="1" applyFont="1" applyFill="1" applyBorder="1" applyAlignment="1">
      <alignment horizontal="center" vertical="center"/>
    </xf>
    <xf numFmtId="2" fontId="4" fillId="0" borderId="4" xfId="0" applyNumberFormat="1" applyFont="1" applyFill="1" applyBorder="1" applyAlignment="1">
      <alignment horizontal="center" vertical="center"/>
    </xf>
    <xf numFmtId="2" fontId="2" fillId="0" borderId="0" xfId="0" applyNumberFormat="1" applyFont="1" applyFill="1" applyAlignment="1">
      <alignment vertical="center"/>
    </xf>
    <xf numFmtId="0" fontId="3" fillId="0" borderId="0" xfId="0" applyFont="1" applyFill="1" applyAlignment="1">
      <alignment horizontal="right" vertical="center"/>
    </xf>
    <xf numFmtId="164" fontId="3" fillId="0" borderId="0" xfId="1" applyFont="1" applyFill="1" applyBorder="1" applyAlignment="1">
      <alignment vertical="center"/>
    </xf>
    <xf numFmtId="0" fontId="3" fillId="0" borderId="0" xfId="0" applyFont="1" applyFill="1" applyAlignment="1">
      <alignment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Fill="1" applyBorder="1" applyAlignment="1">
      <alignment horizontal="center" vertical="center"/>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27"/>
  <sheetViews>
    <sheetView tabSelected="1" workbookViewId="0">
      <selection activeCell="G109" sqref="G109"/>
    </sheetView>
  </sheetViews>
  <sheetFormatPr defaultColWidth="9.109375" defaultRowHeight="14.4" x14ac:dyDescent="0.3"/>
  <cols>
    <col min="1" max="1" width="4.6640625" style="4" customWidth="1"/>
    <col min="2" max="2" width="30.88671875" style="4" customWidth="1"/>
    <col min="3" max="3" width="4.44140625" style="4" bestFit="1" customWidth="1"/>
    <col min="4" max="4" width="8.44140625" style="4" customWidth="1"/>
    <col min="5" max="5" width="8.5546875" style="4" customWidth="1"/>
    <col min="6" max="6" width="7.33203125" style="4" customWidth="1"/>
    <col min="7" max="7" width="9.109375" style="4"/>
    <col min="8" max="8" width="5" style="4" bestFit="1" customWidth="1"/>
    <col min="9" max="9" width="9.5546875" style="4" customWidth="1"/>
    <col min="10" max="10" width="10.6640625" style="4" bestFit="1" customWidth="1"/>
    <col min="11" max="12" width="9.109375" style="4"/>
    <col min="13" max="13" width="6.44140625" style="4" bestFit="1" customWidth="1"/>
    <col min="14" max="14" width="7.44140625" style="4" bestFit="1" customWidth="1"/>
    <col min="15" max="16" width="8.44140625" style="4" bestFit="1" customWidth="1"/>
    <col min="17" max="17" width="9.109375" style="4"/>
    <col min="18" max="18" width="8.88671875" style="4" customWidth="1"/>
    <col min="19" max="20" width="8.5546875" style="4" customWidth="1"/>
    <col min="21" max="21" width="6.5546875" style="4" customWidth="1"/>
    <col min="22" max="22" width="9.44140625" style="4" customWidth="1"/>
    <col min="23" max="23" width="8.44140625" style="4" bestFit="1" customWidth="1"/>
    <col min="24" max="25" width="7.6640625" style="4" bestFit="1" customWidth="1"/>
    <col min="26" max="16384" width="9.109375" style="4"/>
  </cols>
  <sheetData>
    <row r="1" spans="1:27" x14ac:dyDescent="0.3">
      <c r="A1" s="5" t="s">
        <v>0</v>
      </c>
      <c r="B1" s="5"/>
      <c r="C1" s="5"/>
      <c r="D1" s="5"/>
      <c r="E1" s="5"/>
      <c r="F1" s="5"/>
      <c r="G1" s="5"/>
      <c r="H1" s="5"/>
      <c r="I1" s="5"/>
      <c r="J1" s="5"/>
      <c r="K1" s="5"/>
    </row>
    <row r="2" spans="1:27" ht="22.8" x14ac:dyDescent="0.3">
      <c r="A2" s="6" t="s">
        <v>1</v>
      </c>
      <c r="B2" s="6"/>
      <c r="C2" s="6"/>
      <c r="D2" s="6"/>
      <c r="E2" s="6"/>
      <c r="F2" s="6"/>
      <c r="G2" s="6"/>
      <c r="H2" s="6"/>
      <c r="I2" s="6"/>
      <c r="J2" s="6"/>
      <c r="K2" s="6"/>
    </row>
    <row r="3" spans="1:27" x14ac:dyDescent="0.3">
      <c r="A3" s="7" t="s">
        <v>2</v>
      </c>
      <c r="B3" s="7"/>
      <c r="C3" s="7"/>
      <c r="D3" s="7"/>
      <c r="E3" s="7"/>
      <c r="F3" s="7"/>
      <c r="G3" s="7"/>
      <c r="H3" s="7"/>
      <c r="I3" s="7"/>
      <c r="J3" s="7"/>
      <c r="K3" s="7"/>
    </row>
    <row r="4" spans="1:27" x14ac:dyDescent="0.3">
      <c r="A4" s="7" t="s">
        <v>3</v>
      </c>
      <c r="B4" s="7"/>
      <c r="C4" s="7"/>
      <c r="D4" s="7"/>
      <c r="E4" s="7"/>
      <c r="F4" s="7"/>
      <c r="G4" s="7"/>
      <c r="H4" s="7"/>
      <c r="I4" s="7"/>
      <c r="J4" s="7"/>
      <c r="K4" s="7"/>
    </row>
    <row r="5" spans="1:27" ht="17.399999999999999" x14ac:dyDescent="0.3">
      <c r="A5" s="8" t="s">
        <v>4</v>
      </c>
      <c r="B5" s="8"/>
      <c r="C5" s="8"/>
      <c r="D5" s="8"/>
      <c r="E5" s="8"/>
      <c r="F5" s="8"/>
      <c r="G5" s="8"/>
      <c r="H5" s="8"/>
      <c r="I5" s="8"/>
      <c r="J5" s="8"/>
      <c r="K5" s="8"/>
    </row>
    <row r="6" spans="1:27" ht="17.399999999999999" x14ac:dyDescent="0.3">
      <c r="A6" s="9" t="s">
        <v>62</v>
      </c>
      <c r="B6" s="9"/>
      <c r="C6" s="9"/>
      <c r="D6" s="9"/>
      <c r="E6" s="9"/>
      <c r="F6" s="9"/>
      <c r="G6" s="10"/>
      <c r="H6" s="11" t="s">
        <v>25</v>
      </c>
      <c r="I6" s="11"/>
      <c r="J6" s="11"/>
      <c r="K6" s="11"/>
    </row>
    <row r="7" spans="1:27" ht="15.6" x14ac:dyDescent="0.3">
      <c r="A7" s="12" t="s">
        <v>34</v>
      </c>
      <c r="B7" s="12"/>
      <c r="C7" s="12"/>
      <c r="D7" s="12"/>
      <c r="E7" s="12"/>
      <c r="F7" s="12"/>
      <c r="G7" s="13"/>
      <c r="H7" s="14" t="s">
        <v>55</v>
      </c>
      <c r="I7" s="14"/>
      <c r="J7" s="14"/>
      <c r="K7" s="14"/>
    </row>
    <row r="8" spans="1:27" ht="15.6" x14ac:dyDescent="0.3">
      <c r="A8" s="15" t="s">
        <v>5</v>
      </c>
      <c r="B8" s="16" t="s">
        <v>6</v>
      </c>
      <c r="C8" s="15" t="s">
        <v>7</v>
      </c>
      <c r="D8" s="17" t="s">
        <v>8</v>
      </c>
      <c r="E8" s="17" t="s">
        <v>9</v>
      </c>
      <c r="F8" s="17" t="s">
        <v>10</v>
      </c>
      <c r="G8" s="17" t="s">
        <v>11</v>
      </c>
      <c r="H8" s="15" t="s">
        <v>12</v>
      </c>
      <c r="I8" s="17" t="s">
        <v>13</v>
      </c>
      <c r="J8" s="17" t="s">
        <v>14</v>
      </c>
      <c r="K8" s="18" t="s">
        <v>15</v>
      </c>
      <c r="M8" s="4" t="s">
        <v>47</v>
      </c>
      <c r="S8" s="19" t="s">
        <v>71</v>
      </c>
      <c r="T8" s="19"/>
      <c r="U8" s="19"/>
      <c r="V8" s="19"/>
      <c r="W8" s="19" t="s">
        <v>85</v>
      </c>
      <c r="X8" s="19"/>
      <c r="Y8" s="19"/>
      <c r="Z8" s="19"/>
      <c r="AA8" s="19"/>
    </row>
    <row r="9" spans="1:27" s="19" customFormat="1" ht="28.8" x14ac:dyDescent="0.3">
      <c r="A9" s="20">
        <v>1</v>
      </c>
      <c r="B9" s="21" t="s">
        <v>59</v>
      </c>
      <c r="C9" s="20"/>
      <c r="D9" s="22"/>
      <c r="E9" s="22"/>
      <c r="F9" s="22"/>
      <c r="G9" s="22"/>
      <c r="H9" s="20"/>
      <c r="I9" s="22"/>
      <c r="J9" s="22"/>
      <c r="K9" s="23"/>
      <c r="M9" s="4" t="s">
        <v>48</v>
      </c>
      <c r="N9" s="4" t="s">
        <v>9</v>
      </c>
      <c r="O9" s="4" t="s">
        <v>54</v>
      </c>
      <c r="P9" s="4" t="s">
        <v>49</v>
      </c>
      <c r="Q9" s="4" t="s">
        <v>50</v>
      </c>
      <c r="R9" s="24" t="s">
        <v>60</v>
      </c>
      <c r="S9" s="4" t="s">
        <v>48</v>
      </c>
      <c r="T9" s="4" t="s">
        <v>72</v>
      </c>
      <c r="U9" s="4" t="s">
        <v>73</v>
      </c>
      <c r="V9" s="24" t="s">
        <v>74</v>
      </c>
      <c r="W9" s="4" t="s">
        <v>48</v>
      </c>
      <c r="X9" s="4" t="s">
        <v>72</v>
      </c>
      <c r="Y9" s="4" t="s">
        <v>73</v>
      </c>
      <c r="Z9" s="4" t="s">
        <v>54</v>
      </c>
      <c r="AA9" s="4"/>
    </row>
    <row r="10" spans="1:27" x14ac:dyDescent="0.3">
      <c r="A10" s="25"/>
      <c r="B10" s="26" t="s">
        <v>77</v>
      </c>
      <c r="C10" s="27">
        <v>1</v>
      </c>
      <c r="D10" s="28">
        <f>S10</f>
        <v>1.8</v>
      </c>
      <c r="E10" s="28">
        <f>T10</f>
        <v>1.8</v>
      </c>
      <c r="F10" s="28">
        <f>0.15+0.075+0.15</f>
        <v>0.375</v>
      </c>
      <c r="G10" s="28">
        <f>PRODUCT(C10:F10)</f>
        <v>1.2150000000000001</v>
      </c>
      <c r="H10" s="27"/>
      <c r="I10" s="27"/>
      <c r="J10" s="27"/>
      <c r="K10" s="27"/>
      <c r="M10" s="3">
        <f>5.5/3.281</f>
        <v>1.6763181956720512</v>
      </c>
      <c r="N10" s="3">
        <f>5.5/3.281</f>
        <v>1.6763181956720512</v>
      </c>
      <c r="O10" s="3">
        <v>0.23</v>
      </c>
      <c r="P10" s="3">
        <f>TRUNC(2/3.281,1)</f>
        <v>0.6</v>
      </c>
      <c r="Q10" s="3">
        <f>TRUNC(4/3.281,1)</f>
        <v>1.2</v>
      </c>
      <c r="R10" s="3">
        <f>1.17/3.281</f>
        <v>0.35659859798841814</v>
      </c>
      <c r="S10" s="3">
        <f>0.9+V10+V10</f>
        <v>1.8</v>
      </c>
      <c r="T10" s="3">
        <f>0.9+V10+V10</f>
        <v>1.8</v>
      </c>
      <c r="U10" s="4">
        <v>0.9</v>
      </c>
      <c r="V10" s="3">
        <v>0.45</v>
      </c>
      <c r="W10" s="4">
        <f>70/3.281</f>
        <v>21.334958854007922</v>
      </c>
      <c r="X10" s="4">
        <f>0.35+Z10+Z10</f>
        <v>0.54999999999999993</v>
      </c>
      <c r="Y10" s="4">
        <v>0.45</v>
      </c>
      <c r="Z10" s="4">
        <v>0.1</v>
      </c>
    </row>
    <row r="11" spans="1:27" x14ac:dyDescent="0.3">
      <c r="A11" s="25"/>
      <c r="B11" s="26" t="s">
        <v>90</v>
      </c>
      <c r="C11" s="27">
        <v>1</v>
      </c>
      <c r="D11" s="28">
        <f>S11</f>
        <v>2</v>
      </c>
      <c r="E11" s="28">
        <f>T11</f>
        <v>2</v>
      </c>
      <c r="F11" s="28">
        <f>0.15+0.075+U11</f>
        <v>1.4249999999999998</v>
      </c>
      <c r="G11" s="28">
        <f>PRODUCT(C11:F11)</f>
        <v>5.6999999999999993</v>
      </c>
      <c r="H11" s="27"/>
      <c r="I11" s="27"/>
      <c r="J11" s="27"/>
      <c r="K11" s="27"/>
      <c r="M11" s="3"/>
      <c r="N11" s="3"/>
      <c r="O11" s="3"/>
      <c r="P11" s="3"/>
      <c r="Q11" s="3"/>
      <c r="R11" s="3"/>
      <c r="S11" s="3">
        <f>1.8+V11+V11</f>
        <v>2</v>
      </c>
      <c r="T11" s="3">
        <f>1.8+V11+V11</f>
        <v>2</v>
      </c>
      <c r="U11" s="4">
        <v>1.2</v>
      </c>
      <c r="V11" s="3">
        <v>0.1</v>
      </c>
    </row>
    <row r="12" spans="1:27" x14ac:dyDescent="0.3">
      <c r="A12" s="25"/>
      <c r="B12" s="26" t="s">
        <v>84</v>
      </c>
      <c r="C12" s="29">
        <v>0.5</v>
      </c>
      <c r="D12" s="28">
        <f>W10</f>
        <v>21.334958854007922</v>
      </c>
      <c r="E12" s="28">
        <f>X10</f>
        <v>0.54999999999999993</v>
      </c>
      <c r="F12" s="28">
        <f>0.45+0.15+0.05+0.1</f>
        <v>0.75</v>
      </c>
      <c r="G12" s="28">
        <f>PRODUCT(C12:F12)</f>
        <v>4.4003352636391337</v>
      </c>
      <c r="H12" s="27"/>
      <c r="I12" s="27"/>
      <c r="J12" s="27"/>
      <c r="K12" s="27"/>
      <c r="M12" s="3"/>
      <c r="N12" s="3"/>
      <c r="O12" s="3"/>
      <c r="P12" s="3"/>
      <c r="Q12" s="3"/>
      <c r="R12" s="3"/>
      <c r="S12" s="3"/>
      <c r="T12" s="3"/>
      <c r="V12" s="3"/>
    </row>
    <row r="13" spans="1:27" x14ac:dyDescent="0.3">
      <c r="A13" s="25"/>
      <c r="B13" s="26" t="s">
        <v>101</v>
      </c>
      <c r="C13" s="29">
        <v>1</v>
      </c>
      <c r="D13" s="28">
        <f>40/3.281</f>
        <v>12.1914050594331</v>
      </c>
      <c r="E13" s="28">
        <v>0.3</v>
      </c>
      <c r="F13" s="28">
        <v>0.15</v>
      </c>
      <c r="G13" s="28">
        <f>PRODUCT(C13:F13)</f>
        <v>0.5486132276744895</v>
      </c>
      <c r="H13" s="27"/>
      <c r="I13" s="27"/>
      <c r="J13" s="27"/>
      <c r="K13" s="27"/>
      <c r="M13" s="3"/>
      <c r="N13" s="3"/>
      <c r="O13" s="3"/>
      <c r="P13" s="3"/>
      <c r="Q13" s="3"/>
      <c r="R13" s="3"/>
      <c r="S13" s="3"/>
      <c r="T13" s="3"/>
      <c r="V13" s="3"/>
    </row>
    <row r="14" spans="1:27" ht="15" customHeight="1" x14ac:dyDescent="0.3">
      <c r="A14" s="30"/>
      <c r="B14" s="31" t="s">
        <v>16</v>
      </c>
      <c r="C14" s="32"/>
      <c r="D14" s="1"/>
      <c r="E14" s="33"/>
      <c r="F14" s="33"/>
      <c r="G14" s="2">
        <f>SUM(G10:G13)</f>
        <v>11.863948491313622</v>
      </c>
      <c r="H14" s="34" t="s">
        <v>29</v>
      </c>
      <c r="I14" s="2">
        <v>963.05</v>
      </c>
      <c r="J14" s="35">
        <f>G14*I14</f>
        <v>11425.575594559583</v>
      </c>
      <c r="K14" s="33"/>
    </row>
    <row r="15" spans="1:27" ht="15.6" x14ac:dyDescent="0.3">
      <c r="A15" s="15"/>
      <c r="B15" s="16"/>
      <c r="C15" s="15"/>
      <c r="D15" s="17"/>
      <c r="E15" s="17"/>
      <c r="F15" s="17"/>
      <c r="G15" s="17"/>
      <c r="H15" s="15"/>
      <c r="I15" s="17"/>
      <c r="J15" s="17"/>
      <c r="K15" s="18"/>
    </row>
    <row r="16" spans="1:27" x14ac:dyDescent="0.3">
      <c r="A16" s="25">
        <v>2</v>
      </c>
      <c r="B16" s="27" t="s">
        <v>75</v>
      </c>
      <c r="C16" s="27"/>
      <c r="D16" s="27"/>
      <c r="E16" s="27"/>
      <c r="F16" s="27"/>
      <c r="G16" s="27"/>
      <c r="H16" s="27"/>
      <c r="I16" s="27"/>
      <c r="J16" s="27"/>
      <c r="K16" s="27"/>
    </row>
    <row r="17" spans="1:11" x14ac:dyDescent="0.3">
      <c r="A17" s="25"/>
      <c r="B17" s="26" t="str">
        <f>B10</f>
        <v>-for intake 1</v>
      </c>
      <c r="C17" s="27">
        <v>1</v>
      </c>
      <c r="D17" s="28">
        <f>S10</f>
        <v>1.8</v>
      </c>
      <c r="E17" s="28">
        <f>T10</f>
        <v>1.8</v>
      </c>
      <c r="F17" s="27">
        <v>0.15</v>
      </c>
      <c r="G17" s="28">
        <f>PRODUCT(C17:F17)</f>
        <v>0.48599999999999999</v>
      </c>
      <c r="H17" s="27"/>
      <c r="I17" s="27"/>
      <c r="J17" s="27"/>
      <c r="K17" s="27"/>
    </row>
    <row r="18" spans="1:11" x14ac:dyDescent="0.3">
      <c r="A18" s="25"/>
      <c r="B18" s="26" t="str">
        <f>B11</f>
        <v>-for intake 2</v>
      </c>
      <c r="C18" s="27">
        <f>C11</f>
        <v>1</v>
      </c>
      <c r="D18" s="28">
        <f>S11</f>
        <v>2</v>
      </c>
      <c r="E18" s="28">
        <f>T11</f>
        <v>2</v>
      </c>
      <c r="F18" s="27">
        <v>0.15</v>
      </c>
      <c r="G18" s="28">
        <f>PRODUCT(C18:F18)</f>
        <v>0.6</v>
      </c>
      <c r="H18" s="27"/>
      <c r="I18" s="27"/>
      <c r="J18" s="27"/>
      <c r="K18" s="27"/>
    </row>
    <row r="19" spans="1:11" x14ac:dyDescent="0.3">
      <c r="A19" s="25"/>
      <c r="B19" s="26" t="str">
        <f>B12</f>
        <v>-for kulo</v>
      </c>
      <c r="C19" s="29">
        <f>C12</f>
        <v>0.5</v>
      </c>
      <c r="D19" s="28">
        <f>W10</f>
        <v>21.334958854007922</v>
      </c>
      <c r="E19" s="28">
        <f>X10</f>
        <v>0.54999999999999993</v>
      </c>
      <c r="F19" s="27">
        <v>0.15</v>
      </c>
      <c r="G19" s="28">
        <f>PRODUCT(C19:F19)</f>
        <v>0.8800670527278267</v>
      </c>
      <c r="H19" s="27"/>
      <c r="I19" s="27"/>
      <c r="J19" s="27"/>
      <c r="K19" s="27"/>
    </row>
    <row r="20" spans="1:11" x14ac:dyDescent="0.3">
      <c r="A20" s="25"/>
      <c r="B20" s="26" t="str">
        <f>B13</f>
        <v>-for kulo 2</v>
      </c>
      <c r="C20" s="29">
        <f>C13</f>
        <v>1</v>
      </c>
      <c r="D20" s="28">
        <f>D13</f>
        <v>12.1914050594331</v>
      </c>
      <c r="E20" s="28">
        <f>E13</f>
        <v>0.3</v>
      </c>
      <c r="F20" s="27">
        <v>0.15</v>
      </c>
      <c r="G20" s="28">
        <f>PRODUCT(C20:F20)</f>
        <v>0.5486132276744895</v>
      </c>
      <c r="H20" s="27"/>
      <c r="I20" s="27"/>
      <c r="J20" s="27"/>
      <c r="K20" s="27"/>
    </row>
    <row r="21" spans="1:11" ht="15" customHeight="1" x14ac:dyDescent="0.3">
      <c r="A21" s="30"/>
      <c r="B21" s="31" t="s">
        <v>16</v>
      </c>
      <c r="C21" s="32"/>
      <c r="D21" s="1"/>
      <c r="E21" s="33"/>
      <c r="F21" s="33"/>
      <c r="G21" s="2">
        <f>SUM(G17:G20)</f>
        <v>2.5146802804023158</v>
      </c>
      <c r="H21" s="34" t="s">
        <v>29</v>
      </c>
      <c r="I21" s="2">
        <f>4493.69</f>
        <v>4493.6899999999996</v>
      </c>
      <c r="J21" s="35">
        <f>G21*I21</f>
        <v>11300.193629241081</v>
      </c>
      <c r="K21" s="33"/>
    </row>
    <row r="22" spans="1:11" x14ac:dyDescent="0.3">
      <c r="A22" s="25"/>
      <c r="B22" s="26" t="s">
        <v>53</v>
      </c>
      <c r="C22" s="27"/>
      <c r="D22" s="27"/>
      <c r="E22" s="27"/>
      <c r="F22" s="27"/>
      <c r="G22" s="27"/>
      <c r="H22" s="27"/>
      <c r="I22" s="27"/>
      <c r="J22" s="35">
        <f>0.13*G21*3091.19</f>
        <v>1010.5360896769885</v>
      </c>
      <c r="K22" s="27"/>
    </row>
    <row r="23" spans="1:11" x14ac:dyDescent="0.3">
      <c r="A23" s="25"/>
      <c r="B23" s="27"/>
      <c r="C23" s="27"/>
      <c r="D23" s="27"/>
      <c r="E23" s="27"/>
      <c r="F23" s="27"/>
      <c r="G23" s="27"/>
      <c r="H23" s="27"/>
      <c r="I23" s="27"/>
      <c r="J23" s="27"/>
      <c r="K23" s="27"/>
    </row>
    <row r="24" spans="1:11" x14ac:dyDescent="0.3">
      <c r="A24" s="25">
        <v>3</v>
      </c>
      <c r="B24" s="27" t="s">
        <v>43</v>
      </c>
      <c r="C24" s="27"/>
      <c r="D24" s="27"/>
      <c r="E24" s="27"/>
      <c r="F24" s="27"/>
      <c r="G24" s="27"/>
      <c r="H24" s="27"/>
      <c r="I24" s="27"/>
      <c r="J24" s="27"/>
      <c r="K24" s="27"/>
    </row>
    <row r="25" spans="1:11" x14ac:dyDescent="0.3">
      <c r="A25" s="25"/>
      <c r="B25" s="26" t="str">
        <f>B10</f>
        <v>-for intake 1</v>
      </c>
      <c r="C25" s="27">
        <f>C10</f>
        <v>1</v>
      </c>
      <c r="D25" s="28">
        <f>S10</f>
        <v>1.8</v>
      </c>
      <c r="E25" s="28">
        <f>T10</f>
        <v>1.8</v>
      </c>
      <c r="F25" s="28">
        <v>0.1</v>
      </c>
      <c r="G25" s="28">
        <f>PRODUCT(C25:F25)</f>
        <v>0.32400000000000007</v>
      </c>
      <c r="H25" s="27"/>
      <c r="I25" s="27"/>
      <c r="J25" s="27"/>
      <c r="K25" s="27"/>
    </row>
    <row r="26" spans="1:11" x14ac:dyDescent="0.3">
      <c r="A26" s="25"/>
      <c r="B26" s="26" t="str">
        <f>B11</f>
        <v>-for intake 2</v>
      </c>
      <c r="C26" s="27">
        <f>C11</f>
        <v>1</v>
      </c>
      <c r="D26" s="28">
        <f>S11</f>
        <v>2</v>
      </c>
      <c r="E26" s="28">
        <f>T11</f>
        <v>2</v>
      </c>
      <c r="F26" s="28">
        <v>0.05</v>
      </c>
      <c r="G26" s="28">
        <f>PRODUCT(C26:F26)</f>
        <v>0.2</v>
      </c>
      <c r="H26" s="27"/>
      <c r="I26" s="27"/>
      <c r="J26" s="27"/>
      <c r="K26" s="27"/>
    </row>
    <row r="27" spans="1:11" x14ac:dyDescent="0.3">
      <c r="A27" s="25"/>
      <c r="B27" s="26" t="str">
        <f>B19</f>
        <v>-for kulo</v>
      </c>
      <c r="C27" s="29">
        <f>C19</f>
        <v>0.5</v>
      </c>
      <c r="D27" s="28">
        <f>W10</f>
        <v>21.334958854007922</v>
      </c>
      <c r="E27" s="28">
        <f>X10</f>
        <v>0.54999999999999993</v>
      </c>
      <c r="F27" s="27">
        <v>7.4999999999999997E-2</v>
      </c>
      <c r="G27" s="28">
        <f>PRODUCT(C27:F27)</f>
        <v>0.44003352636391335</v>
      </c>
      <c r="H27" s="27"/>
      <c r="I27" s="27"/>
      <c r="J27" s="27"/>
      <c r="K27" s="27"/>
    </row>
    <row r="28" spans="1:11" x14ac:dyDescent="0.3">
      <c r="A28" s="25"/>
      <c r="B28" s="26" t="str">
        <f>B20</f>
        <v>-for kulo 2</v>
      </c>
      <c r="C28" s="29">
        <f>C20</f>
        <v>1</v>
      </c>
      <c r="D28" s="28">
        <f>D20</f>
        <v>12.1914050594331</v>
      </c>
      <c r="E28" s="28">
        <f>E20</f>
        <v>0.3</v>
      </c>
      <c r="F28" s="27">
        <v>0.1</v>
      </c>
      <c r="G28" s="28">
        <f>PRODUCT(C28:F28)</f>
        <v>0.36574215178299302</v>
      </c>
      <c r="H28" s="27"/>
      <c r="I28" s="27"/>
      <c r="J28" s="27"/>
      <c r="K28" s="27"/>
    </row>
    <row r="29" spans="1:11" ht="15" customHeight="1" x14ac:dyDescent="0.3">
      <c r="A29" s="30"/>
      <c r="B29" s="31" t="s">
        <v>16</v>
      </c>
      <c r="C29" s="32"/>
      <c r="D29" s="1"/>
      <c r="E29" s="33"/>
      <c r="F29" s="33"/>
      <c r="G29" s="2">
        <f>SUM(G25:G28)</f>
        <v>1.3297756781469063</v>
      </c>
      <c r="H29" s="34" t="s">
        <v>29</v>
      </c>
      <c r="I29" s="2">
        <v>13343.7</v>
      </c>
      <c r="J29" s="35">
        <f>G29*I29</f>
        <v>17744.127716488874</v>
      </c>
      <c r="K29" s="33"/>
    </row>
    <row r="30" spans="1:11" x14ac:dyDescent="0.3">
      <c r="A30" s="25"/>
      <c r="B30" s="26" t="s">
        <v>42</v>
      </c>
      <c r="C30" s="27"/>
      <c r="D30" s="27"/>
      <c r="E30" s="27"/>
      <c r="F30" s="27"/>
      <c r="G30" s="27"/>
      <c r="H30" s="27"/>
      <c r="I30" s="27"/>
      <c r="J30" s="35">
        <f>0.13*G29*1413.27</f>
        <v>244.31316944510817</v>
      </c>
      <c r="K30" s="27"/>
    </row>
    <row r="31" spans="1:11" x14ac:dyDescent="0.3">
      <c r="A31" s="25"/>
      <c r="B31" s="26" t="s">
        <v>44</v>
      </c>
      <c r="C31" s="27"/>
      <c r="D31" s="27"/>
      <c r="E31" s="27"/>
      <c r="F31" s="27"/>
      <c r="G31" s="27"/>
      <c r="H31" s="27"/>
      <c r="I31" s="27"/>
      <c r="J31" s="35">
        <f>0.13*G29*4096</f>
        <v>708.07895309966466</v>
      </c>
      <c r="K31" s="27"/>
    </row>
    <row r="32" spans="1:11" x14ac:dyDescent="0.3">
      <c r="A32" s="25"/>
      <c r="B32" s="26" t="s">
        <v>45</v>
      </c>
      <c r="C32" s="27"/>
      <c r="D32" s="27"/>
      <c r="E32" s="27"/>
      <c r="F32" s="27"/>
      <c r="G32" s="27"/>
      <c r="H32" s="27"/>
      <c r="I32" s="27"/>
      <c r="J32" s="35">
        <f>0.13*G29*(368.76+737.51+1743.21)</f>
        <v>492.59199591758608</v>
      </c>
      <c r="K32" s="27"/>
    </row>
    <row r="33" spans="1:11" x14ac:dyDescent="0.3">
      <c r="A33" s="25"/>
      <c r="B33" s="27"/>
      <c r="C33" s="27"/>
      <c r="D33" s="27"/>
      <c r="E33" s="27"/>
      <c r="F33" s="27"/>
      <c r="G33" s="27"/>
      <c r="H33" s="27"/>
      <c r="I33" s="27"/>
      <c r="J33" s="27"/>
      <c r="K33" s="27"/>
    </row>
    <row r="34" spans="1:11" x14ac:dyDescent="0.3">
      <c r="A34" s="25">
        <v>4</v>
      </c>
      <c r="B34" s="36" t="s">
        <v>76</v>
      </c>
      <c r="C34" s="27"/>
      <c r="D34" s="27"/>
      <c r="E34" s="27"/>
      <c r="F34" s="27"/>
      <c r="G34" s="27"/>
      <c r="H34" s="27"/>
      <c r="I34" s="27"/>
      <c r="J34" s="27"/>
      <c r="K34" s="27"/>
    </row>
    <row r="35" spans="1:11" x14ac:dyDescent="0.3">
      <c r="A35" s="25"/>
      <c r="B35" s="26" t="s">
        <v>78</v>
      </c>
      <c r="C35" s="27">
        <f>C25*2</f>
        <v>2</v>
      </c>
      <c r="D35" s="28">
        <f>S10</f>
        <v>1.8</v>
      </c>
      <c r="E35" s="28">
        <f>V10</f>
        <v>0.45</v>
      </c>
      <c r="F35" s="28">
        <f>U10</f>
        <v>0.9</v>
      </c>
      <c r="G35" s="28">
        <f>PRODUCT(C35:F35)</f>
        <v>1.4580000000000002</v>
      </c>
      <c r="H35" s="27"/>
      <c r="I35" s="27"/>
      <c r="J35" s="27"/>
      <c r="K35" s="27"/>
    </row>
    <row r="36" spans="1:11" x14ac:dyDescent="0.3">
      <c r="A36" s="25"/>
      <c r="B36" s="26" t="s">
        <v>79</v>
      </c>
      <c r="C36" s="27">
        <f>C25*2</f>
        <v>2</v>
      </c>
      <c r="D36" s="28">
        <f>T10-V10-V10</f>
        <v>0.90000000000000013</v>
      </c>
      <c r="E36" s="28">
        <f>V10</f>
        <v>0.45</v>
      </c>
      <c r="F36" s="28">
        <f>U10</f>
        <v>0.9</v>
      </c>
      <c r="G36" s="28">
        <f>PRODUCT(C36:F36)</f>
        <v>0.7290000000000002</v>
      </c>
      <c r="H36" s="27"/>
      <c r="I36" s="27"/>
      <c r="J36" s="27"/>
      <c r="K36" s="27"/>
    </row>
    <row r="37" spans="1:11" ht="15" customHeight="1" x14ac:dyDescent="0.3">
      <c r="A37" s="30"/>
      <c r="B37" s="31" t="s">
        <v>16</v>
      </c>
      <c r="C37" s="32"/>
      <c r="D37" s="1"/>
      <c r="E37" s="33"/>
      <c r="F37" s="33"/>
      <c r="G37" s="2">
        <f>SUM(G35:G36)</f>
        <v>2.1870000000000003</v>
      </c>
      <c r="H37" s="34" t="s">
        <v>29</v>
      </c>
      <c r="I37" s="2">
        <v>12225.55</v>
      </c>
      <c r="J37" s="35">
        <f>G37*I37</f>
        <v>26737.277850000002</v>
      </c>
      <c r="K37" s="33"/>
    </row>
    <row r="38" spans="1:11" x14ac:dyDescent="0.3">
      <c r="A38" s="25"/>
      <c r="B38" s="26" t="s">
        <v>42</v>
      </c>
      <c r="C38" s="27"/>
      <c r="D38" s="27"/>
      <c r="E38" s="27"/>
      <c r="F38" s="27"/>
      <c r="G38" s="27"/>
      <c r="H38" s="27"/>
      <c r="I38" s="27"/>
      <c r="J38" s="35">
        <f>0.13*G37*1492.66</f>
        <v>424.3781646000001</v>
      </c>
      <c r="K38" s="27"/>
    </row>
    <row r="39" spans="1:11" x14ac:dyDescent="0.3">
      <c r="A39" s="25"/>
      <c r="B39" s="26" t="s">
        <v>44</v>
      </c>
      <c r="C39" s="27"/>
      <c r="D39" s="27"/>
      <c r="E39" s="27"/>
      <c r="F39" s="27"/>
      <c r="G39" s="27"/>
      <c r="H39" s="27"/>
      <c r="I39" s="27"/>
      <c r="J39" s="35">
        <f>0.13*G37*1356.8</f>
        <v>385.7518080000001</v>
      </c>
      <c r="K39" s="27"/>
    </row>
    <row r="40" spans="1:11" x14ac:dyDescent="0.3">
      <c r="A40" s="25"/>
      <c r="B40" s="26" t="s">
        <v>53</v>
      </c>
      <c r="C40" s="27"/>
      <c r="D40" s="27"/>
      <c r="E40" s="27"/>
      <c r="F40" s="27"/>
      <c r="G40" s="27"/>
      <c r="H40" s="27"/>
      <c r="I40" s="27"/>
      <c r="J40" s="35">
        <f>0.13*G37*2833.59</f>
        <v>805.61797290000027</v>
      </c>
      <c r="K40" s="27"/>
    </row>
    <row r="41" spans="1:11" x14ac:dyDescent="0.3">
      <c r="A41" s="25"/>
      <c r="B41" s="27"/>
      <c r="C41" s="27"/>
      <c r="D41" s="27"/>
      <c r="E41" s="27"/>
      <c r="F41" s="27"/>
      <c r="G41" s="27"/>
      <c r="H41" s="27"/>
      <c r="I41" s="27"/>
      <c r="J41" s="27"/>
      <c r="K41" s="27"/>
    </row>
    <row r="42" spans="1:11" x14ac:dyDescent="0.3">
      <c r="A42" s="25">
        <v>5</v>
      </c>
      <c r="B42" s="36" t="s">
        <v>51</v>
      </c>
      <c r="C42" s="27"/>
      <c r="D42" s="27"/>
      <c r="E42" s="27"/>
      <c r="F42" s="27"/>
      <c r="G42" s="27"/>
      <c r="H42" s="27"/>
      <c r="I42" s="27"/>
      <c r="J42" s="27"/>
      <c r="K42" s="27"/>
    </row>
    <row r="43" spans="1:11" x14ac:dyDescent="0.3">
      <c r="A43" s="25"/>
      <c r="B43" s="26" t="s">
        <v>80</v>
      </c>
      <c r="C43" s="27">
        <f>C25</f>
        <v>1</v>
      </c>
      <c r="D43" s="28">
        <f>S10*2+T10*2</f>
        <v>7.2</v>
      </c>
      <c r="E43" s="28"/>
      <c r="F43" s="28">
        <f>U10</f>
        <v>0.9</v>
      </c>
      <c r="G43" s="28">
        <f t="shared" ref="G43:G44" si="0">PRODUCT(C43:F43)</f>
        <v>6.48</v>
      </c>
      <c r="H43" s="27"/>
      <c r="I43" s="27"/>
      <c r="J43" s="27"/>
      <c r="K43" s="27"/>
    </row>
    <row r="44" spans="1:11" x14ac:dyDescent="0.3">
      <c r="A44" s="25"/>
      <c r="B44" s="26" t="s">
        <v>81</v>
      </c>
      <c r="C44" s="27">
        <f>C25</f>
        <v>1</v>
      </c>
      <c r="D44" s="28">
        <f>2*(S10-V10-V10)+2*(T10-V10-V10)</f>
        <v>3.6000000000000005</v>
      </c>
      <c r="E44" s="28"/>
      <c r="F44" s="28">
        <f>U10</f>
        <v>0.9</v>
      </c>
      <c r="G44" s="28">
        <f t="shared" si="0"/>
        <v>3.2400000000000007</v>
      </c>
      <c r="H44" s="27"/>
      <c r="I44" s="27"/>
      <c r="J44" s="27"/>
      <c r="K44" s="27"/>
    </row>
    <row r="45" spans="1:11" x14ac:dyDescent="0.3">
      <c r="A45" s="25"/>
      <c r="B45" s="26" t="s">
        <v>98</v>
      </c>
      <c r="C45" s="27">
        <f>C26</f>
        <v>1</v>
      </c>
      <c r="D45" s="28">
        <f>S11*2+T11*2</f>
        <v>8</v>
      </c>
      <c r="E45" s="28"/>
      <c r="F45" s="28">
        <f>U11</f>
        <v>1.2</v>
      </c>
      <c r="G45" s="28">
        <f t="shared" ref="G45:G46" si="1">PRODUCT(C45:F45)</f>
        <v>9.6</v>
      </c>
      <c r="H45" s="27"/>
      <c r="I45" s="27"/>
      <c r="J45" s="27"/>
      <c r="K45" s="27"/>
    </row>
    <row r="46" spans="1:11" x14ac:dyDescent="0.3">
      <c r="A46" s="25"/>
      <c r="B46" s="26" t="s">
        <v>99</v>
      </c>
      <c r="C46" s="27">
        <f>C26</f>
        <v>1</v>
      </c>
      <c r="D46" s="28">
        <f>2*(S11-V11-V11)+2*(T11-V11-V11)</f>
        <v>7.1999999999999993</v>
      </c>
      <c r="E46" s="28"/>
      <c r="F46" s="28">
        <f>U11</f>
        <v>1.2</v>
      </c>
      <c r="G46" s="28">
        <f t="shared" si="1"/>
        <v>8.6399999999999988</v>
      </c>
      <c r="H46" s="27"/>
      <c r="I46" s="27"/>
      <c r="J46" s="27"/>
      <c r="K46" s="27"/>
    </row>
    <row r="47" spans="1:11" ht="15" customHeight="1" x14ac:dyDescent="0.3">
      <c r="A47" s="30"/>
      <c r="B47" s="31" t="s">
        <v>16</v>
      </c>
      <c r="C47" s="32"/>
      <c r="D47" s="1"/>
      <c r="E47" s="33"/>
      <c r="F47" s="33"/>
      <c r="G47" s="2">
        <f>SUM(G43:G46)</f>
        <v>27.96</v>
      </c>
      <c r="H47" s="34" t="s">
        <v>46</v>
      </c>
      <c r="I47" s="2">
        <f>49954.32/100</f>
        <v>499.54320000000001</v>
      </c>
      <c r="J47" s="35">
        <f>G47*I47</f>
        <v>13967.227872000001</v>
      </c>
      <c r="K47" s="33"/>
    </row>
    <row r="48" spans="1:11" x14ac:dyDescent="0.3">
      <c r="A48" s="25"/>
      <c r="B48" s="26" t="s">
        <v>42</v>
      </c>
      <c r="C48" s="27"/>
      <c r="D48" s="27"/>
      <c r="E48" s="27"/>
      <c r="F48" s="27"/>
      <c r="G48" s="27"/>
      <c r="H48" s="27"/>
      <c r="I48" s="27"/>
      <c r="J48" s="35">
        <f>0.13*G47*7463.32/100</f>
        <v>271.27675536000004</v>
      </c>
      <c r="K48" s="27"/>
    </row>
    <row r="49" spans="1:27" x14ac:dyDescent="0.3">
      <c r="A49" s="25"/>
      <c r="B49" s="26" t="s">
        <v>44</v>
      </c>
      <c r="C49" s="27"/>
      <c r="D49" s="27"/>
      <c r="E49" s="27"/>
      <c r="F49" s="27"/>
      <c r="G49" s="27"/>
      <c r="H49" s="27"/>
      <c r="I49" s="27"/>
      <c r="J49" s="35">
        <f>0.13*G47*7296/100</f>
        <v>265.19500800000003</v>
      </c>
      <c r="K49" s="27"/>
    </row>
    <row r="50" spans="1:27" x14ac:dyDescent="0.3">
      <c r="A50" s="25"/>
      <c r="B50" s="27"/>
      <c r="C50" s="27"/>
      <c r="D50" s="27"/>
      <c r="E50" s="27"/>
      <c r="F50" s="27"/>
      <c r="G50" s="27"/>
      <c r="H50" s="27"/>
      <c r="I50" s="27"/>
      <c r="J50" s="27"/>
      <c r="K50" s="27"/>
    </row>
    <row r="51" spans="1:27" x14ac:dyDescent="0.3">
      <c r="A51" s="25">
        <v>6</v>
      </c>
      <c r="B51" s="36" t="s">
        <v>52</v>
      </c>
      <c r="C51" s="27"/>
      <c r="D51" s="27"/>
      <c r="E51" s="27"/>
      <c r="F51" s="27"/>
      <c r="G51" s="27"/>
      <c r="H51" s="27"/>
      <c r="I51" s="27"/>
      <c r="J51" s="27"/>
      <c r="K51" s="27"/>
    </row>
    <row r="52" spans="1:27" x14ac:dyDescent="0.3">
      <c r="A52" s="25"/>
      <c r="B52" s="26" t="str">
        <f>B44</f>
        <v>-for inner face wall of intake 1</v>
      </c>
      <c r="C52" s="27">
        <f>C44</f>
        <v>1</v>
      </c>
      <c r="D52" s="28">
        <f>D44</f>
        <v>3.6000000000000005</v>
      </c>
      <c r="E52" s="28"/>
      <c r="F52" s="28">
        <f>F44</f>
        <v>0.9</v>
      </c>
      <c r="G52" s="28">
        <f t="shared" ref="G52:G53" si="2">PRODUCT(C52:F52)</f>
        <v>3.2400000000000007</v>
      </c>
      <c r="H52" s="27"/>
      <c r="I52" s="27"/>
      <c r="J52" s="27"/>
      <c r="K52" s="27"/>
    </row>
    <row r="53" spans="1:27" x14ac:dyDescent="0.3">
      <c r="A53" s="25"/>
      <c r="B53" s="26" t="s">
        <v>82</v>
      </c>
      <c r="C53" s="27">
        <f>C52</f>
        <v>1</v>
      </c>
      <c r="D53" s="28">
        <f>S10-V10-V10</f>
        <v>0.90000000000000013</v>
      </c>
      <c r="E53" s="28">
        <f>T10-V10-V10</f>
        <v>0.90000000000000013</v>
      </c>
      <c r="F53" s="28"/>
      <c r="G53" s="28">
        <f t="shared" si="2"/>
        <v>0.81000000000000028</v>
      </c>
      <c r="H53" s="27"/>
      <c r="I53" s="27"/>
      <c r="J53" s="27"/>
      <c r="K53" s="27"/>
    </row>
    <row r="54" spans="1:27" x14ac:dyDescent="0.3">
      <c r="A54" s="25"/>
      <c r="B54" s="26" t="str">
        <f>B46</f>
        <v>-for inner face wall of intake 2</v>
      </c>
      <c r="C54" s="27">
        <f>C46</f>
        <v>1</v>
      </c>
      <c r="D54" s="28">
        <f>D46</f>
        <v>7.1999999999999993</v>
      </c>
      <c r="E54" s="28"/>
      <c r="F54" s="28">
        <f>F46</f>
        <v>1.2</v>
      </c>
      <c r="G54" s="28">
        <f t="shared" ref="G54:G55" si="3">PRODUCT(C54:F54)</f>
        <v>8.6399999999999988</v>
      </c>
      <c r="H54" s="27"/>
      <c r="I54" s="27"/>
      <c r="J54" s="27"/>
      <c r="K54" s="27"/>
    </row>
    <row r="55" spans="1:27" x14ac:dyDescent="0.3">
      <c r="A55" s="25"/>
      <c r="B55" s="26" t="s">
        <v>100</v>
      </c>
      <c r="C55" s="27">
        <f>C54</f>
        <v>1</v>
      </c>
      <c r="D55" s="28">
        <f>S11-V11-V11</f>
        <v>1.7999999999999998</v>
      </c>
      <c r="E55" s="28">
        <f>T11-V11-V11</f>
        <v>1.7999999999999998</v>
      </c>
      <c r="F55" s="28"/>
      <c r="G55" s="28">
        <f t="shared" si="3"/>
        <v>3.2399999999999993</v>
      </c>
      <c r="H55" s="27"/>
      <c r="I55" s="27"/>
      <c r="J55" s="27"/>
      <c r="K55" s="27"/>
    </row>
    <row r="56" spans="1:27" ht="15" customHeight="1" x14ac:dyDescent="0.3">
      <c r="A56" s="30"/>
      <c r="B56" s="31" t="s">
        <v>16</v>
      </c>
      <c r="C56" s="32"/>
      <c r="D56" s="1"/>
      <c r="E56" s="33"/>
      <c r="F56" s="33"/>
      <c r="G56" s="2">
        <f>SUM(G52:G55)</f>
        <v>15.93</v>
      </c>
      <c r="H56" s="34" t="s">
        <v>46</v>
      </c>
      <c r="I56" s="2">
        <f>28609.6/100</f>
        <v>286.096</v>
      </c>
      <c r="J56" s="35">
        <f>G56*I56</f>
        <v>4557.5092800000002</v>
      </c>
      <c r="K56" s="33"/>
    </row>
    <row r="57" spans="1:27" x14ac:dyDescent="0.3">
      <c r="A57" s="25"/>
      <c r="B57" s="26" t="s">
        <v>44</v>
      </c>
      <c r="C57" s="27"/>
      <c r="D57" s="27"/>
      <c r="E57" s="27"/>
      <c r="F57" s="27"/>
      <c r="G57" s="27"/>
      <c r="H57" s="27"/>
      <c r="I57" s="27"/>
      <c r="J57" s="35">
        <f>0.13*G56*6809.6/100</f>
        <v>141.0200064</v>
      </c>
      <c r="K57" s="27"/>
    </row>
    <row r="58" spans="1:27" x14ac:dyDescent="0.3">
      <c r="A58" s="25"/>
      <c r="B58" s="27"/>
      <c r="C58" s="27"/>
      <c r="D58" s="27"/>
      <c r="E58" s="27"/>
      <c r="F58" s="27"/>
      <c r="G58" s="27"/>
      <c r="H58" s="27"/>
      <c r="I58" s="27"/>
      <c r="J58" s="27"/>
      <c r="K58" s="27"/>
    </row>
    <row r="59" spans="1:27" s="19" customFormat="1" ht="27.6" x14ac:dyDescent="0.3">
      <c r="A59" s="30">
        <v>7</v>
      </c>
      <c r="B59" s="37" t="s">
        <v>38</v>
      </c>
      <c r="C59" s="32">
        <v>1</v>
      </c>
      <c r="D59" s="1"/>
      <c r="E59" s="33"/>
      <c r="F59" s="33"/>
      <c r="G59" s="38">
        <f t="shared" ref="G59" si="4">PRODUCT(C59:F59)</f>
        <v>1</v>
      </c>
      <c r="H59" s="34" t="s">
        <v>39</v>
      </c>
      <c r="I59" s="2">
        <v>3000</v>
      </c>
      <c r="J59" s="38">
        <f>G59*I59</f>
        <v>3000</v>
      </c>
      <c r="K59" s="33"/>
      <c r="M59" s="4"/>
      <c r="N59" s="4"/>
      <c r="O59" s="4"/>
      <c r="P59" s="4"/>
      <c r="Q59" s="4"/>
      <c r="R59" s="4"/>
      <c r="S59" s="4"/>
      <c r="T59" s="4"/>
      <c r="U59" s="4"/>
      <c r="V59" s="4"/>
      <c r="W59" s="4"/>
      <c r="X59" s="4"/>
      <c r="Y59" s="4"/>
      <c r="Z59" s="4"/>
      <c r="AA59" s="4"/>
    </row>
    <row r="60" spans="1:27" x14ac:dyDescent="0.3">
      <c r="A60" s="25"/>
      <c r="B60" s="21"/>
      <c r="C60" s="27"/>
      <c r="D60" s="27"/>
      <c r="E60" s="27"/>
      <c r="F60" s="27"/>
      <c r="G60" s="27"/>
      <c r="H60" s="27"/>
      <c r="I60" s="27"/>
      <c r="J60" s="27"/>
      <c r="K60" s="27"/>
    </row>
    <row r="61" spans="1:27" x14ac:dyDescent="0.3">
      <c r="A61" s="25">
        <v>8</v>
      </c>
      <c r="B61" s="27" t="s">
        <v>68</v>
      </c>
      <c r="C61" s="27"/>
      <c r="D61" s="27"/>
      <c r="E61" s="27"/>
      <c r="F61" s="27"/>
      <c r="G61" s="27"/>
      <c r="H61" s="27"/>
      <c r="I61" s="27"/>
      <c r="J61" s="27"/>
      <c r="K61" s="27"/>
    </row>
    <row r="62" spans="1:27" x14ac:dyDescent="0.3">
      <c r="A62" s="25"/>
      <c r="B62" s="26" t="s">
        <v>83</v>
      </c>
      <c r="C62" s="27">
        <v>1</v>
      </c>
      <c r="D62" s="28">
        <f>S10*2+T10*2</f>
        <v>7.2</v>
      </c>
      <c r="E62" s="28"/>
      <c r="F62" s="28">
        <v>0.1</v>
      </c>
      <c r="G62" s="28">
        <f>PRODUCT(C62:F62)</f>
        <v>0.72000000000000008</v>
      </c>
      <c r="H62" s="27"/>
      <c r="I62" s="27"/>
      <c r="J62" s="27"/>
      <c r="K62" s="27"/>
    </row>
    <row r="63" spans="1:27" x14ac:dyDescent="0.3">
      <c r="A63" s="25"/>
      <c r="B63" s="26" t="s">
        <v>92</v>
      </c>
      <c r="C63" s="27">
        <v>1</v>
      </c>
      <c r="D63" s="28">
        <f>S11*2+T11*2</f>
        <v>8</v>
      </c>
      <c r="E63" s="28"/>
      <c r="F63" s="28">
        <f>U11</f>
        <v>1.2</v>
      </c>
      <c r="G63" s="28">
        <f t="shared" ref="G63:G64" si="5">PRODUCT(C63:F63)</f>
        <v>9.6</v>
      </c>
      <c r="H63" s="27"/>
      <c r="I63" s="27"/>
      <c r="J63" s="27"/>
      <c r="K63" s="27"/>
    </row>
    <row r="64" spans="1:27" x14ac:dyDescent="0.3">
      <c r="A64" s="25"/>
      <c r="B64" s="26" t="s">
        <v>95</v>
      </c>
      <c r="C64" s="27">
        <v>1</v>
      </c>
      <c r="D64" s="28">
        <f>2*(S11-V11-V11)+2*(T11-V11-V11)</f>
        <v>7.1999999999999993</v>
      </c>
      <c r="E64" s="28"/>
      <c r="F64" s="28">
        <f>U11</f>
        <v>1.2</v>
      </c>
      <c r="G64" s="28">
        <f t="shared" si="5"/>
        <v>8.6399999999999988</v>
      </c>
      <c r="H64" s="27"/>
      <c r="I64" s="27"/>
      <c r="J64" s="27"/>
      <c r="K64" s="27"/>
    </row>
    <row r="65" spans="1:14" x14ac:dyDescent="0.3">
      <c r="A65" s="25"/>
      <c r="B65" s="26" t="s">
        <v>91</v>
      </c>
      <c r="C65" s="27">
        <v>1</v>
      </c>
      <c r="D65" s="28">
        <f>(S11-V11-V11)</f>
        <v>1.7999999999999998</v>
      </c>
      <c r="E65" s="28">
        <f>(S11-V11-V11)</f>
        <v>1.7999999999999998</v>
      </c>
      <c r="F65" s="28"/>
      <c r="G65" s="28">
        <f>PRODUCT(C65:F65)</f>
        <v>3.2399999999999993</v>
      </c>
      <c r="H65" s="27"/>
      <c r="I65" s="27"/>
      <c r="J65" s="27"/>
      <c r="K65" s="27"/>
    </row>
    <row r="66" spans="1:14" x14ac:dyDescent="0.3">
      <c r="A66" s="25"/>
      <c r="B66" s="26" t="str">
        <f>B79</f>
        <v>-for kulo shear wall</v>
      </c>
      <c r="C66" s="27">
        <f>C79*2</f>
        <v>4</v>
      </c>
      <c r="D66" s="28">
        <f>D79</f>
        <v>21.334958854007922</v>
      </c>
      <c r="E66" s="28"/>
      <c r="F66" s="28">
        <f>F79</f>
        <v>0.45</v>
      </c>
      <c r="G66" s="28">
        <f>PRODUCT(C66:F66)</f>
        <v>38.402925937214263</v>
      </c>
      <c r="H66" s="27"/>
      <c r="I66" s="27"/>
      <c r="J66" s="27"/>
      <c r="K66" s="27"/>
    </row>
    <row r="67" spans="1:14" x14ac:dyDescent="0.3">
      <c r="A67" s="25"/>
      <c r="B67" s="26" t="str">
        <f>B80</f>
        <v>-for shear wall cover slab</v>
      </c>
      <c r="C67" s="27">
        <f>TRUNC(D66/0.6,0)</f>
        <v>35</v>
      </c>
      <c r="D67" s="28">
        <f>0.6*2+X10*2</f>
        <v>2.2999999999999998</v>
      </c>
      <c r="E67" s="28"/>
      <c r="F67" s="28">
        <f>Z10</f>
        <v>0.1</v>
      </c>
      <c r="G67" s="28">
        <f>PRODUCT(C67:F67)</f>
        <v>8.0500000000000007</v>
      </c>
      <c r="H67" s="27"/>
      <c r="I67" s="27"/>
      <c r="J67" s="27"/>
      <c r="K67" s="27"/>
      <c r="N67" s="4">
        <f>D66/0.6</f>
        <v>35.558264756679876</v>
      </c>
    </row>
    <row r="68" spans="1:14" ht="15" customHeight="1" x14ac:dyDescent="0.3">
      <c r="A68" s="30"/>
      <c r="B68" s="31" t="s">
        <v>16</v>
      </c>
      <c r="C68" s="32"/>
      <c r="D68" s="1"/>
      <c r="E68" s="33"/>
      <c r="F68" s="33"/>
      <c r="G68" s="2">
        <f>SUM(G62:G67)</f>
        <v>68.652925937214263</v>
      </c>
      <c r="H68" s="34" t="s">
        <v>46</v>
      </c>
      <c r="I68" s="2">
        <f>11188.35/10</f>
        <v>1118.835</v>
      </c>
      <c r="J68" s="35">
        <f>G68*I68</f>
        <v>76811.296390963122</v>
      </c>
      <c r="K68" s="33"/>
    </row>
    <row r="69" spans="1:14" x14ac:dyDescent="0.3">
      <c r="A69" s="25"/>
      <c r="B69" s="26" t="s">
        <v>69</v>
      </c>
      <c r="C69" s="27"/>
      <c r="D69" s="27"/>
      <c r="E69" s="27"/>
      <c r="F69" s="27"/>
      <c r="G69" s="27"/>
      <c r="H69" s="27"/>
      <c r="I69" s="27"/>
      <c r="J69" s="35">
        <f>0.13*G68*6314/10</f>
        <v>5635.1694667784213</v>
      </c>
      <c r="K69" s="27"/>
    </row>
    <row r="70" spans="1:14" x14ac:dyDescent="0.3">
      <c r="A70" s="25"/>
      <c r="B70" s="26" t="s">
        <v>58</v>
      </c>
      <c r="C70" s="27"/>
      <c r="D70" s="27"/>
      <c r="E70" s="27"/>
      <c r="F70" s="27"/>
      <c r="G70" s="27"/>
      <c r="H70" s="27"/>
      <c r="I70" s="27"/>
      <c r="J70" s="35">
        <f>0.13*G68*330/10</f>
        <v>294.52105227064919</v>
      </c>
      <c r="K70" s="27"/>
    </row>
    <row r="71" spans="1:14" x14ac:dyDescent="0.3">
      <c r="A71" s="25"/>
      <c r="B71" s="27"/>
      <c r="C71" s="27"/>
      <c r="D71" s="27"/>
      <c r="E71" s="27"/>
      <c r="F71" s="27"/>
      <c r="G71" s="27"/>
      <c r="H71" s="27"/>
      <c r="I71" s="27"/>
      <c r="J71" s="27"/>
      <c r="K71" s="27"/>
    </row>
    <row r="72" spans="1:14" x14ac:dyDescent="0.3">
      <c r="A72" s="25">
        <v>9</v>
      </c>
      <c r="B72" s="27" t="s">
        <v>63</v>
      </c>
      <c r="C72" s="27"/>
      <c r="D72" s="27"/>
      <c r="E72" s="27"/>
      <c r="F72" s="27"/>
      <c r="G72" s="27"/>
      <c r="H72" s="27"/>
      <c r="I72" s="27"/>
      <c r="J72" s="27"/>
      <c r="K72" s="27"/>
    </row>
    <row r="73" spans="1:14" x14ac:dyDescent="0.3">
      <c r="A73" s="25"/>
      <c r="B73" s="26" t="str">
        <f>B62</f>
        <v>-for intake 1 cover</v>
      </c>
      <c r="C73" s="27">
        <v>1</v>
      </c>
      <c r="D73" s="28">
        <f>S10</f>
        <v>1.8</v>
      </c>
      <c r="E73" s="28">
        <f>T10</f>
        <v>1.8</v>
      </c>
      <c r="F73" s="28">
        <v>0.1</v>
      </c>
      <c r="G73" s="28">
        <f>PRODUCT(C73:F73)</f>
        <v>0.32400000000000007</v>
      </c>
      <c r="H73" s="27"/>
      <c r="I73" s="27"/>
      <c r="J73" s="27"/>
      <c r="K73" s="27"/>
    </row>
    <row r="74" spans="1:14" x14ac:dyDescent="0.3">
      <c r="A74" s="25"/>
      <c r="B74" s="26" t="str">
        <f>B18</f>
        <v>-for intake 2</v>
      </c>
      <c r="C74" s="27">
        <v>1</v>
      </c>
      <c r="D74" s="28">
        <f>S11</f>
        <v>2</v>
      </c>
      <c r="E74" s="28">
        <f>T11</f>
        <v>2</v>
      </c>
      <c r="F74" s="28">
        <v>0.1</v>
      </c>
      <c r="G74" s="28">
        <f>PRODUCT(C74:F74)</f>
        <v>0.4</v>
      </c>
      <c r="H74" s="27"/>
      <c r="I74" s="27"/>
      <c r="J74" s="27"/>
      <c r="K74" s="27"/>
    </row>
    <row r="75" spans="1:14" x14ac:dyDescent="0.3">
      <c r="A75" s="25"/>
      <c r="B75" s="26" t="s">
        <v>93</v>
      </c>
      <c r="C75" s="27">
        <v>2</v>
      </c>
      <c r="D75" s="28">
        <f>S11</f>
        <v>2</v>
      </c>
      <c r="E75" s="28">
        <f>V11</f>
        <v>0.1</v>
      </c>
      <c r="F75" s="28">
        <f>U11</f>
        <v>1.2</v>
      </c>
      <c r="G75" s="28">
        <f t="shared" ref="G75:G77" si="6">PRODUCT(C75:F75)</f>
        <v>0.48</v>
      </c>
      <c r="H75" s="27"/>
      <c r="I75" s="27"/>
      <c r="J75" s="27"/>
      <c r="K75" s="27"/>
    </row>
    <row r="76" spans="1:14" x14ac:dyDescent="0.3">
      <c r="A76" s="25"/>
      <c r="B76" s="26" t="s">
        <v>94</v>
      </c>
      <c r="C76" s="27">
        <v>2</v>
      </c>
      <c r="D76" s="28">
        <f>T11-V11-V11</f>
        <v>1.7999999999999998</v>
      </c>
      <c r="E76" s="28">
        <f>V11</f>
        <v>0.1</v>
      </c>
      <c r="F76" s="28">
        <f>U11</f>
        <v>1.2</v>
      </c>
      <c r="G76" s="28">
        <f t="shared" si="6"/>
        <v>0.432</v>
      </c>
      <c r="H76" s="27"/>
      <c r="I76" s="27"/>
      <c r="J76" s="27"/>
      <c r="K76" s="27"/>
    </row>
    <row r="77" spans="1:14" x14ac:dyDescent="0.3">
      <c r="A77" s="25"/>
      <c r="B77" s="26" t="str">
        <f>B65</f>
        <v>-for intake 2 cover</v>
      </c>
      <c r="C77" s="27">
        <v>1</v>
      </c>
      <c r="D77" s="28">
        <f>S11</f>
        <v>2</v>
      </c>
      <c r="E77" s="28">
        <f>T11</f>
        <v>2</v>
      </c>
      <c r="F77" s="28">
        <f>V11</f>
        <v>0.1</v>
      </c>
      <c r="G77" s="28">
        <f t="shared" si="6"/>
        <v>0.4</v>
      </c>
      <c r="H77" s="27"/>
      <c r="I77" s="27"/>
      <c r="J77" s="27"/>
      <c r="K77" s="27"/>
    </row>
    <row r="78" spans="1:14" x14ac:dyDescent="0.3">
      <c r="A78" s="25"/>
      <c r="B78" s="26" t="s">
        <v>86</v>
      </c>
      <c r="C78" s="29">
        <f>C27</f>
        <v>0.5</v>
      </c>
      <c r="D78" s="28">
        <f>D27</f>
        <v>21.334958854007922</v>
      </c>
      <c r="E78" s="28">
        <f>E27</f>
        <v>0.54999999999999993</v>
      </c>
      <c r="F78" s="28">
        <f>Z10</f>
        <v>0.1</v>
      </c>
      <c r="G78" s="28">
        <f>PRODUCT(C78:F78)</f>
        <v>0.58671136848521788</v>
      </c>
      <c r="H78" s="27"/>
      <c r="I78" s="27"/>
      <c r="J78" s="27"/>
      <c r="K78" s="27"/>
    </row>
    <row r="79" spans="1:14" x14ac:dyDescent="0.3">
      <c r="A79" s="25"/>
      <c r="B79" s="26" t="s">
        <v>87</v>
      </c>
      <c r="C79" s="29">
        <v>2</v>
      </c>
      <c r="D79" s="28">
        <f>W10</f>
        <v>21.334958854007922</v>
      </c>
      <c r="E79" s="28">
        <f>Z10</f>
        <v>0.1</v>
      </c>
      <c r="F79" s="28">
        <f>Y10</f>
        <v>0.45</v>
      </c>
      <c r="G79" s="28">
        <f>PRODUCT(C79:F79)</f>
        <v>1.920146296860713</v>
      </c>
      <c r="H79" s="27"/>
      <c r="I79" s="27"/>
      <c r="J79" s="27"/>
      <c r="K79" s="27"/>
    </row>
    <row r="80" spans="1:14" x14ac:dyDescent="0.3">
      <c r="A80" s="25"/>
      <c r="B80" s="26" t="s">
        <v>88</v>
      </c>
      <c r="C80" s="29">
        <v>1</v>
      </c>
      <c r="D80" s="28">
        <f>W10</f>
        <v>21.334958854007922</v>
      </c>
      <c r="E80" s="28">
        <f>X10</f>
        <v>0.54999999999999993</v>
      </c>
      <c r="F80" s="28">
        <f>Z10</f>
        <v>0.1</v>
      </c>
      <c r="G80" s="28">
        <f>PRODUCT(C80:F80)</f>
        <v>1.1734227369704358</v>
      </c>
      <c r="H80" s="27"/>
      <c r="I80" s="27"/>
      <c r="J80" s="27"/>
      <c r="K80" s="27"/>
    </row>
    <row r="81" spans="1:17" ht="15" customHeight="1" x14ac:dyDescent="0.3">
      <c r="A81" s="30"/>
      <c r="B81" s="31" t="s">
        <v>16</v>
      </c>
      <c r="C81" s="32"/>
      <c r="D81" s="1"/>
      <c r="E81" s="33"/>
      <c r="F81" s="33"/>
      <c r="G81" s="2">
        <f>SUM(G73:G80)</f>
        <v>5.7162804023163662</v>
      </c>
      <c r="H81" s="34" t="s">
        <v>29</v>
      </c>
      <c r="I81" s="2">
        <v>14337.7</v>
      </c>
      <c r="J81" s="35">
        <f>G81*I81</f>
        <v>81958.31352429137</v>
      </c>
      <c r="K81" s="33"/>
    </row>
    <row r="82" spans="1:17" x14ac:dyDescent="0.3">
      <c r="A82" s="25"/>
      <c r="B82" s="26" t="s">
        <v>44</v>
      </c>
      <c r="C82" s="27"/>
      <c r="D82" s="27"/>
      <c r="E82" s="27"/>
      <c r="F82" s="27"/>
      <c r="G82" s="27"/>
      <c r="H82" s="27"/>
      <c r="I82" s="27"/>
      <c r="J82" s="35">
        <f>0.13*G81*5120</f>
        <v>3804.7562357817737</v>
      </c>
      <c r="K82" s="27"/>
    </row>
    <row r="83" spans="1:17" x14ac:dyDescent="0.3">
      <c r="A83" s="25"/>
      <c r="B83" s="26" t="s">
        <v>42</v>
      </c>
      <c r="C83" s="27"/>
      <c r="D83" s="27"/>
      <c r="E83" s="27"/>
      <c r="F83" s="27"/>
      <c r="G83" s="27"/>
      <c r="H83" s="27"/>
      <c r="I83" s="27"/>
      <c r="J83" s="35">
        <f>0.13*G81*1349.75</f>
        <v>1003.021431493447</v>
      </c>
      <c r="K83" s="27"/>
    </row>
    <row r="84" spans="1:17" x14ac:dyDescent="0.3">
      <c r="A84" s="25"/>
      <c r="B84" s="26" t="s">
        <v>45</v>
      </c>
      <c r="C84" s="27"/>
      <c r="D84" s="27"/>
      <c r="E84" s="27"/>
      <c r="F84" s="27"/>
      <c r="G84" s="27"/>
      <c r="H84" s="27"/>
      <c r="I84" s="27"/>
      <c r="J84" s="35">
        <f>0.13*G81*(972.17+1910.82)</f>
        <v>2142.3973008196281</v>
      </c>
      <c r="K84" s="27"/>
    </row>
    <row r="85" spans="1:17" x14ac:dyDescent="0.3">
      <c r="A85" s="25"/>
      <c r="B85" s="27"/>
      <c r="C85" s="27"/>
      <c r="D85" s="27"/>
      <c r="E85" s="27"/>
      <c r="F85" s="27"/>
      <c r="G85" s="27"/>
      <c r="H85" s="27"/>
      <c r="I85" s="27"/>
      <c r="J85" s="27"/>
      <c r="K85" s="27"/>
    </row>
    <row r="86" spans="1:17" s="19" customFormat="1" ht="43.2" x14ac:dyDescent="0.3">
      <c r="A86" s="25">
        <v>10</v>
      </c>
      <c r="B86" s="39" t="s">
        <v>64</v>
      </c>
      <c r="C86" s="39" t="s">
        <v>7</v>
      </c>
      <c r="D86" s="40" t="s">
        <v>27</v>
      </c>
      <c r="E86" s="40" t="s">
        <v>56</v>
      </c>
      <c r="F86" s="40" t="s">
        <v>57</v>
      </c>
      <c r="G86" s="39"/>
      <c r="H86" s="39"/>
      <c r="I86" s="39"/>
      <c r="J86" s="39"/>
      <c r="K86" s="39"/>
    </row>
    <row r="87" spans="1:17" x14ac:dyDescent="0.3">
      <c r="A87" s="25"/>
      <c r="B87" s="26" t="str">
        <f>B73</f>
        <v>-for intake 1 cover</v>
      </c>
      <c r="C87" s="27">
        <f>TRUNC((D88)/0.15,0)+1</f>
        <v>12</v>
      </c>
      <c r="D87" s="28">
        <f>S10-0.1</f>
        <v>1.7</v>
      </c>
      <c r="E87" s="28">
        <f>10*10/162</f>
        <v>0.61728395061728392</v>
      </c>
      <c r="F87" s="28">
        <f>PRODUCT(C87:E87)</f>
        <v>12.592592592592592</v>
      </c>
      <c r="G87" s="28">
        <f>F87</f>
        <v>12.592592592592592</v>
      </c>
      <c r="H87" s="27"/>
      <c r="I87" s="27"/>
      <c r="J87" s="27"/>
      <c r="K87" s="27"/>
      <c r="N87" s="4">
        <f>TRUNC((1.833/0.5),0)+1</f>
        <v>4</v>
      </c>
      <c r="O87" s="3">
        <f>D80</f>
        <v>21.334958854007922</v>
      </c>
      <c r="P87" s="28">
        <f>10*10/162</f>
        <v>0.61728395061728392</v>
      </c>
      <c r="Q87" s="4">
        <f>PRODUCT(N87:P87)</f>
        <v>52.678910750636845</v>
      </c>
    </row>
    <row r="88" spans="1:17" x14ac:dyDescent="0.3">
      <c r="A88" s="25"/>
      <c r="B88" s="26"/>
      <c r="C88" s="27">
        <f>TRUNC((D87)/0.15,0)+1</f>
        <v>12</v>
      </c>
      <c r="D88" s="28">
        <f>T10-0.1</f>
        <v>1.7</v>
      </c>
      <c r="E88" s="28">
        <f>10*10/162</f>
        <v>0.61728395061728392</v>
      </c>
      <c r="F88" s="28">
        <f>PRODUCT(C88:E88)</f>
        <v>12.592592592592592</v>
      </c>
      <c r="G88" s="28">
        <f>F88</f>
        <v>12.592592592592592</v>
      </c>
      <c r="H88" s="27"/>
      <c r="I88" s="27"/>
      <c r="J88" s="27"/>
      <c r="K88" s="27"/>
      <c r="M88" s="4">
        <f>0.45/0.15+1</f>
        <v>4</v>
      </c>
    </row>
    <row r="89" spans="1:17" x14ac:dyDescent="0.3">
      <c r="A89" s="25"/>
      <c r="B89" s="26" t="str">
        <f>B74</f>
        <v>-for intake 2</v>
      </c>
      <c r="C89" s="27">
        <f>TRUNC((S11-0.1)/0.15,0)+1</f>
        <v>13</v>
      </c>
      <c r="D89" s="28">
        <f>(T11-V11)+(U11-0.05+V11/2)*2</f>
        <v>4.3</v>
      </c>
      <c r="E89" s="28">
        <f t="shared" ref="E89:E91" si="7">10*10/162</f>
        <v>0.61728395061728392</v>
      </c>
      <c r="F89" s="28">
        <f t="shared" ref="F89:F90" si="8">PRODUCT(C89:E89)</f>
        <v>34.506172839506171</v>
      </c>
      <c r="G89" s="28">
        <f t="shared" ref="G89:G91" si="9">F89</f>
        <v>34.506172839506171</v>
      </c>
      <c r="H89" s="27"/>
      <c r="I89" s="27"/>
      <c r="J89" s="27"/>
      <c r="K89" s="27"/>
    </row>
    <row r="90" spans="1:17" x14ac:dyDescent="0.3">
      <c r="A90" s="25"/>
      <c r="B90" s="26"/>
      <c r="C90" s="27">
        <f>TRUNC((T11-0.1)/0.15,0)+1</f>
        <v>13</v>
      </c>
      <c r="D90" s="28">
        <f>(S11-V11)+(U11-0.05+V11/2)*2</f>
        <v>4.3</v>
      </c>
      <c r="E90" s="28">
        <f t="shared" si="7"/>
        <v>0.61728395061728392</v>
      </c>
      <c r="F90" s="28">
        <f t="shared" si="8"/>
        <v>34.506172839506171</v>
      </c>
      <c r="G90" s="28">
        <f t="shared" si="9"/>
        <v>34.506172839506171</v>
      </c>
      <c r="H90" s="27"/>
      <c r="I90" s="27"/>
      <c r="J90" s="27"/>
      <c r="K90" s="27"/>
    </row>
    <row r="91" spans="1:17" x14ac:dyDescent="0.3">
      <c r="A91" s="25"/>
      <c r="B91" s="26" t="s">
        <v>96</v>
      </c>
      <c r="C91" s="27">
        <f>2*(TRUNC((U11+V11-0.05-0.05)/0.15,0)+1)</f>
        <v>18</v>
      </c>
      <c r="D91" s="28">
        <f>(S11-0.05-0.05)*4</f>
        <v>7.6</v>
      </c>
      <c r="E91" s="28">
        <f t="shared" si="7"/>
        <v>0.61728395061728392</v>
      </c>
      <c r="F91" s="28">
        <f t="shared" ref="F91" si="10">PRODUCT(C91:E91)</f>
        <v>84.444444444444429</v>
      </c>
      <c r="G91" s="28">
        <f t="shared" si="9"/>
        <v>84.444444444444429</v>
      </c>
      <c r="H91" s="27"/>
      <c r="I91" s="27"/>
      <c r="J91" s="27"/>
      <c r="K91" s="27"/>
    </row>
    <row r="92" spans="1:17" x14ac:dyDescent="0.3">
      <c r="A92" s="25"/>
      <c r="B92" s="26" t="str">
        <f>B77</f>
        <v>-for intake 2 cover</v>
      </c>
      <c r="C92" s="27">
        <f>TRUNC((D93)/0.15,0)+1</f>
        <v>13</v>
      </c>
      <c r="D92" s="28">
        <f>S11-0.1</f>
        <v>1.9</v>
      </c>
      <c r="E92" s="28">
        <f>10*10/162</f>
        <v>0.61728395061728392</v>
      </c>
      <c r="F92" s="28">
        <f>PRODUCT(C92:E92)</f>
        <v>15.246913580246913</v>
      </c>
      <c r="G92" s="28">
        <f>F92</f>
        <v>15.246913580246913</v>
      </c>
      <c r="H92" s="27"/>
      <c r="I92" s="27"/>
      <c r="J92" s="27"/>
      <c r="K92" s="27"/>
    </row>
    <row r="93" spans="1:17" x14ac:dyDescent="0.3">
      <c r="A93" s="25"/>
      <c r="B93" s="26"/>
      <c r="C93" s="27">
        <f>TRUNC((D92)/0.15,0)+1</f>
        <v>13</v>
      </c>
      <c r="D93" s="28">
        <f>T11-0.1</f>
        <v>1.9</v>
      </c>
      <c r="E93" s="28">
        <f>10*10/162</f>
        <v>0.61728395061728392</v>
      </c>
      <c r="F93" s="28">
        <f>PRODUCT(C93:E93)</f>
        <v>15.246913580246913</v>
      </c>
      <c r="G93" s="28">
        <f>F93</f>
        <v>15.246913580246913</v>
      </c>
      <c r="H93" s="27"/>
      <c r="I93" s="27"/>
      <c r="J93" s="27"/>
      <c r="K93" s="27"/>
    </row>
    <row r="94" spans="1:17" x14ac:dyDescent="0.3">
      <c r="A94" s="25"/>
      <c r="B94" s="26" t="str">
        <f>B27</f>
        <v>-for kulo</v>
      </c>
      <c r="C94" s="27">
        <f>TRUNC((W10-0.1)/0.15,0)+1</f>
        <v>142</v>
      </c>
      <c r="D94" s="28">
        <f>(X10-0.1)+(Y10-0.05+Z10/2)*2</f>
        <v>1.35</v>
      </c>
      <c r="E94" s="28">
        <f>10*10/162</f>
        <v>0.61728395061728392</v>
      </c>
      <c r="F94" s="28">
        <f>PRODUCT(C94:E94)</f>
        <v>118.33333333333334</v>
      </c>
      <c r="G94" s="28">
        <f>F94</f>
        <v>118.33333333333334</v>
      </c>
      <c r="H94" s="27"/>
      <c r="I94" s="27"/>
      <c r="J94" s="27"/>
      <c r="K94" s="27"/>
    </row>
    <row r="95" spans="1:17" x14ac:dyDescent="0.3">
      <c r="A95" s="25"/>
      <c r="B95" s="26" t="s">
        <v>89</v>
      </c>
      <c r="C95" s="27">
        <f>(TRUNC((X10-Z10)/0.15,0)+1)+2*(TRUNC((Y10/0.15),0)+1)</f>
        <v>12</v>
      </c>
      <c r="D95" s="28">
        <f>W10</f>
        <v>21.334958854007922</v>
      </c>
      <c r="E95" s="28">
        <f>10*10/162</f>
        <v>0.61728395061728392</v>
      </c>
      <c r="F95" s="28">
        <f>PRODUCT(C95:E95)</f>
        <v>158.03673225191054</v>
      </c>
      <c r="G95" s="28">
        <f>F95</f>
        <v>158.03673225191054</v>
      </c>
      <c r="H95" s="27"/>
      <c r="I95" s="27"/>
      <c r="J95" s="27"/>
      <c r="K95" s="27"/>
      <c r="N95" s="4">
        <f>0.55</f>
        <v>0.55000000000000004</v>
      </c>
      <c r="O95" s="4">
        <f>0.45</f>
        <v>0.45</v>
      </c>
      <c r="Q95" s="4">
        <f>5.667/0.5</f>
        <v>11.334</v>
      </c>
    </row>
    <row r="96" spans="1:17" x14ac:dyDescent="0.3">
      <c r="A96" s="25"/>
      <c r="B96" s="26" t="str">
        <f>B80</f>
        <v>-for shear wall cover slab</v>
      </c>
      <c r="C96" s="27">
        <f>C67*(TRUNC((D97-0.1)/0.15,0)+1)</f>
        <v>140</v>
      </c>
      <c r="D96" s="28">
        <f>X10</f>
        <v>0.54999999999999993</v>
      </c>
      <c r="E96" s="28">
        <f t="shared" ref="E96:E97" si="11">10*10/162</f>
        <v>0.61728395061728392</v>
      </c>
      <c r="F96" s="28">
        <f t="shared" ref="F96:F97" si="12">PRODUCT(C96:E96)</f>
        <v>47.530864197530853</v>
      </c>
      <c r="G96" s="28">
        <f t="shared" ref="G96:G97" si="13">F96</f>
        <v>47.530864197530853</v>
      </c>
      <c r="H96" s="27"/>
      <c r="I96" s="27"/>
      <c r="J96" s="27"/>
      <c r="K96" s="27"/>
    </row>
    <row r="97" spans="1:27" x14ac:dyDescent="0.3">
      <c r="A97" s="25"/>
      <c r="B97" s="26"/>
      <c r="C97" s="27">
        <f>C67*(TRUNC((D96-0.1)/0.15,0)+1)</f>
        <v>140</v>
      </c>
      <c r="D97" s="28">
        <v>0.6</v>
      </c>
      <c r="E97" s="28">
        <f t="shared" si="11"/>
        <v>0.61728395061728392</v>
      </c>
      <c r="F97" s="28">
        <f t="shared" si="12"/>
        <v>51.851851851851848</v>
      </c>
      <c r="G97" s="28">
        <f t="shared" si="13"/>
        <v>51.851851851851848</v>
      </c>
      <c r="H97" s="27"/>
      <c r="I97" s="27"/>
      <c r="J97" s="27"/>
      <c r="K97" s="27"/>
    </row>
    <row r="98" spans="1:27" x14ac:dyDescent="0.3">
      <c r="A98" s="25"/>
      <c r="B98" s="26" t="s">
        <v>97</v>
      </c>
      <c r="C98" s="27">
        <f>TRUNC((D99)/0.15,0)+1</f>
        <v>12</v>
      </c>
      <c r="D98" s="28">
        <f>1.5-0.1</f>
        <v>1.4</v>
      </c>
      <c r="E98" s="28">
        <f>10*10/162</f>
        <v>0.61728395061728392</v>
      </c>
      <c r="F98" s="28">
        <f>PRODUCT(C98:E98)</f>
        <v>10.370370370370368</v>
      </c>
      <c r="G98" s="28">
        <f>F98</f>
        <v>10.370370370370368</v>
      </c>
      <c r="H98" s="27"/>
      <c r="I98" s="27"/>
      <c r="J98" s="27"/>
      <c r="K98" s="27"/>
    </row>
    <row r="99" spans="1:27" x14ac:dyDescent="0.3">
      <c r="A99" s="25"/>
      <c r="B99" s="26"/>
      <c r="C99" s="27">
        <f>TRUNC((D98)/0.15,0)+1</f>
        <v>10</v>
      </c>
      <c r="D99" s="28">
        <f>1.8-0.1</f>
        <v>1.7</v>
      </c>
      <c r="E99" s="28">
        <f>10*10/162</f>
        <v>0.61728395061728392</v>
      </c>
      <c r="F99" s="28">
        <f>PRODUCT(C99:E99)</f>
        <v>10.493827160493826</v>
      </c>
      <c r="G99" s="28">
        <f>F99</f>
        <v>10.493827160493826</v>
      </c>
      <c r="H99" s="27"/>
      <c r="I99" s="27"/>
      <c r="J99" s="27"/>
      <c r="K99" s="27"/>
    </row>
    <row r="100" spans="1:27" ht="15" customHeight="1" x14ac:dyDescent="0.3">
      <c r="A100" s="30"/>
      <c r="B100" s="31" t="s">
        <v>16</v>
      </c>
      <c r="C100" s="32"/>
      <c r="D100" s="1"/>
      <c r="E100" s="33"/>
      <c r="F100" s="33"/>
      <c r="G100" s="2">
        <f>SUM(G87:G99)</f>
        <v>605.75278163462656</v>
      </c>
      <c r="H100" s="34" t="s">
        <v>65</v>
      </c>
      <c r="I100" s="2">
        <f>9831.6/100</f>
        <v>98.316000000000003</v>
      </c>
      <c r="J100" s="35">
        <f>G100*I100</f>
        <v>59555.190479189943</v>
      </c>
      <c r="K100" s="33"/>
    </row>
    <row r="101" spans="1:27" x14ac:dyDescent="0.3">
      <c r="A101" s="25"/>
      <c r="B101" s="26" t="s">
        <v>66</v>
      </c>
      <c r="C101" s="27"/>
      <c r="D101" s="27"/>
      <c r="E101" s="27"/>
      <c r="F101" s="27"/>
      <c r="G101" s="27"/>
      <c r="H101" s="27"/>
      <c r="I101" s="27"/>
      <c r="J101" s="35">
        <f>0.13*G100*9450/100</f>
        <v>7441.6729223813873</v>
      </c>
      <c r="K101" s="27"/>
    </row>
    <row r="102" spans="1:27" x14ac:dyDescent="0.3">
      <c r="A102" s="25"/>
      <c r="B102" s="26" t="s">
        <v>67</v>
      </c>
      <c r="C102" s="27"/>
      <c r="D102" s="27"/>
      <c r="E102" s="27"/>
      <c r="F102" s="27"/>
      <c r="G102" s="27"/>
      <c r="H102" s="27"/>
      <c r="I102" s="27"/>
      <c r="J102" s="35">
        <f>0.13*G100*120/100</f>
        <v>94.497433935001737</v>
      </c>
      <c r="K102" s="27"/>
    </row>
    <row r="103" spans="1:27" x14ac:dyDescent="0.3">
      <c r="A103" s="25"/>
      <c r="B103" s="27"/>
      <c r="C103" s="27"/>
      <c r="D103" s="27"/>
      <c r="E103" s="27"/>
      <c r="F103" s="27"/>
      <c r="G103" s="27"/>
      <c r="H103" s="27"/>
      <c r="I103" s="27"/>
      <c r="J103" s="27"/>
      <c r="K103" s="27"/>
    </row>
    <row r="104" spans="1:27" ht="15.6" x14ac:dyDescent="0.3">
      <c r="A104" s="15"/>
      <c r="B104" s="16" t="s">
        <v>41</v>
      </c>
      <c r="C104" s="15"/>
      <c r="D104" s="17"/>
      <c r="E104" s="17"/>
      <c r="F104" s="17"/>
      <c r="G104" s="17"/>
      <c r="H104" s="15"/>
      <c r="I104" s="17"/>
      <c r="J104" s="17"/>
      <c r="K104" s="18"/>
    </row>
    <row r="105" spans="1:27" ht="31.8" x14ac:dyDescent="0.3">
      <c r="A105" s="25">
        <v>11</v>
      </c>
      <c r="B105" s="21" t="s">
        <v>102</v>
      </c>
      <c r="C105" s="27"/>
      <c r="D105" s="27"/>
      <c r="E105" s="27"/>
      <c r="F105" s="27"/>
      <c r="G105" s="27"/>
      <c r="H105" s="27"/>
      <c r="I105" s="27"/>
      <c r="J105" s="35"/>
      <c r="K105" s="27"/>
    </row>
    <row r="106" spans="1:27" x14ac:dyDescent="0.3">
      <c r="A106" s="25"/>
      <c r="B106" s="26" t="s">
        <v>40</v>
      </c>
      <c r="C106" s="27">
        <v>1</v>
      </c>
      <c r="D106" s="28">
        <f>D114-TRUNC(0.25*D114,0)</f>
        <v>188</v>
      </c>
      <c r="E106" s="27">
        <v>0.3</v>
      </c>
      <c r="F106" s="27">
        <v>0.45</v>
      </c>
      <c r="G106" s="28">
        <f t="shared" ref="G106" si="14">PRODUCT(C106:F106)</f>
        <v>25.38</v>
      </c>
      <c r="H106" s="27"/>
      <c r="I106" s="27"/>
      <c r="J106" s="35"/>
      <c r="K106" s="27"/>
      <c r="M106" s="19"/>
      <c r="N106" s="19"/>
      <c r="O106" s="19"/>
      <c r="P106" s="19"/>
      <c r="Q106" s="19"/>
      <c r="R106" s="19"/>
      <c r="S106" s="19"/>
      <c r="T106" s="19"/>
      <c r="U106" s="19"/>
      <c r="V106" s="19"/>
      <c r="W106" s="19"/>
      <c r="X106" s="19"/>
      <c r="Y106" s="19"/>
      <c r="Z106" s="19"/>
      <c r="AA106" s="19"/>
    </row>
    <row r="107" spans="1:27" s="19" customFormat="1" x14ac:dyDescent="0.3">
      <c r="A107" s="30"/>
      <c r="B107" s="41" t="s">
        <v>28</v>
      </c>
      <c r="C107" s="32"/>
      <c r="D107" s="1"/>
      <c r="E107" s="33"/>
      <c r="F107" s="33"/>
      <c r="G107" s="38">
        <f>SUM(G106:G106)</f>
        <v>25.38</v>
      </c>
      <c r="H107" s="34" t="s">
        <v>29</v>
      </c>
      <c r="I107" s="2">
        <v>963.05</v>
      </c>
      <c r="J107" s="38">
        <f>G107*I107</f>
        <v>24442.208999999999</v>
      </c>
      <c r="K107" s="33"/>
      <c r="M107" s="4"/>
      <c r="N107" s="4"/>
      <c r="O107" s="4"/>
      <c r="P107" s="4"/>
      <c r="Q107" s="4"/>
      <c r="R107" s="4"/>
      <c r="S107" s="4"/>
      <c r="T107" s="4"/>
      <c r="U107" s="4"/>
      <c r="V107" s="4"/>
      <c r="W107" s="4"/>
      <c r="X107" s="4"/>
      <c r="Y107" s="4"/>
      <c r="Z107" s="4"/>
      <c r="AA107" s="4"/>
    </row>
    <row r="108" spans="1:27" x14ac:dyDescent="0.3">
      <c r="A108" s="25"/>
      <c r="B108" s="26"/>
      <c r="C108" s="27"/>
      <c r="D108" s="27"/>
      <c r="E108" s="27"/>
      <c r="F108" s="27"/>
      <c r="G108" s="27"/>
      <c r="H108" s="27"/>
      <c r="I108" s="27"/>
      <c r="J108" s="35"/>
      <c r="K108" s="27"/>
    </row>
    <row r="109" spans="1:27" ht="28.8" x14ac:dyDescent="0.3">
      <c r="A109" s="25">
        <v>12</v>
      </c>
      <c r="B109" s="21" t="s">
        <v>61</v>
      </c>
      <c r="C109" s="27"/>
      <c r="D109" s="27"/>
      <c r="E109" s="27"/>
      <c r="F109" s="27"/>
      <c r="G109" s="27"/>
      <c r="H109" s="27"/>
      <c r="I109" s="27"/>
      <c r="J109" s="27"/>
      <c r="K109" s="27"/>
    </row>
    <row r="110" spans="1:27" x14ac:dyDescent="0.3">
      <c r="A110" s="25"/>
      <c r="B110" s="26" t="s">
        <v>36</v>
      </c>
      <c r="C110" s="27">
        <v>1</v>
      </c>
      <c r="D110" s="28">
        <f>D114</f>
        <v>250</v>
      </c>
      <c r="E110" s="27"/>
      <c r="F110" s="27"/>
      <c r="G110" s="28">
        <f t="shared" ref="G110" si="15">PRODUCT(C110:F110)</f>
        <v>250</v>
      </c>
      <c r="H110" s="27"/>
      <c r="I110" s="27"/>
      <c r="J110" s="35"/>
      <c r="K110" s="27"/>
      <c r="M110" s="19"/>
      <c r="N110" s="19"/>
      <c r="O110" s="19"/>
      <c r="P110" s="19"/>
      <c r="Q110" s="19"/>
      <c r="R110" s="19"/>
      <c r="S110" s="19"/>
      <c r="T110" s="19"/>
      <c r="U110" s="19"/>
      <c r="V110" s="19"/>
      <c r="W110" s="19"/>
      <c r="X110" s="19"/>
      <c r="Y110" s="19"/>
      <c r="Z110" s="19"/>
      <c r="AA110" s="19"/>
    </row>
    <row r="111" spans="1:27" s="19" customFormat="1" x14ac:dyDescent="0.3">
      <c r="A111" s="30"/>
      <c r="B111" s="41" t="s">
        <v>28</v>
      </c>
      <c r="C111" s="32"/>
      <c r="D111" s="1"/>
      <c r="E111" s="33"/>
      <c r="F111" s="33"/>
      <c r="G111" s="38">
        <f>SUM(G110:G110)</f>
        <v>250</v>
      </c>
      <c r="H111" s="34" t="s">
        <v>37</v>
      </c>
      <c r="I111" s="2">
        <f>4308.15/1000</f>
        <v>4.3081499999999995</v>
      </c>
      <c r="J111" s="38">
        <f>G111*I111</f>
        <v>1077.0374999999999</v>
      </c>
      <c r="K111" s="33"/>
      <c r="M111" s="4"/>
      <c r="N111" s="4"/>
      <c r="O111" s="4"/>
      <c r="P111" s="4"/>
      <c r="Q111" s="4"/>
      <c r="R111" s="4"/>
      <c r="S111" s="4"/>
      <c r="T111" s="4"/>
      <c r="U111" s="4"/>
      <c r="V111" s="4"/>
      <c r="W111" s="4"/>
      <c r="X111" s="4"/>
      <c r="Y111" s="4"/>
      <c r="Z111" s="4"/>
      <c r="AA111" s="4"/>
    </row>
    <row r="112" spans="1:27" x14ac:dyDescent="0.3">
      <c r="A112" s="25"/>
      <c r="B112" s="21"/>
      <c r="C112" s="27"/>
      <c r="D112" s="27"/>
      <c r="E112" s="27"/>
      <c r="F112" s="27"/>
      <c r="G112" s="27"/>
      <c r="H112" s="27"/>
      <c r="I112" s="27"/>
      <c r="J112" s="27"/>
      <c r="K112" s="27"/>
    </row>
    <row r="113" spans="1:27" ht="43.2" x14ac:dyDescent="0.3">
      <c r="A113" s="25">
        <v>13</v>
      </c>
      <c r="B113" s="42" t="s">
        <v>30</v>
      </c>
      <c r="C113" s="27"/>
      <c r="D113" s="36" t="s">
        <v>27</v>
      </c>
      <c r="E113" s="36" t="s">
        <v>31</v>
      </c>
      <c r="F113" s="36" t="s">
        <v>32</v>
      </c>
      <c r="G113" s="27"/>
      <c r="H113" s="27"/>
      <c r="I113" s="27"/>
      <c r="J113" s="35"/>
      <c r="K113" s="27"/>
      <c r="M113" s="19"/>
      <c r="N113" s="19"/>
      <c r="O113" s="19"/>
      <c r="P113" s="19"/>
      <c r="Q113" s="19"/>
      <c r="R113" s="19"/>
      <c r="S113" s="19"/>
      <c r="T113" s="19"/>
      <c r="U113" s="19"/>
      <c r="V113" s="19"/>
      <c r="W113" s="19"/>
      <c r="X113" s="19"/>
      <c r="Y113" s="19"/>
      <c r="Z113" s="19"/>
      <c r="AA113" s="19"/>
    </row>
    <row r="114" spans="1:27" s="19" customFormat="1" ht="28.8" x14ac:dyDescent="0.3">
      <c r="A114" s="25"/>
      <c r="B114" s="43" t="s">
        <v>70</v>
      </c>
      <c r="C114" s="39">
        <v>1</v>
      </c>
      <c r="D114" s="44">
        <v>250</v>
      </c>
      <c r="E114" s="39">
        <v>0.20799999999999999</v>
      </c>
      <c r="F114" s="39">
        <f>C114*D114*E114</f>
        <v>52</v>
      </c>
      <c r="G114" s="44">
        <f>F114</f>
        <v>52</v>
      </c>
      <c r="H114" s="39"/>
      <c r="I114" s="39"/>
      <c r="J114" s="34"/>
      <c r="K114" s="39"/>
      <c r="M114" s="4"/>
      <c r="N114" s="4"/>
      <c r="O114" s="4"/>
      <c r="P114" s="4"/>
      <c r="Q114" s="4"/>
      <c r="R114" s="4"/>
      <c r="S114" s="4"/>
      <c r="T114" s="4"/>
      <c r="U114" s="4"/>
      <c r="V114" s="4"/>
      <c r="W114" s="4"/>
      <c r="X114" s="4"/>
      <c r="Y114" s="4"/>
      <c r="Z114" s="4"/>
      <c r="AA114" s="4"/>
    </row>
    <row r="115" spans="1:27" ht="15" customHeight="1" x14ac:dyDescent="0.3">
      <c r="A115" s="30"/>
      <c r="B115" s="31" t="s">
        <v>16</v>
      </c>
      <c r="C115" s="32"/>
      <c r="D115" s="1"/>
      <c r="E115" s="33"/>
      <c r="F115" s="33"/>
      <c r="G115" s="2">
        <f>SUM(G114:G114)</f>
        <v>52</v>
      </c>
      <c r="H115" s="34" t="s">
        <v>33</v>
      </c>
      <c r="I115" s="2">
        <v>287</v>
      </c>
      <c r="J115" s="35">
        <f>G115*I115</f>
        <v>14924</v>
      </c>
      <c r="K115" s="33"/>
    </row>
    <row r="116" spans="1:27" x14ac:dyDescent="0.3">
      <c r="A116" s="25"/>
      <c r="B116" s="26" t="s">
        <v>35</v>
      </c>
      <c r="C116" s="27"/>
      <c r="D116" s="27"/>
      <c r="E116" s="27"/>
      <c r="F116" s="27"/>
      <c r="G116" s="27"/>
      <c r="H116" s="27"/>
      <c r="I116" s="27"/>
      <c r="J116" s="35">
        <f>0.13*J115</f>
        <v>1940.1200000000001</v>
      </c>
      <c r="K116" s="27"/>
    </row>
    <row r="117" spans="1:27" x14ac:dyDescent="0.3">
      <c r="A117" s="25"/>
      <c r="B117" s="27"/>
      <c r="C117" s="27"/>
      <c r="D117" s="27"/>
      <c r="E117" s="27"/>
      <c r="F117" s="27"/>
      <c r="G117" s="27"/>
      <c r="H117" s="27"/>
      <c r="I117" s="27"/>
      <c r="J117" s="27"/>
      <c r="K117" s="27"/>
    </row>
    <row r="118" spans="1:27" ht="15" customHeight="1" x14ac:dyDescent="0.3">
      <c r="A118" s="30">
        <v>14</v>
      </c>
      <c r="B118" s="45" t="s">
        <v>17</v>
      </c>
      <c r="C118" s="32">
        <v>1</v>
      </c>
      <c r="D118" s="1"/>
      <c r="E118" s="33"/>
      <c r="F118" s="33"/>
      <c r="G118" s="34">
        <f t="shared" ref="G118" si="16">PRODUCT(C118:F118)</f>
        <v>1</v>
      </c>
      <c r="H118" s="34" t="s">
        <v>18</v>
      </c>
      <c r="I118" s="2">
        <v>500</v>
      </c>
      <c r="J118" s="34">
        <f>G118*I118</f>
        <v>500</v>
      </c>
      <c r="K118" s="33"/>
    </row>
    <row r="119" spans="1:27" x14ac:dyDescent="0.3">
      <c r="A119" s="30"/>
      <c r="B119" s="46"/>
      <c r="C119" s="32"/>
      <c r="D119" s="1"/>
      <c r="E119" s="33"/>
      <c r="F119" s="33"/>
      <c r="G119" s="2"/>
      <c r="H119" s="34"/>
      <c r="I119" s="2"/>
      <c r="J119" s="35"/>
      <c r="K119" s="33"/>
    </row>
    <row r="120" spans="1:27" x14ac:dyDescent="0.3">
      <c r="A120" s="47"/>
      <c r="B120" s="48" t="s">
        <v>20</v>
      </c>
      <c r="C120" s="49"/>
      <c r="D120" s="50"/>
      <c r="E120" s="50"/>
      <c r="F120" s="50"/>
      <c r="G120" s="35"/>
      <c r="H120" s="35"/>
      <c r="I120" s="35"/>
      <c r="J120" s="35">
        <f>SUM(J10:J118)</f>
        <v>375104.87460359355</v>
      </c>
      <c r="K120" s="51"/>
    </row>
    <row r="121" spans="1:27" x14ac:dyDescent="0.3">
      <c r="M121" s="19"/>
      <c r="N121" s="19"/>
      <c r="O121" s="19"/>
      <c r="P121" s="19"/>
      <c r="Q121" s="19"/>
      <c r="R121" s="19"/>
      <c r="S121" s="19"/>
      <c r="T121" s="19"/>
      <c r="U121" s="19"/>
      <c r="V121" s="19"/>
      <c r="W121" s="19"/>
      <c r="X121" s="19"/>
      <c r="Y121" s="19"/>
      <c r="Z121" s="19"/>
      <c r="AA121" s="19"/>
    </row>
    <row r="122" spans="1:27" s="19" customFormat="1" x14ac:dyDescent="0.3">
      <c r="A122" s="52"/>
      <c r="B122" s="39" t="s">
        <v>19</v>
      </c>
      <c r="C122" s="53">
        <f>J120</f>
        <v>375104.87460359355</v>
      </c>
      <c r="D122" s="54"/>
      <c r="E122" s="44">
        <v>100</v>
      </c>
      <c r="F122" s="52"/>
      <c r="G122" s="55"/>
      <c r="H122" s="52"/>
      <c r="I122" s="56"/>
      <c r="J122" s="57"/>
      <c r="K122" s="58"/>
      <c r="M122" s="4"/>
      <c r="N122" s="4"/>
      <c r="O122" s="4"/>
      <c r="P122" s="4"/>
      <c r="Q122" s="4"/>
      <c r="R122" s="4"/>
      <c r="S122" s="4"/>
      <c r="T122" s="4"/>
      <c r="U122" s="4"/>
      <c r="V122" s="4"/>
      <c r="W122" s="4"/>
      <c r="X122" s="4"/>
      <c r="Y122" s="4"/>
      <c r="Z122" s="4"/>
      <c r="AA122" s="4"/>
    </row>
    <row r="123" spans="1:27" x14ac:dyDescent="0.3">
      <c r="B123" s="39" t="s">
        <v>21</v>
      </c>
      <c r="C123" s="59">
        <v>330000</v>
      </c>
      <c r="D123" s="60"/>
      <c r="E123" s="44"/>
    </row>
    <row r="124" spans="1:27" x14ac:dyDescent="0.3">
      <c r="B124" s="39" t="s">
        <v>22</v>
      </c>
      <c r="C124" s="59">
        <f>C123-C126-C127</f>
        <v>313500</v>
      </c>
      <c r="D124" s="60"/>
      <c r="E124" s="44">
        <f>C124/C122*100</f>
        <v>83.5766264918053</v>
      </c>
    </row>
    <row r="125" spans="1:27" x14ac:dyDescent="0.3">
      <c r="B125" s="39" t="s">
        <v>26</v>
      </c>
      <c r="C125" s="61">
        <f>C122-C124</f>
        <v>61604.874603593547</v>
      </c>
      <c r="D125" s="61"/>
      <c r="E125" s="44">
        <f>100-E124</f>
        <v>16.4233735081947</v>
      </c>
    </row>
    <row r="126" spans="1:27" x14ac:dyDescent="0.3">
      <c r="B126" s="39" t="s">
        <v>23</v>
      </c>
      <c r="C126" s="53">
        <f>C123*0.03</f>
        <v>9900</v>
      </c>
      <c r="D126" s="54"/>
      <c r="E126" s="44">
        <v>3</v>
      </c>
    </row>
    <row r="127" spans="1:27" x14ac:dyDescent="0.3">
      <c r="B127" s="39" t="s">
        <v>24</v>
      </c>
      <c r="C127" s="53">
        <f>C123*0.02</f>
        <v>6600</v>
      </c>
      <c r="D127" s="54"/>
      <c r="E127" s="44">
        <v>2</v>
      </c>
    </row>
  </sheetData>
  <mergeCells count="15">
    <mergeCell ref="A7:F7"/>
    <mergeCell ref="H7:K7"/>
    <mergeCell ref="A1:K1"/>
    <mergeCell ref="A2:K2"/>
    <mergeCell ref="A3:K3"/>
    <mergeCell ref="A4:K4"/>
    <mergeCell ref="A5:K5"/>
    <mergeCell ref="A6:F6"/>
    <mergeCell ref="H6:K6"/>
    <mergeCell ref="C127:D127"/>
    <mergeCell ref="C122:D122"/>
    <mergeCell ref="C123:D123"/>
    <mergeCell ref="C124:D124"/>
    <mergeCell ref="C125:D125"/>
    <mergeCell ref="C126:D1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water tank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2026-01-10T04:20:18Z</dcterms:modified>
</cp:coreProperties>
</file>