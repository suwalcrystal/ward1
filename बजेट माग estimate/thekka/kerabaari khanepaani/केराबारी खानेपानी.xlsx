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estimate!$A$1:$K$81</definedName>
    <definedName name="_xlnm.Print_Titles" localSheetId="0">estimate!$1:$8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12" l="1"/>
  <c r="J45" i="12"/>
  <c r="J44" i="12"/>
  <c r="J43" i="12"/>
  <c r="G52" i="12"/>
  <c r="D51" i="12"/>
  <c r="D60" i="12" s="1"/>
  <c r="D41" i="12"/>
  <c r="D50" i="12" s="1"/>
  <c r="D40" i="12"/>
  <c r="D39" i="12"/>
  <c r="E41" i="12"/>
  <c r="E40" i="12"/>
  <c r="E39" i="12"/>
  <c r="O33" i="12"/>
  <c r="I28" i="12"/>
  <c r="N33" i="12"/>
  <c r="M33" i="12"/>
  <c r="C66" i="12"/>
  <c r="I62" i="12"/>
  <c r="C61" i="12"/>
  <c r="B49" i="12"/>
  <c r="B58" i="12" s="1"/>
  <c r="B48" i="12"/>
  <c r="B57" i="12" s="1"/>
  <c r="C50" i="12"/>
  <c r="C59" i="12" s="1"/>
  <c r="C49" i="12"/>
  <c r="C58" i="12" s="1"/>
  <c r="I52" i="12"/>
  <c r="C48" i="12"/>
  <c r="C57" i="12" s="1"/>
  <c r="C41" i="12"/>
  <c r="C40" i="12"/>
  <c r="C39" i="12"/>
  <c r="C32" i="12"/>
  <c r="B41" i="12"/>
  <c r="B50" i="12" s="1"/>
  <c r="B59" i="12" s="1"/>
  <c r="Q33" i="12"/>
  <c r="F41" i="12" s="1"/>
  <c r="P33" i="12"/>
  <c r="F39" i="12" s="1"/>
  <c r="E27" i="12"/>
  <c r="E32" i="12" s="1"/>
  <c r="D49" i="12"/>
  <c r="D58" i="12" s="1"/>
  <c r="D66" i="12" l="1"/>
  <c r="C51" i="12"/>
  <c r="C60" i="12" s="1"/>
  <c r="F48" i="12"/>
  <c r="F57" i="12" s="1"/>
  <c r="D59" i="12"/>
  <c r="G59" i="12" s="1"/>
  <c r="G61" i="12"/>
  <c r="F49" i="12"/>
  <c r="F58" i="12" s="1"/>
  <c r="G58" i="12" s="1"/>
  <c r="F51" i="12"/>
  <c r="F60" i="12" s="1"/>
  <c r="F50" i="12"/>
  <c r="F59" i="12" s="1"/>
  <c r="F40" i="12"/>
  <c r="D61" i="12"/>
  <c r="E61" i="12"/>
  <c r="G41" i="12"/>
  <c r="D27" i="12"/>
  <c r="G40" i="12"/>
  <c r="G50" i="12" l="1"/>
  <c r="G49" i="12"/>
  <c r="G60" i="12"/>
  <c r="G51" i="12"/>
  <c r="G27" i="12"/>
  <c r="G28" i="12" s="1"/>
  <c r="J29" i="12" s="1"/>
  <c r="D32" i="12"/>
  <c r="J28" i="12" l="1"/>
  <c r="G32" i="12"/>
  <c r="G33" i="12" s="1"/>
  <c r="J36" i="12" l="1"/>
  <c r="J34" i="12"/>
  <c r="J33" i="12"/>
  <c r="J35" i="12"/>
  <c r="D48" i="12"/>
  <c r="G39" i="12"/>
  <c r="G42" i="12" s="1"/>
  <c r="G48" i="12" l="1"/>
  <c r="J54" i="12" s="1"/>
  <c r="D57" i="12"/>
  <c r="G57" i="12" s="1"/>
  <c r="G62" i="12" s="1"/>
  <c r="J63" i="12" s="1"/>
  <c r="J42" i="12"/>
  <c r="J52" i="12" l="1"/>
  <c r="J53" i="12"/>
  <c r="J62" i="12"/>
  <c r="D20" i="12" l="1"/>
  <c r="B21" i="12"/>
  <c r="B20" i="12"/>
  <c r="D16" i="12" l="1"/>
  <c r="I17" i="12"/>
  <c r="G70" i="12" l="1"/>
  <c r="J70" i="12" s="1"/>
  <c r="G66" i="12"/>
  <c r="G67" i="12" s="1"/>
  <c r="G16" i="12"/>
  <c r="G17" i="12" s="1"/>
  <c r="F21" i="12"/>
  <c r="G21" i="12" s="1"/>
  <c r="J67" i="12" l="1"/>
  <c r="J68" i="12" s="1"/>
  <c r="J17" i="12"/>
  <c r="F20" i="12" l="1"/>
  <c r="G20" i="12" s="1"/>
  <c r="G22" i="12" s="1"/>
  <c r="J22" i="12" l="1"/>
  <c r="G12" i="12"/>
  <c r="J23" i="12" l="1"/>
  <c r="G11" i="12"/>
  <c r="G13" i="12" s="1"/>
  <c r="J13" i="12" l="1"/>
  <c r="C80" i="12" l="1"/>
  <c r="C81" i="12" l="1"/>
  <c r="C78" i="12" s="1"/>
  <c r="G72" i="12"/>
  <c r="J72" i="12" s="1"/>
  <c r="J74" i="12" s="1"/>
  <c r="C76" i="12" l="1"/>
  <c r="C79" i="12" s="1"/>
  <c r="E78" i="12" l="1"/>
  <c r="E79" i="12" s="1"/>
</calcChain>
</file>

<file path=xl/sharedStrings.xml><?xml version="1.0" encoding="utf-8"?>
<sst xmlns="http://schemas.openxmlformats.org/spreadsheetml/2006/main" count="92" uniqueCount="72">
  <si>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</si>
  <si>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</si>
  <si>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</si>
  <si>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</si>
  <si>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</si>
  <si>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</si>
  <si>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</si>
  <si>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</si>
  <si>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</si>
  <si>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</si>
  <si>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</si>
  <si>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</si>
  <si>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</si>
  <si>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</si>
  <si>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</si>
  <si>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</si>
  <si>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</si>
  <si>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</si>
  <si>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</si>
  <si>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</si>
  <si>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</si>
  <si>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</si>
  <si>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</si>
  <si>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</si>
  <si>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</si>
  <si>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</si>
  <si>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</si>
  <si>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</si>
  <si>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</si>
  <si>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</si>
  <si>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</si>
  <si>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</si>
  <si>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</si>
  <si>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</si>
  <si>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</si>
  <si>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</si>
  <si>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</si>
  <si>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r>
      <t>Earthwork in Excavation in ordinary soil (</t>
    </r>
    <r>
      <rPr>
        <b/>
        <sz val="14"/>
        <color rgb="FFFF0000"/>
        <rFont val="Preeti"/>
      </rPr>
      <t>vGg] k'g{] sfo{</t>
    </r>
    <r>
      <rPr>
        <sz val="11"/>
        <color rgb="FFFF0000"/>
        <rFont val="Calibri"/>
        <family val="2"/>
        <scheme val="minor"/>
      </rPr>
      <t>)</t>
    </r>
  </si>
  <si>
    <t>rm</t>
  </si>
  <si>
    <t>Provisional sum for other unforseen works</t>
  </si>
  <si>
    <t>PS</t>
  </si>
  <si>
    <t>-for pipe laying from source to tank</t>
  </si>
  <si>
    <t>Laying and joining of 20 mmØ HDPE pipe with butt-weld joints</t>
  </si>
  <si>
    <t>-for pipe laying from water tank to houses</t>
  </si>
  <si>
    <t>Dry boulder packing work</t>
  </si>
  <si>
    <t>A</t>
  </si>
  <si>
    <t>Pipe works</t>
  </si>
  <si>
    <t>B</t>
  </si>
  <si>
    <t>Civil works</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</si>
  <si>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</si>
  <si>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</si>
  <si>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</si>
  <si>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</si>
  <si>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</si>
  <si>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</si>
  <si>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</si>
  <si>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</si>
  <si>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</si>
  <si>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</si>
  <si>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</si>
  <si>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</si>
  <si>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</si>
  <si>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</si>
  <si>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</si>
  <si>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</si>
  <si>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</si>
  <si>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</si>
  <si>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-13% VAT for block stone</t>
  </si>
  <si>
    <t>R.R. masonry in 1:6 cement mortar</t>
  </si>
  <si>
    <t>thickness</t>
  </si>
  <si>
    <r>
      <t>Project:-</t>
    </r>
    <r>
      <rPr>
        <sz val="12"/>
        <rFont val="Preeti"/>
      </rPr>
      <t xml:space="preserve"> </t>
    </r>
    <r>
      <rPr>
        <sz val="14"/>
        <rFont val="Preeti"/>
      </rPr>
      <t>s]/faf/L vfg]kfgL</t>
    </r>
  </si>
  <si>
    <t>Date:2082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</si>
</sst>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9"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1"/>
      <color rgb="FFFF0000"/>
      <name val="Calibri"/>
      <family val="2"/>
      <scheme val="minor"/>
    </font>
    <font>
      <b/>
      <sz val="14"/>
      <color rgb="FFFF0000"/>
      <name val="Preeti"/>
    </font>
    <font>
      <b/>
      <sz val="11"/>
      <color rgb="FFFF0000"/>
      <name val="Times New Roman"/>
      <family val="1"/>
    </font>
    <font>
      <sz val="11"/>
      <color rgb="FFFF0000"/>
      <name val="Times New Roman"/>
      <family val="1"/>
    </font>
    <font>
      <b/>
      <sz val="11"/>
      <color rgb="FFFF0000"/>
      <name val="Calibri"/>
      <family val="2"/>
      <scheme val="minor"/>
    </font>
    <font>
      <sz val="12"/>
      <name val="Preeti"/>
    </font>
    <font>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74">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0" fillId="0" borderId="0" xfId="0" applyAlignment="1">
      <alignment vertical="center"/>
    </xf>
    <xf numFmtId="1" fontId="2" fillId="0" borderId="2" xfId="0" quotePrefix="1" applyNumberFormat="1" applyFont="1" applyBorder="1" applyAlignment="1">
      <alignment vertical="center" wrapText="1"/>
    </xf>
    <xf numFmtId="0" fontId="4" fillId="0" borderId="2" xfId="0" applyFont="1" applyBorder="1" applyAlignment="1">
      <alignment wrapText="1"/>
    </xf>
    <xf numFmtId="0" fontId="12" fillId="0" borderId="2" xfId="0" quotePrefix="1" applyFont="1" applyBorder="1" applyAlignment="1">
      <alignment wrapText="1"/>
    </xf>
    <xf numFmtId="0" fontId="12" fillId="0" borderId="2" xfId="0" applyFont="1" applyBorder="1"/>
    <xf numFmtId="2" fontId="14" fillId="0" borderId="2" xfId="0" applyNumberFormat="1" applyFont="1" applyBorder="1"/>
    <xf numFmtId="0" fontId="12" fillId="0" borderId="2" xfId="0" quotePrefix="1" applyFont="1" applyBorder="1" applyAlignment="1">
      <alignment horizontal="right"/>
    </xf>
    <xf numFmtId="2" fontId="12" fillId="0" borderId="2" xfId="0" applyNumberFormat="1" applyFont="1" applyBorder="1"/>
    <xf numFmtId="0" fontId="15" fillId="0" borderId="2" xfId="0" quotePrefix="1" applyFont="1" applyBorder="1" applyAlignment="1">
      <alignment horizontal="right" vertical="center" wrapText="1"/>
    </xf>
    <xf numFmtId="165" fontId="15" fillId="0" borderId="2" xfId="0" applyNumberFormat="1" applyFont="1" applyBorder="1" applyAlignment="1">
      <alignment vertical="center"/>
    </xf>
    <xf numFmtId="2" fontId="15" fillId="0" borderId="2" xfId="1" applyNumberFormat="1" applyFont="1" applyFill="1" applyBorder="1" applyAlignment="1">
      <alignment vertical="center"/>
    </xf>
    <xf numFmtId="2" fontId="15" fillId="0" borderId="2" xfId="0" applyNumberFormat="1" applyFont="1" applyBorder="1" applyAlignment="1">
      <alignment vertical="center"/>
    </xf>
    <xf numFmtId="2" fontId="16" fillId="0" borderId="2" xfId="0" applyNumberFormat="1" applyFont="1" applyBorder="1" applyAlignment="1">
      <alignment vertical="center"/>
    </xf>
    <xf numFmtId="2" fontId="14" fillId="0" borderId="2" xfId="0" applyNumberFormat="1" applyFont="1" applyBorder="1" applyAlignment="1">
      <alignment vertical="center"/>
    </xf>
    <xf numFmtId="2" fontId="14" fillId="0" borderId="2" xfId="1" applyNumberFormat="1" applyFont="1" applyFill="1" applyBorder="1" applyAlignment="1">
      <alignment vertical="center"/>
    </xf>
    <xf numFmtId="0" fontId="4" fillId="0" borderId="2" xfId="0" quotePrefix="1" applyFont="1" applyBorder="1" applyAlignment="1">
      <alignment horizontal="right" wrapText="1"/>
    </xf>
    <xf numFmtId="0" fontId="15" fillId="0" borderId="2" xfId="0" quotePrefix="1" applyFont="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6" fillId="0" borderId="2" xfId="0" applyFont="1" applyBorder="1" applyAlignment="1"/>
    <xf numFmtId="0" fontId="4" fillId="0" borderId="2" xfId="0" applyFont="1" applyBorder="1" applyAlignment="1"/>
    <xf numFmtId="0" fontId="4" fillId="0" borderId="0" xfId="0" applyFont="1" applyAlignment="1"/>
    <xf numFmtId="0" fontId="12" fillId="0" borderId="2" xfId="0" quotePrefix="1" applyFont="1" applyBorder="1" applyAlignment="1">
      <alignment horizontal="right" vertical="center" wrapText="1"/>
    </xf>
    <xf numFmtId="0" fontId="12" fillId="0" borderId="2" xfId="0" applyFont="1" applyBorder="1" applyAlignment="1">
      <alignment vertical="center"/>
    </xf>
    <xf numFmtId="2" fontId="12" fillId="0" borderId="2" xfId="0" applyNumberFormat="1" applyFont="1" applyBorder="1" applyAlignment="1">
      <alignment vertical="center"/>
    </xf>
    <xf numFmtId="2" fontId="4" fillId="0" borderId="2" xfId="0" applyNumberFormat="1" applyFont="1" applyBorder="1" applyAlignment="1"/>
    <xf numFmtId="2" fontId="3" fillId="0" borderId="2" xfId="0" applyNumberFormat="1" applyFont="1" applyBorder="1" applyAlignment="1"/>
    <xf numFmtId="2" fontId="4" fillId="0" borderId="0" xfId="0" applyNumberFormat="1" applyFont="1"/>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1"/>
  <sheetViews>
    <sheetView tabSelected="1" topLeftCell="A61" zoomScaleNormal="100" zoomScaleSheetLayoutView="95" workbookViewId="0">
      <selection activeCell="I71" sqref="I71"/>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customWidth="1"/>
    <col min="10" max="10" width="10.6640625" style="19" bestFit="1" customWidth="1"/>
    <col min="11" max="16384" width="9.109375" style="19"/>
  </cols>
  <sheetData>
    <row r="1" spans="1:11" x14ac:dyDescent="0.3">
      <c r="A1" s="61" t="s">
        <v>0</v>
      </c>
      <c r="B1" s="61"/>
      <c r="C1" s="61"/>
      <c r="D1" s="61"/>
      <c r="E1" s="61"/>
      <c r="F1" s="61"/>
      <c r="G1" s="61"/>
      <c r="H1" s="61"/>
      <c r="I1" s="61"/>
      <c r="J1" s="61"/>
      <c r="K1" s="61"/>
    </row>
    <row r="2" spans="1:11" ht="22.8" x14ac:dyDescent="0.3">
      <c r="A2" s="62" t="s">
        <v>1</v>
      </c>
      <c r="B2" s="62"/>
      <c r="C2" s="62"/>
      <c r="D2" s="62"/>
      <c r="E2" s="62"/>
      <c r="F2" s="62"/>
      <c r="G2" s="62"/>
      <c r="H2" s="62"/>
      <c r="I2" s="62"/>
      <c r="J2" s="62"/>
      <c r="K2" s="62"/>
    </row>
    <row r="3" spans="1:11" x14ac:dyDescent="0.3">
      <c r="A3" s="63" t="s">
        <v>2</v>
      </c>
      <c r="B3" s="63"/>
      <c r="C3" s="63"/>
      <c r="D3" s="63"/>
      <c r="E3" s="63"/>
      <c r="F3" s="63"/>
      <c r="G3" s="63"/>
      <c r="H3" s="63"/>
      <c r="I3" s="63"/>
      <c r="J3" s="63"/>
      <c r="K3" s="63"/>
    </row>
    <row r="4" spans="1:11" x14ac:dyDescent="0.3">
      <c r="A4" s="63" t="s">
        <v>3</v>
      </c>
      <c r="B4" s="63"/>
      <c r="C4" s="63"/>
      <c r="D4" s="63"/>
      <c r="E4" s="63"/>
      <c r="F4" s="63"/>
      <c r="G4" s="63"/>
      <c r="H4" s="63"/>
      <c r="I4" s="63"/>
      <c r="J4" s="63"/>
      <c r="K4" s="63"/>
    </row>
    <row r="5" spans="1:11" ht="17.399999999999999" x14ac:dyDescent="0.3">
      <c r="A5" s="64" t="s">
        <v>4</v>
      </c>
      <c r="B5" s="64"/>
      <c r="C5" s="64"/>
      <c r="D5" s="64"/>
      <c r="E5" s="64"/>
      <c r="F5" s="64"/>
      <c r="G5" s="64"/>
      <c r="H5" s="64"/>
      <c r="I5" s="64"/>
      <c r="J5" s="64"/>
      <c r="K5" s="64"/>
    </row>
    <row r="6" spans="1:11" ht="17.399999999999999" x14ac:dyDescent="0.3">
      <c r="A6" s="59" t="s">
        <v>70</v>
      </c>
      <c r="B6" s="59"/>
      <c r="C6" s="59"/>
      <c r="D6" s="59"/>
      <c r="E6" s="59"/>
      <c r="F6" s="59"/>
      <c r="G6" s="10"/>
      <c r="H6" s="60" t="s">
        <v>25</v>
      </c>
      <c r="I6" s="60"/>
      <c r="J6" s="60"/>
      <c r="K6" s="60"/>
    </row>
    <row r="7" spans="1:11" ht="15.6" x14ac:dyDescent="0.3">
      <c r="A7" s="54" t="s">
        <v>34</v>
      </c>
      <c r="B7" s="54"/>
      <c r="C7" s="54"/>
      <c r="D7" s="54"/>
      <c r="E7" s="54"/>
      <c r="F7" s="54"/>
      <c r="G7" s="11"/>
      <c r="H7" s="55" t="s">
        <v>71</v>
      </c>
      <c r="I7" s="55"/>
      <c r="J7" s="55"/>
      <c r="K7" s="55"/>
    </row>
    <row r="8" spans="1:11" ht="15.6" x14ac:dyDescent="0.3">
      <c r="A8" s="12" t="s">
        <v>5</v>
      </c>
      <c r="B8" s="13" t="s">
        <v>6</v>
      </c>
      <c r="C8" s="12" t="s">
        <v>7</v>
      </c>
      <c r="D8" s="14" t="s">
        <v>8</v>
      </c>
      <c r="E8" s="14" t="s">
        <v>9</v>
      </c>
      <c r="F8" s="14" t="s">
        <v>10</v>
      </c>
      <c r="G8" s="14" t="s">
        <v>11</v>
      </c>
      <c r="H8" s="12" t="s">
        <v>12</v>
      </c>
      <c r="I8" s="14" t="s">
        <v>13</v>
      </c>
      <c r="J8" s="14" t="s">
        <v>14</v>
      </c>
      <c r="K8" s="15" t="s">
        <v>15</v>
      </c>
    </row>
    <row r="9" spans="1:11" ht="15.6" x14ac:dyDescent="0.3">
      <c r="A9" s="12" t="s">
        <v>45</v>
      </c>
      <c r="B9" s="13" t="s">
        <v>46</v>
      </c>
      <c r="C9" s="12"/>
      <c r="D9" s="14"/>
      <c r="E9" s="14"/>
      <c r="F9" s="14"/>
      <c r="G9" s="14"/>
      <c r="H9" s="12"/>
      <c r="I9" s="14"/>
      <c r="J9" s="14"/>
      <c r="K9" s="15"/>
    </row>
    <row r="10" spans="1:11" ht="31.8" x14ac:dyDescent="0.3">
      <c r="A10" s="16">
        <v>1</v>
      </c>
      <c r="B10" s="38" t="s">
        <v>37</v>
      </c>
      <c r="C10" s="39"/>
      <c r="D10" s="39"/>
      <c r="E10" s="39"/>
      <c r="F10" s="39"/>
      <c r="G10" s="39"/>
      <c r="H10" s="39"/>
      <c r="I10" s="39"/>
      <c r="J10" s="40"/>
      <c r="K10" s="17"/>
    </row>
    <row r="11" spans="1:11" x14ac:dyDescent="0.3">
      <c r="A11" s="16"/>
      <c r="B11" s="41" t="s">
        <v>41</v>
      </c>
      <c r="C11" s="39">
        <v>1</v>
      </c>
      <c r="D11" s="42">
        <v>60</v>
      </c>
      <c r="E11" s="39">
        <v>0.3</v>
      </c>
      <c r="F11" s="39">
        <v>0.45</v>
      </c>
      <c r="G11" s="42">
        <f t="shared" ref="G11:G12" si="0">PRODUCT(C11:F11)</f>
        <v>8.1</v>
      </c>
      <c r="H11" s="39"/>
      <c r="I11" s="39"/>
      <c r="J11" s="40"/>
      <c r="K11" s="17"/>
    </row>
    <row r="12" spans="1:11" s="20" customFormat="1" ht="28.8" x14ac:dyDescent="0.3">
      <c r="A12" s="16"/>
      <c r="B12" s="68" t="s">
        <v>43</v>
      </c>
      <c r="C12" s="69">
        <v>1</v>
      </c>
      <c r="D12" s="70">
        <v>200</v>
      </c>
      <c r="E12" s="69">
        <v>0.3</v>
      </c>
      <c r="F12" s="69">
        <v>0.45</v>
      </c>
      <c r="G12" s="70">
        <f t="shared" si="0"/>
        <v>27</v>
      </c>
      <c r="H12" s="69"/>
      <c r="I12" s="69"/>
      <c r="J12" s="48"/>
      <c r="K12" s="27"/>
    </row>
    <row r="13" spans="1:11" s="35" customFormat="1" x14ac:dyDescent="0.3">
      <c r="A13" s="2"/>
      <c r="B13" s="43" t="s">
        <v>28</v>
      </c>
      <c r="C13" s="44"/>
      <c r="D13" s="45"/>
      <c r="E13" s="46"/>
      <c r="F13" s="46"/>
      <c r="G13" s="47">
        <f>SUM(G11:G12)</f>
        <v>35.1</v>
      </c>
      <c r="H13" s="48" t="s">
        <v>29</v>
      </c>
      <c r="I13" s="49">
        <v>963.05</v>
      </c>
      <c r="J13" s="47">
        <f>G13*I13</f>
        <v>33803.055</v>
      </c>
      <c r="K13" s="5"/>
    </row>
    <row r="14" spans="1:11" x14ac:dyDescent="0.3">
      <c r="A14" s="16"/>
      <c r="B14" s="32"/>
      <c r="C14" s="17"/>
      <c r="D14" s="17"/>
      <c r="E14" s="17"/>
      <c r="F14" s="17"/>
      <c r="G14" s="17"/>
      <c r="H14" s="17"/>
      <c r="I14" s="17"/>
      <c r="J14" s="18"/>
      <c r="K14" s="17"/>
    </row>
    <row r="15" spans="1:11" ht="28.8" x14ac:dyDescent="0.3">
      <c r="A15" s="16">
        <v>2</v>
      </c>
      <c r="B15" s="38" t="s">
        <v>42</v>
      </c>
      <c r="C15" s="17"/>
      <c r="D15" s="17"/>
      <c r="E15" s="17"/>
      <c r="F15" s="17"/>
      <c r="G15" s="17"/>
      <c r="H15" s="17"/>
      <c r="I15" s="17"/>
      <c r="J15" s="17"/>
      <c r="K15" s="17"/>
    </row>
    <row r="16" spans="1:11" x14ac:dyDescent="0.3">
      <c r="A16" s="16"/>
      <c r="B16" s="41" t="s">
        <v>36</v>
      </c>
      <c r="C16" s="39">
        <v>1</v>
      </c>
      <c r="D16" s="42">
        <f>D12</f>
        <v>200</v>
      </c>
      <c r="E16" s="39"/>
      <c r="F16" s="39"/>
      <c r="G16" s="42">
        <f t="shared" ref="G16" si="1">PRODUCT(C16:F16)</f>
        <v>200</v>
      </c>
      <c r="H16" s="39"/>
      <c r="I16" s="39"/>
      <c r="J16" s="40"/>
      <c r="K16" s="17"/>
    </row>
    <row r="17" spans="1:17" s="35" customFormat="1" x14ac:dyDescent="0.3">
      <c r="A17" s="2"/>
      <c r="B17" s="43" t="s">
        <v>28</v>
      </c>
      <c r="C17" s="44"/>
      <c r="D17" s="45"/>
      <c r="E17" s="46"/>
      <c r="F17" s="46"/>
      <c r="G17" s="47">
        <f>SUM(G16:G16)</f>
        <v>200</v>
      </c>
      <c r="H17" s="48" t="s">
        <v>38</v>
      </c>
      <c r="I17" s="49">
        <f>4308.15/1000</f>
        <v>4.3081499999999995</v>
      </c>
      <c r="J17" s="47">
        <f>G17*I17</f>
        <v>861.62999999999988</v>
      </c>
      <c r="K17" s="5"/>
    </row>
    <row r="18" spans="1:17" x14ac:dyDescent="0.3">
      <c r="A18" s="16"/>
      <c r="B18" s="38"/>
      <c r="C18" s="17"/>
      <c r="D18" s="17"/>
      <c r="E18" s="17"/>
      <c r="F18" s="17"/>
      <c r="G18" s="17"/>
      <c r="H18" s="17"/>
      <c r="I18" s="17"/>
      <c r="J18" s="17"/>
      <c r="K18" s="17"/>
    </row>
    <row r="19" spans="1:17" ht="43.2" x14ac:dyDescent="0.3">
      <c r="A19" s="16">
        <v>3</v>
      </c>
      <c r="B19" s="36" t="s">
        <v>30</v>
      </c>
      <c r="C19" s="17"/>
      <c r="D19" s="37" t="s">
        <v>27</v>
      </c>
      <c r="E19" s="37" t="s">
        <v>31</v>
      </c>
      <c r="F19" s="37" t="s">
        <v>32</v>
      </c>
      <c r="G19" s="17"/>
      <c r="H19" s="17"/>
      <c r="I19" s="17"/>
      <c r="J19" s="18"/>
      <c r="K19" s="17"/>
    </row>
    <row r="20" spans="1:17" s="67" customFormat="1" x14ac:dyDescent="0.3">
      <c r="A20" s="65"/>
      <c r="B20" s="50" t="str">
        <f>B11</f>
        <v>-for pipe laying from source to tank</v>
      </c>
      <c r="C20" s="66">
        <v>1</v>
      </c>
      <c r="D20" s="71">
        <f>D11</f>
        <v>60</v>
      </c>
      <c r="E20" s="66">
        <v>0.13500000000000001</v>
      </c>
      <c r="F20" s="66">
        <f>C20*D20*E20</f>
        <v>8.1000000000000014</v>
      </c>
      <c r="G20" s="71">
        <f>F20</f>
        <v>8.1000000000000014</v>
      </c>
      <c r="H20" s="66"/>
      <c r="I20" s="66"/>
      <c r="J20" s="72"/>
      <c r="K20" s="66"/>
    </row>
    <row r="21" spans="1:17" ht="28.8" x14ac:dyDescent="0.3">
      <c r="A21" s="16"/>
      <c r="B21" s="50" t="str">
        <f>B12</f>
        <v>-for pipe laying from water tank to houses</v>
      </c>
      <c r="C21" s="17">
        <v>1</v>
      </c>
      <c r="D21" s="33">
        <f>D12</f>
        <v>200</v>
      </c>
      <c r="E21" s="17">
        <v>0.13500000000000001</v>
      </c>
      <c r="F21" s="17">
        <f t="shared" ref="F21" si="2">C21*D21*E21</f>
        <v>27</v>
      </c>
      <c r="G21" s="33">
        <f t="shared" ref="G21" si="3">F21</f>
        <v>27</v>
      </c>
      <c r="H21" s="17"/>
      <c r="I21" s="17"/>
      <c r="J21" s="18"/>
      <c r="K21" s="17"/>
    </row>
    <row r="22" spans="1:17" ht="15" customHeight="1" x14ac:dyDescent="0.3">
      <c r="A22" s="2"/>
      <c r="B22" s="34" t="s">
        <v>16</v>
      </c>
      <c r="C22" s="3"/>
      <c r="D22" s="4"/>
      <c r="E22" s="5"/>
      <c r="F22" s="5"/>
      <c r="G22" s="6">
        <f>SUM(G20:G21)</f>
        <v>35.1</v>
      </c>
      <c r="H22" s="7" t="s">
        <v>33</v>
      </c>
      <c r="I22" s="6">
        <v>287</v>
      </c>
      <c r="J22" s="18">
        <f>G22*I22</f>
        <v>10073.700000000001</v>
      </c>
      <c r="K22" s="5"/>
    </row>
    <row r="23" spans="1:17" x14ac:dyDescent="0.3">
      <c r="A23" s="16"/>
      <c r="B23" s="32" t="s">
        <v>35</v>
      </c>
      <c r="C23" s="17"/>
      <c r="D23" s="17"/>
      <c r="E23" s="17"/>
      <c r="F23" s="17"/>
      <c r="G23" s="17"/>
      <c r="H23" s="17"/>
      <c r="I23" s="17"/>
      <c r="J23" s="18">
        <f>0.13*J22</f>
        <v>1309.5810000000001</v>
      </c>
      <c r="K23" s="17"/>
    </row>
    <row r="24" spans="1:17" x14ac:dyDescent="0.3">
      <c r="A24" s="16"/>
      <c r="B24" s="17"/>
      <c r="C24" s="17"/>
      <c r="D24" s="17"/>
      <c r="E24" s="17"/>
      <c r="F24" s="17"/>
      <c r="G24" s="17"/>
      <c r="H24" s="17"/>
      <c r="I24" s="17"/>
      <c r="J24" s="17"/>
      <c r="K24" s="17"/>
    </row>
    <row r="25" spans="1:17" ht="15.6" x14ac:dyDescent="0.3">
      <c r="A25" s="12" t="s">
        <v>47</v>
      </c>
      <c r="B25" s="13" t="s">
        <v>48</v>
      </c>
      <c r="C25" s="12"/>
      <c r="D25" s="14"/>
      <c r="E25" s="14"/>
      <c r="F25" s="14"/>
      <c r="G25" s="14"/>
      <c r="H25" s="12"/>
      <c r="I25" s="14"/>
      <c r="J25" s="14"/>
      <c r="K25" s="15"/>
    </row>
    <row r="26" spans="1:17" x14ac:dyDescent="0.3">
      <c r="A26" s="16">
        <v>4</v>
      </c>
      <c r="B26" s="17" t="s">
        <v>44</v>
      </c>
      <c r="C26" s="17"/>
      <c r="D26" s="17"/>
      <c r="E26" s="17"/>
      <c r="F26" s="17"/>
      <c r="G26" s="17"/>
      <c r="H26" s="17"/>
      <c r="I26" s="17"/>
      <c r="J26" s="17"/>
      <c r="K26" s="17"/>
    </row>
    <row r="27" spans="1:17" x14ac:dyDescent="0.3">
      <c r="A27" s="16"/>
      <c r="B27" s="32" t="s">
        <v>49</v>
      </c>
      <c r="C27" s="17">
        <v>2</v>
      </c>
      <c r="D27" s="33">
        <f>M33</f>
        <v>1.929289850655288</v>
      </c>
      <c r="E27" s="33">
        <f>N33</f>
        <v>1.929289850655288</v>
      </c>
      <c r="F27" s="17">
        <v>0.15</v>
      </c>
      <c r="G27" s="42">
        <f>PRODUCT(C27:F27)</f>
        <v>1.116647798352451</v>
      </c>
      <c r="H27" s="17"/>
      <c r="I27" s="17"/>
      <c r="J27" s="17"/>
      <c r="K27" s="17"/>
    </row>
    <row r="28" spans="1:17" ht="15" customHeight="1" x14ac:dyDescent="0.3">
      <c r="A28" s="2"/>
      <c r="B28" s="34" t="s">
        <v>16</v>
      </c>
      <c r="C28" s="3"/>
      <c r="D28" s="4"/>
      <c r="E28" s="5"/>
      <c r="F28" s="5"/>
      <c r="G28" s="6">
        <f>SUM(G27)</f>
        <v>1.116647798352451</v>
      </c>
      <c r="H28" s="7" t="s">
        <v>29</v>
      </c>
      <c r="I28" s="6">
        <f>4493.69</f>
        <v>4493.6899999999996</v>
      </c>
      <c r="J28" s="18">
        <f>G28*I28</f>
        <v>5017.8690449784253</v>
      </c>
      <c r="K28" s="5"/>
    </row>
    <row r="29" spans="1:17" x14ac:dyDescent="0.3">
      <c r="A29" s="16"/>
      <c r="B29" s="32" t="s">
        <v>67</v>
      </c>
      <c r="C29" s="17"/>
      <c r="D29" s="17"/>
      <c r="E29" s="17"/>
      <c r="F29" s="17"/>
      <c r="G29" s="17"/>
      <c r="H29" s="17"/>
      <c r="I29" s="17"/>
      <c r="J29" s="18">
        <f>0.13*G28*3091.19</f>
        <v>448.73016601258468</v>
      </c>
      <c r="K29" s="17"/>
    </row>
    <row r="30" spans="1:17" x14ac:dyDescent="0.3">
      <c r="A30" s="16"/>
      <c r="B30" s="17"/>
      <c r="C30" s="17"/>
      <c r="D30" s="17"/>
      <c r="E30" s="17"/>
      <c r="F30" s="17"/>
      <c r="G30" s="17"/>
      <c r="H30" s="17"/>
      <c r="I30" s="17"/>
      <c r="J30" s="17"/>
      <c r="K30" s="17"/>
    </row>
    <row r="31" spans="1:17" x14ac:dyDescent="0.3">
      <c r="A31" s="16">
        <v>5</v>
      </c>
      <c r="B31" s="17" t="s">
        <v>51</v>
      </c>
      <c r="C31" s="17"/>
      <c r="D31" s="17"/>
      <c r="E31" s="17"/>
      <c r="F31" s="17"/>
      <c r="G31" s="17"/>
      <c r="H31" s="17"/>
      <c r="I31" s="17"/>
      <c r="J31" s="17"/>
      <c r="K31" s="17"/>
      <c r="M31" s="19" t="s">
        <v>58</v>
      </c>
    </row>
    <row r="32" spans="1:17" x14ac:dyDescent="0.3">
      <c r="A32" s="16"/>
      <c r="B32" s="32" t="s">
        <v>57</v>
      </c>
      <c r="C32" s="17">
        <f>C27</f>
        <v>2</v>
      </c>
      <c r="D32" s="33">
        <f>D27</f>
        <v>1.929289850655288</v>
      </c>
      <c r="E32" s="33">
        <f>E27</f>
        <v>1.929289850655288</v>
      </c>
      <c r="F32" s="17">
        <v>0.1</v>
      </c>
      <c r="G32" s="42">
        <f>PRODUCT(C32:F32)</f>
        <v>0.74443186556830077</v>
      </c>
      <c r="H32" s="17"/>
      <c r="I32" s="17"/>
      <c r="J32" s="17"/>
      <c r="K32" s="17"/>
      <c r="M32" s="19" t="s">
        <v>59</v>
      </c>
      <c r="N32" s="19" t="s">
        <v>9</v>
      </c>
      <c r="O32" s="19" t="s">
        <v>69</v>
      </c>
      <c r="P32" s="19" t="s">
        <v>60</v>
      </c>
      <c r="Q32" s="19" t="s">
        <v>61</v>
      </c>
    </row>
    <row r="33" spans="1:17" ht="15" customHeight="1" x14ac:dyDescent="0.3">
      <c r="A33" s="2"/>
      <c r="B33" s="34" t="s">
        <v>16</v>
      </c>
      <c r="C33" s="3"/>
      <c r="D33" s="4"/>
      <c r="E33" s="5"/>
      <c r="F33" s="5"/>
      <c r="G33" s="6">
        <f>SUM(G32)</f>
        <v>0.74443186556830077</v>
      </c>
      <c r="H33" s="7" t="s">
        <v>29</v>
      </c>
      <c r="I33" s="6">
        <v>13343.7</v>
      </c>
      <c r="J33" s="18">
        <f>G33*I33</f>
        <v>9933.475484583736</v>
      </c>
      <c r="K33" s="5"/>
      <c r="M33" s="73">
        <f>6.33/3.281</f>
        <v>1.929289850655288</v>
      </c>
      <c r="N33" s="73">
        <f>6.33/3.281</f>
        <v>1.929289850655288</v>
      </c>
      <c r="O33" s="73">
        <f>1.17/3.281</f>
        <v>0.35659859798841814</v>
      </c>
      <c r="P33" s="73">
        <f>TRUNC(2/3.281,1)</f>
        <v>0.6</v>
      </c>
      <c r="Q33" s="73">
        <f>TRUNC(4/3.281,1)</f>
        <v>1.2</v>
      </c>
    </row>
    <row r="34" spans="1:17" x14ac:dyDescent="0.3">
      <c r="A34" s="16"/>
      <c r="B34" s="32" t="s">
        <v>50</v>
      </c>
      <c r="C34" s="17"/>
      <c r="D34" s="17"/>
      <c r="E34" s="17"/>
      <c r="F34" s="17"/>
      <c r="G34" s="17"/>
      <c r="H34" s="17"/>
      <c r="I34" s="17"/>
      <c r="J34" s="18">
        <f>0.13*G33*1413.27</f>
        <v>136.77081894472261</v>
      </c>
      <c r="K34" s="17"/>
    </row>
    <row r="35" spans="1:17" x14ac:dyDescent="0.3">
      <c r="A35" s="16"/>
      <c r="B35" s="32" t="s">
        <v>52</v>
      </c>
      <c r="C35" s="17"/>
      <c r="D35" s="17"/>
      <c r="E35" s="17"/>
      <c r="F35" s="17"/>
      <c r="G35" s="17"/>
      <c r="H35" s="17"/>
      <c r="I35" s="17"/>
      <c r="J35" s="18">
        <f>0.13*G33*4096</f>
        <v>396.3950797778088</v>
      </c>
      <c r="K35" s="17"/>
    </row>
    <row r="36" spans="1:17" x14ac:dyDescent="0.3">
      <c r="A36" s="16"/>
      <c r="B36" s="32" t="s">
        <v>53</v>
      </c>
      <c r="C36" s="17"/>
      <c r="D36" s="17"/>
      <c r="E36" s="17"/>
      <c r="F36" s="17"/>
      <c r="G36" s="17"/>
      <c r="H36" s="17"/>
      <c r="I36" s="17"/>
      <c r="J36" s="18">
        <f>0.13*G33*(368.76+737.51+1743.21)</f>
        <v>275.76168259894303</v>
      </c>
      <c r="K36" s="17"/>
    </row>
    <row r="37" spans="1:17" x14ac:dyDescent="0.3">
      <c r="A37" s="16"/>
      <c r="B37" s="17"/>
      <c r="C37" s="17"/>
      <c r="D37" s="17"/>
      <c r="E37" s="17"/>
      <c r="F37" s="17"/>
      <c r="G37" s="17"/>
      <c r="H37" s="17"/>
      <c r="I37" s="17"/>
      <c r="J37" s="17"/>
      <c r="K37" s="17"/>
    </row>
    <row r="38" spans="1:17" x14ac:dyDescent="0.3">
      <c r="A38" s="16">
        <v>6</v>
      </c>
      <c r="B38" s="37" t="s">
        <v>68</v>
      </c>
      <c r="C38" s="17"/>
      <c r="D38" s="17"/>
      <c r="E38" s="17"/>
      <c r="F38" s="17"/>
      <c r="G38" s="17"/>
      <c r="H38" s="17"/>
      <c r="I38" s="17"/>
      <c r="J38" s="17"/>
      <c r="K38" s="17"/>
    </row>
    <row r="39" spans="1:17" x14ac:dyDescent="0.3">
      <c r="A39" s="16"/>
      <c r="B39" s="32" t="s">
        <v>55</v>
      </c>
      <c r="C39" s="17">
        <f>C27*2</f>
        <v>4</v>
      </c>
      <c r="D39" s="33">
        <f>D32-O33*2</f>
        <v>1.2160926546784516</v>
      </c>
      <c r="E39" s="33">
        <f>O33</f>
        <v>0.35659859798841814</v>
      </c>
      <c r="F39" s="33">
        <f>P33</f>
        <v>0.6</v>
      </c>
      <c r="G39" s="42">
        <f>PRODUCT(C39:F39)</f>
        <v>1.0407766456376384</v>
      </c>
      <c r="H39" s="17"/>
      <c r="I39" s="17"/>
      <c r="J39" s="17"/>
      <c r="K39" s="17"/>
    </row>
    <row r="40" spans="1:17" x14ac:dyDescent="0.3">
      <c r="A40" s="16"/>
      <c r="B40" s="32" t="s">
        <v>56</v>
      </c>
      <c r="C40" s="17">
        <f>C27</f>
        <v>2</v>
      </c>
      <c r="D40" s="33">
        <f>M33-1.5/3.281</f>
        <v>1.4721121609265468</v>
      </c>
      <c r="E40" s="33">
        <f>O33</f>
        <v>0.35659859798841814</v>
      </c>
      <c r="F40" s="33">
        <f>P33</f>
        <v>0.6</v>
      </c>
      <c r="G40" s="42">
        <f>PRODUCT(C40:F40)</f>
        <v>0.62994375920172863</v>
      </c>
      <c r="H40" s="17"/>
      <c r="I40" s="17"/>
      <c r="J40" s="17"/>
      <c r="K40" s="17"/>
    </row>
    <row r="41" spans="1:17" x14ac:dyDescent="0.3">
      <c r="A41" s="16"/>
      <c r="B41" s="32" t="str">
        <f>B32</f>
        <v>-for stand tap</v>
      </c>
      <c r="C41" s="17">
        <f>C27</f>
        <v>2</v>
      </c>
      <c r="D41" s="33">
        <f>1.5/3.281</f>
        <v>0.45717768972874123</v>
      </c>
      <c r="E41" s="33">
        <f>O33</f>
        <v>0.35659859798841814</v>
      </c>
      <c r="F41" s="33">
        <f>Q33</f>
        <v>1.2</v>
      </c>
      <c r="G41" s="42">
        <f>PRODUCT(C41:F41)</f>
        <v>0.39126941565324752</v>
      </c>
      <c r="H41" s="17"/>
      <c r="I41" s="17"/>
      <c r="J41" s="17"/>
      <c r="K41" s="17"/>
    </row>
    <row r="42" spans="1:17" ht="15" customHeight="1" x14ac:dyDescent="0.3">
      <c r="A42" s="2"/>
      <c r="B42" s="34" t="s">
        <v>16</v>
      </c>
      <c r="C42" s="3"/>
      <c r="D42" s="4"/>
      <c r="E42" s="5"/>
      <c r="F42" s="5"/>
      <c r="G42" s="6">
        <f>SUM(G39:G41)</f>
        <v>2.0619898204926148</v>
      </c>
      <c r="H42" s="7" t="s">
        <v>29</v>
      </c>
      <c r="I42" s="6">
        <v>12225.55</v>
      </c>
      <c r="J42" s="18">
        <f>G42*I42</f>
        <v>25208.959649923487</v>
      </c>
      <c r="K42" s="5"/>
    </row>
    <row r="43" spans="1:17" x14ac:dyDescent="0.3">
      <c r="A43" s="16"/>
      <c r="B43" s="32" t="s">
        <v>50</v>
      </c>
      <c r="C43" s="17"/>
      <c r="D43" s="17"/>
      <c r="E43" s="17"/>
      <c r="F43" s="17"/>
      <c r="G43" s="17"/>
      <c r="H43" s="17"/>
      <c r="I43" s="17"/>
      <c r="J43" s="18">
        <f>0.13*G42*1492.66</f>
        <v>400.12046430934589</v>
      </c>
      <c r="K43" s="17"/>
    </row>
    <row r="44" spans="1:17" x14ac:dyDescent="0.3">
      <c r="A44" s="16"/>
      <c r="B44" s="32" t="s">
        <v>52</v>
      </c>
      <c r="C44" s="17"/>
      <c r="D44" s="17"/>
      <c r="E44" s="17"/>
      <c r="F44" s="17"/>
      <c r="G44" s="17"/>
      <c r="H44" s="17"/>
      <c r="I44" s="17"/>
      <c r="J44" s="18">
        <f>0.13*G42*1356.8</f>
        <v>363.70201249776937</v>
      </c>
      <c r="K44" s="17"/>
    </row>
    <row r="45" spans="1:17" x14ac:dyDescent="0.3">
      <c r="A45" s="16"/>
      <c r="B45" s="32" t="s">
        <v>67</v>
      </c>
      <c r="C45" s="17"/>
      <c r="D45" s="17"/>
      <c r="E45" s="17"/>
      <c r="F45" s="17"/>
      <c r="G45" s="17"/>
      <c r="H45" s="17"/>
      <c r="I45" s="17"/>
      <c r="J45" s="18">
        <f>0.13*G42*2833.59</f>
        <v>759.56838560845699</v>
      </c>
      <c r="K45" s="17"/>
    </row>
    <row r="46" spans="1:17" x14ac:dyDescent="0.3">
      <c r="A46" s="16"/>
      <c r="B46" s="17"/>
      <c r="C46" s="17"/>
      <c r="D46" s="17"/>
      <c r="E46" s="17"/>
      <c r="F46" s="17"/>
      <c r="G46" s="17"/>
      <c r="H46" s="17"/>
      <c r="I46" s="17"/>
      <c r="J46" s="17"/>
      <c r="K46" s="17"/>
    </row>
    <row r="47" spans="1:17" x14ac:dyDescent="0.3">
      <c r="A47" s="16">
        <v>7</v>
      </c>
      <c r="B47" s="37" t="s">
        <v>62</v>
      </c>
      <c r="C47" s="17"/>
      <c r="D47" s="17"/>
      <c r="E47" s="17"/>
      <c r="F47" s="17"/>
      <c r="G47" s="17"/>
      <c r="H47" s="17"/>
      <c r="I47" s="17"/>
      <c r="J47" s="17"/>
      <c r="K47" s="17"/>
    </row>
    <row r="48" spans="1:17" x14ac:dyDescent="0.3">
      <c r="A48" s="16"/>
      <c r="B48" s="32" t="str">
        <f>B39</f>
        <v>-for wing walls of stand tap</v>
      </c>
      <c r="C48" s="17">
        <f>C27*4</f>
        <v>8</v>
      </c>
      <c r="D48" s="33">
        <f>D39</f>
        <v>1.2160926546784516</v>
      </c>
      <c r="E48" s="33"/>
      <c r="F48" s="33">
        <f>P33</f>
        <v>0.6</v>
      </c>
      <c r="G48" s="42">
        <f>PRODUCT(C48:F48)</f>
        <v>5.8372447424565674</v>
      </c>
      <c r="H48" s="17"/>
      <c r="I48" s="17"/>
      <c r="J48" s="17"/>
      <c r="K48" s="17"/>
    </row>
    <row r="49" spans="1:11" x14ac:dyDescent="0.3">
      <c r="A49" s="16"/>
      <c r="B49" s="32" t="str">
        <f>B40</f>
        <v>-for side wall of stand tap</v>
      </c>
      <c r="C49" s="17">
        <f>C27</f>
        <v>2</v>
      </c>
      <c r="D49" s="33">
        <f>D40</f>
        <v>1.4721121609265468</v>
      </c>
      <c r="E49" s="33"/>
      <c r="F49" s="33">
        <f>P33</f>
        <v>0.6</v>
      </c>
      <c r="G49" s="42">
        <f>PRODUCT(C49:F49)</f>
        <v>1.7665345931118561</v>
      </c>
      <c r="H49" s="17"/>
      <c r="I49" s="17"/>
      <c r="J49" s="17"/>
      <c r="K49" s="17"/>
    </row>
    <row r="50" spans="1:11" x14ac:dyDescent="0.3">
      <c r="A50" s="16"/>
      <c r="B50" s="32" t="str">
        <f>B41</f>
        <v>-for stand tap</v>
      </c>
      <c r="C50" s="17">
        <f>C27</f>
        <v>2</v>
      </c>
      <c r="D50" s="33">
        <f>D41</f>
        <v>0.45717768972874123</v>
      </c>
      <c r="E50" s="33"/>
      <c r="F50" s="33">
        <f>Q33</f>
        <v>1.2</v>
      </c>
      <c r="G50" s="42">
        <f>PRODUCT(C50:F50)</f>
        <v>1.097226455348979</v>
      </c>
      <c r="H50" s="17"/>
      <c r="I50" s="17"/>
      <c r="J50" s="17"/>
      <c r="K50" s="17"/>
    </row>
    <row r="51" spans="1:11" x14ac:dyDescent="0.3">
      <c r="A51" s="16"/>
      <c r="B51" s="32"/>
      <c r="C51" s="17">
        <f>C50</f>
        <v>2</v>
      </c>
      <c r="D51" s="33">
        <f>O33*2</f>
        <v>0.71319719597683628</v>
      </c>
      <c r="E51" s="33"/>
      <c r="F51" s="33">
        <f>Q33-P33</f>
        <v>0.6</v>
      </c>
      <c r="G51" s="42">
        <f>PRODUCT(C51:F51)</f>
        <v>0.85583663517220354</v>
      </c>
      <c r="H51" s="17"/>
      <c r="I51" s="17"/>
      <c r="J51" s="17"/>
      <c r="K51" s="17"/>
    </row>
    <row r="52" spans="1:11" ht="15" customHeight="1" x14ac:dyDescent="0.3">
      <c r="A52" s="2"/>
      <c r="B52" s="34" t="s">
        <v>16</v>
      </c>
      <c r="C52" s="3"/>
      <c r="D52" s="4"/>
      <c r="E52" s="5"/>
      <c r="F52" s="5"/>
      <c r="G52" s="6">
        <f>SUM(G48:G51)</f>
        <v>9.5568424260896059</v>
      </c>
      <c r="H52" s="7" t="s">
        <v>54</v>
      </c>
      <c r="I52" s="6">
        <f>49954.32/100</f>
        <v>499.54320000000001</v>
      </c>
      <c r="J52" s="18">
        <f>G52*I52</f>
        <v>4774.055647424565</v>
      </c>
      <c r="K52" s="5"/>
    </row>
    <row r="53" spans="1:11" x14ac:dyDescent="0.3">
      <c r="A53" s="16"/>
      <c r="B53" s="32" t="s">
        <v>50</v>
      </c>
      <c r="C53" s="17"/>
      <c r="D53" s="17"/>
      <c r="E53" s="17"/>
      <c r="F53" s="17"/>
      <c r="G53" s="17"/>
      <c r="H53" s="17"/>
      <c r="I53" s="17"/>
      <c r="J53" s="18">
        <f>0.13*G52*7463.32/100</f>
        <v>92.723505180128015</v>
      </c>
      <c r="K53" s="17"/>
    </row>
    <row r="54" spans="1:11" x14ac:dyDescent="0.3">
      <c r="A54" s="16"/>
      <c r="B54" s="32" t="s">
        <v>52</v>
      </c>
      <c r="C54" s="17"/>
      <c r="D54" s="17"/>
      <c r="E54" s="17"/>
      <c r="F54" s="17"/>
      <c r="G54" s="17"/>
      <c r="H54" s="17"/>
      <c r="I54" s="17"/>
      <c r="J54" s="18">
        <f>0.13*G52*7296/100</f>
        <v>90.644739042974706</v>
      </c>
      <c r="K54" s="17"/>
    </row>
    <row r="55" spans="1:11" x14ac:dyDescent="0.3">
      <c r="A55" s="16"/>
      <c r="B55" s="17"/>
      <c r="C55" s="17"/>
      <c r="D55" s="17"/>
      <c r="E55" s="17"/>
      <c r="F55" s="17"/>
      <c r="G55" s="17"/>
      <c r="H55" s="17"/>
      <c r="I55" s="17"/>
      <c r="J55" s="17"/>
      <c r="K55" s="17"/>
    </row>
    <row r="56" spans="1:11" x14ac:dyDescent="0.3">
      <c r="A56" s="16">
        <v>7</v>
      </c>
      <c r="B56" s="37" t="s">
        <v>63</v>
      </c>
      <c r="C56" s="17"/>
      <c r="D56" s="17"/>
      <c r="E56" s="17"/>
      <c r="F56" s="17"/>
      <c r="G56" s="17"/>
      <c r="H56" s="17"/>
      <c r="I56" s="17"/>
      <c r="J56" s="17"/>
      <c r="K56" s="17"/>
    </row>
    <row r="57" spans="1:11" x14ac:dyDescent="0.3">
      <c r="A57" s="16"/>
      <c r="B57" s="32" t="str">
        <f>B48</f>
        <v>-for wing walls of stand tap</v>
      </c>
      <c r="C57" s="17">
        <f>C48</f>
        <v>8</v>
      </c>
      <c r="D57" s="33">
        <f>D48</f>
        <v>1.2160926546784516</v>
      </c>
      <c r="E57" s="33"/>
      <c r="F57" s="33">
        <f>F48</f>
        <v>0.6</v>
      </c>
      <c r="G57" s="42">
        <f>PRODUCT(C57:F57)</f>
        <v>5.8372447424565674</v>
      </c>
      <c r="H57" s="17"/>
      <c r="I57" s="17"/>
      <c r="J57" s="17"/>
      <c r="K57" s="17"/>
    </row>
    <row r="58" spans="1:11" x14ac:dyDescent="0.3">
      <c r="A58" s="16"/>
      <c r="B58" s="32" t="str">
        <f>B49</f>
        <v>-for side wall of stand tap</v>
      </c>
      <c r="C58" s="17">
        <f>C49</f>
        <v>2</v>
      </c>
      <c r="D58" s="33">
        <f>D49</f>
        <v>1.4721121609265468</v>
      </c>
      <c r="E58" s="33"/>
      <c r="F58" s="33">
        <f t="shared" ref="F58:F60" si="4">F49</f>
        <v>0.6</v>
      </c>
      <c r="G58" s="42">
        <f>PRODUCT(C58:F58)</f>
        <v>1.7665345931118561</v>
      </c>
      <c r="H58" s="17"/>
      <c r="I58" s="17"/>
      <c r="J58" s="17"/>
      <c r="K58" s="17"/>
    </row>
    <row r="59" spans="1:11" x14ac:dyDescent="0.3">
      <c r="A59" s="16"/>
      <c r="B59" s="32" t="str">
        <f>B50</f>
        <v>-for stand tap</v>
      </c>
      <c r="C59" s="17">
        <f>C50</f>
        <v>2</v>
      </c>
      <c r="D59" s="33">
        <f>D50</f>
        <v>0.45717768972874123</v>
      </c>
      <c r="E59" s="33"/>
      <c r="F59" s="33">
        <f t="shared" si="4"/>
        <v>1.2</v>
      </c>
      <c r="G59" s="42">
        <f>PRODUCT(C59:F59)</f>
        <v>1.097226455348979</v>
      </c>
      <c r="H59" s="17"/>
      <c r="I59" s="17"/>
      <c r="J59" s="17"/>
      <c r="K59" s="17"/>
    </row>
    <row r="60" spans="1:11" x14ac:dyDescent="0.3">
      <c r="A60" s="16"/>
      <c r="B60" s="32"/>
      <c r="C60" s="17">
        <f>C51</f>
        <v>2</v>
      </c>
      <c r="D60" s="33">
        <f>D51</f>
        <v>0.71319719597683628</v>
      </c>
      <c r="E60" s="33"/>
      <c r="F60" s="33">
        <f t="shared" si="4"/>
        <v>0.6</v>
      </c>
      <c r="G60" s="42">
        <f>PRODUCT(C60:F60)</f>
        <v>0.85583663517220354</v>
      </c>
      <c r="H60" s="17"/>
      <c r="I60" s="17"/>
      <c r="J60" s="17"/>
      <c r="K60" s="17"/>
    </row>
    <row r="61" spans="1:11" x14ac:dyDescent="0.3">
      <c r="A61" s="16"/>
      <c r="B61" s="32" t="s">
        <v>64</v>
      </c>
      <c r="C61" s="17">
        <f>C27</f>
        <v>2</v>
      </c>
      <c r="D61" s="33">
        <f>M33</f>
        <v>1.929289850655288</v>
      </c>
      <c r="E61" s="33">
        <f>N33</f>
        <v>1.929289850655288</v>
      </c>
      <c r="F61" s="33"/>
      <c r="G61" s="42">
        <f>PRODUCT(C61:F61)</f>
        <v>7.4443186556830074</v>
      </c>
      <c r="H61" s="17"/>
      <c r="I61" s="17"/>
      <c r="J61" s="17"/>
      <c r="K61" s="17"/>
    </row>
    <row r="62" spans="1:11" ht="15" customHeight="1" x14ac:dyDescent="0.3">
      <c r="A62" s="2"/>
      <c r="B62" s="34" t="s">
        <v>16</v>
      </c>
      <c r="C62" s="3"/>
      <c r="D62" s="4"/>
      <c r="E62" s="5"/>
      <c r="F62" s="5"/>
      <c r="G62" s="6">
        <f>SUM(G57:G61)</f>
        <v>17.001161081772615</v>
      </c>
      <c r="H62" s="7" t="s">
        <v>54</v>
      </c>
      <c r="I62" s="6">
        <f>28609.6/100</f>
        <v>286.096</v>
      </c>
      <c r="J62" s="18">
        <f>G62*I62</f>
        <v>4863.9641808508186</v>
      </c>
      <c r="K62" s="5"/>
    </row>
    <row r="63" spans="1:11" x14ac:dyDescent="0.3">
      <c r="A63" s="16"/>
      <c r="B63" s="32" t="s">
        <v>52</v>
      </c>
      <c r="C63" s="17"/>
      <c r="D63" s="17"/>
      <c r="E63" s="17"/>
      <c r="F63" s="17"/>
      <c r="G63" s="17"/>
      <c r="H63" s="17"/>
      <c r="I63" s="17"/>
      <c r="J63" s="18">
        <f>0.13*G62*6809.6/100</f>
        <v>150.50243845317044</v>
      </c>
      <c r="K63" s="17"/>
    </row>
    <row r="64" spans="1:11" x14ac:dyDescent="0.3">
      <c r="A64" s="16"/>
      <c r="B64" s="17"/>
      <c r="C64" s="17"/>
      <c r="D64" s="17"/>
      <c r="E64" s="17"/>
      <c r="F64" s="17"/>
      <c r="G64" s="17"/>
      <c r="H64" s="17"/>
      <c r="I64" s="17"/>
      <c r="J64" s="17"/>
      <c r="K64" s="17"/>
    </row>
    <row r="65" spans="1:11" ht="28.8" x14ac:dyDescent="0.3">
      <c r="A65" s="16">
        <v>8</v>
      </c>
      <c r="B65" s="38" t="s">
        <v>65</v>
      </c>
      <c r="C65" s="17"/>
      <c r="D65" s="17"/>
      <c r="E65" s="17"/>
      <c r="F65" s="17"/>
      <c r="G65" s="17"/>
      <c r="H65" s="17"/>
      <c r="I65" s="17"/>
      <c r="J65" s="17"/>
      <c r="K65" s="17"/>
    </row>
    <row r="66" spans="1:11" x14ac:dyDescent="0.3">
      <c r="A66" s="16"/>
      <c r="B66" s="41" t="s">
        <v>36</v>
      </c>
      <c r="C66" s="39">
        <f>C27</f>
        <v>2</v>
      </c>
      <c r="D66" s="42">
        <f>Q33</f>
        <v>1.2</v>
      </c>
      <c r="E66" s="39"/>
      <c r="F66" s="39"/>
      <c r="G66" s="42">
        <f t="shared" ref="G66" si="5">PRODUCT(C66:F66)</f>
        <v>2.4</v>
      </c>
      <c r="H66" s="39"/>
      <c r="I66" s="39"/>
      <c r="J66" s="40"/>
      <c r="K66" s="17"/>
    </row>
    <row r="67" spans="1:11" s="35" customFormat="1" x14ac:dyDescent="0.3">
      <c r="A67" s="2"/>
      <c r="B67" s="43" t="s">
        <v>28</v>
      </c>
      <c r="C67" s="44"/>
      <c r="D67" s="45"/>
      <c r="E67" s="46"/>
      <c r="F67" s="46"/>
      <c r="G67" s="47">
        <f>SUM(G66:G66)</f>
        <v>2.4</v>
      </c>
      <c r="H67" s="48" t="s">
        <v>38</v>
      </c>
      <c r="I67" s="49">
        <v>248</v>
      </c>
      <c r="J67" s="47">
        <f>G67*I67</f>
        <v>595.19999999999993</v>
      </c>
      <c r="K67" s="5"/>
    </row>
    <row r="68" spans="1:11" x14ac:dyDescent="0.3">
      <c r="A68" s="16"/>
      <c r="B68" s="32" t="s">
        <v>66</v>
      </c>
      <c r="C68" s="17"/>
      <c r="D68" s="17"/>
      <c r="E68" s="17"/>
      <c r="F68" s="17"/>
      <c r="G68" s="17"/>
      <c r="H68" s="17"/>
      <c r="I68" s="17"/>
      <c r="J68" s="18">
        <f>0.13*J67</f>
        <v>77.375999999999991</v>
      </c>
      <c r="K68" s="17"/>
    </row>
    <row r="69" spans="1:11" x14ac:dyDescent="0.3">
      <c r="A69" s="16"/>
      <c r="B69" s="38"/>
      <c r="C69" s="17"/>
      <c r="D69" s="17"/>
      <c r="E69" s="17"/>
      <c r="F69" s="17"/>
      <c r="G69" s="17"/>
      <c r="H69" s="17"/>
      <c r="I69" s="17"/>
      <c r="J69" s="17"/>
      <c r="K69" s="17"/>
    </row>
    <row r="70" spans="1:11" s="35" customFormat="1" ht="27.6" x14ac:dyDescent="0.3">
      <c r="A70" s="2">
        <v>9</v>
      </c>
      <c r="B70" s="51" t="s">
        <v>39</v>
      </c>
      <c r="C70" s="44">
        <v>1</v>
      </c>
      <c r="D70" s="45"/>
      <c r="E70" s="46"/>
      <c r="F70" s="46"/>
      <c r="G70" s="47">
        <f t="shared" ref="G70" si="6">PRODUCT(C70:F70)</f>
        <v>1</v>
      </c>
      <c r="H70" s="48" t="s">
        <v>40</v>
      </c>
      <c r="I70" s="49">
        <v>3000</v>
      </c>
      <c r="J70" s="47">
        <f>G70*I70</f>
        <v>3000</v>
      </c>
      <c r="K70" s="5"/>
    </row>
    <row r="71" spans="1:11" x14ac:dyDescent="0.3">
      <c r="A71" s="16"/>
      <c r="B71" s="38"/>
      <c r="C71" s="17"/>
      <c r="D71" s="17"/>
      <c r="E71" s="17"/>
      <c r="F71" s="17"/>
      <c r="G71" s="17"/>
      <c r="H71" s="17"/>
      <c r="I71" s="17"/>
      <c r="J71" s="17"/>
      <c r="K71" s="17"/>
    </row>
    <row r="72" spans="1:11" ht="15" customHeight="1" x14ac:dyDescent="0.3">
      <c r="A72" s="2">
        <v>10</v>
      </c>
      <c r="B72" s="1" t="s">
        <v>17</v>
      </c>
      <c r="C72" s="3">
        <v>1</v>
      </c>
      <c r="D72" s="4"/>
      <c r="E72" s="5"/>
      <c r="F72" s="5"/>
      <c r="G72" s="7">
        <f t="shared" ref="G72" si="7">PRODUCT(C72:F72)</f>
        <v>1</v>
      </c>
      <c r="H72" s="7" t="s">
        <v>18</v>
      </c>
      <c r="I72" s="6">
        <v>500</v>
      </c>
      <c r="J72" s="7">
        <f>G72*I72</f>
        <v>500</v>
      </c>
      <c r="K72" s="5"/>
    </row>
    <row r="73" spans="1:11" x14ac:dyDescent="0.3">
      <c r="A73" s="2"/>
      <c r="B73" s="8"/>
      <c r="C73" s="3"/>
      <c r="D73" s="4"/>
      <c r="E73" s="5"/>
      <c r="F73" s="5"/>
      <c r="G73" s="6"/>
      <c r="H73" s="7"/>
      <c r="I73" s="6"/>
      <c r="J73" s="18"/>
      <c r="K73" s="5"/>
    </row>
    <row r="74" spans="1:11" x14ac:dyDescent="0.3">
      <c r="A74" s="21"/>
      <c r="B74" s="22" t="s">
        <v>20</v>
      </c>
      <c r="C74" s="23"/>
      <c r="D74" s="24"/>
      <c r="E74" s="24"/>
      <c r="F74" s="24"/>
      <c r="G74" s="18"/>
      <c r="H74" s="18"/>
      <c r="I74" s="18"/>
      <c r="J74" s="18">
        <f>SUM(J10:J72)</f>
        <v>103133.78530018692</v>
      </c>
      <c r="K74" s="25"/>
    </row>
    <row r="76" spans="1:11" s="20" customFormat="1" x14ac:dyDescent="0.3">
      <c r="A76" s="26"/>
      <c r="B76" s="27" t="s">
        <v>19</v>
      </c>
      <c r="C76" s="52">
        <f>J74</f>
        <v>103133.78530018692</v>
      </c>
      <c r="D76" s="53"/>
      <c r="E76" s="9">
        <v>100</v>
      </c>
      <c r="F76" s="26"/>
      <c r="G76" s="28"/>
      <c r="H76" s="26"/>
      <c r="I76" s="29"/>
      <c r="J76" s="30"/>
      <c r="K76" s="31"/>
    </row>
    <row r="77" spans="1:11" x14ac:dyDescent="0.3">
      <c r="B77" s="27" t="s">
        <v>21</v>
      </c>
      <c r="C77" s="56">
        <v>100000</v>
      </c>
      <c r="D77" s="57"/>
      <c r="E77" s="9"/>
    </row>
    <row r="78" spans="1:11" x14ac:dyDescent="0.3">
      <c r="B78" s="27" t="s">
        <v>22</v>
      </c>
      <c r="C78" s="56">
        <f>C77-C80-C81</f>
        <v>95000</v>
      </c>
      <c r="D78" s="57"/>
      <c r="E78" s="9">
        <f>C78/C76*100</f>
        <v>92.113364910914228</v>
      </c>
    </row>
    <row r="79" spans="1:11" x14ac:dyDescent="0.3">
      <c r="B79" s="27" t="s">
        <v>26</v>
      </c>
      <c r="C79" s="58">
        <f>C76-C78</f>
        <v>8133.7853001869225</v>
      </c>
      <c r="D79" s="58"/>
      <c r="E79" s="9">
        <f>100-E78</f>
        <v>7.8866350890857717</v>
      </c>
    </row>
    <row r="80" spans="1:11" x14ac:dyDescent="0.3">
      <c r="B80" s="27" t="s">
        <v>23</v>
      </c>
      <c r="C80" s="52">
        <f>C77*0.03</f>
        <v>3000</v>
      </c>
      <c r="D80" s="53"/>
      <c r="E80" s="9">
        <v>3</v>
      </c>
    </row>
    <row r="81" spans="2:5" x14ac:dyDescent="0.3">
      <c r="B81" s="27" t="s">
        <v>24</v>
      </c>
      <c r="C81" s="52">
        <f>C77*0.02</f>
        <v>2000</v>
      </c>
      <c r="D81" s="53"/>
      <c r="E81" s="9">
        <v>2</v>
      </c>
    </row>
  </sheetData>
  <mergeCells count="15">
    <mergeCell ref="A6:F6"/>
    <mergeCell ref="H6:K6"/>
    <mergeCell ref="A1:K1"/>
    <mergeCell ref="A2:K2"/>
    <mergeCell ref="A3:K3"/>
    <mergeCell ref="A4:K4"/>
    <mergeCell ref="A5:K5"/>
    <mergeCell ref="C80:D80"/>
    <mergeCell ref="C81:D81"/>
    <mergeCell ref="A7:F7"/>
    <mergeCell ref="H7:K7"/>
    <mergeCell ref="C76:D76"/>
    <mergeCell ref="C77:D77"/>
    <mergeCell ref="C78:D78"/>
    <mergeCell ref="C79:D79"/>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2025-12-25T14:01:17Z</dcterms:modified>
</cp:coreProperties>
</file>