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defaultThemeVersion="124226"/>
  <xr:revisionPtr revIDLastSave="0" documentId="13_ncr:1_{3CBA66BD-76F9-4BBA-8333-A869E81BFF59}" xr6:coauthVersionLast="47" xr6:coauthVersionMax="47" xr10:uidLastSave="{00000000-0000-0000-0000-000000000000}"/>
  <bookViews>
    <workbookView xWindow="-120" yWindow="-120" windowWidth="20730" windowHeight="11040" xr2:uid="{00000000-000D-0000-FFFF-FFFF00000000}"/>
  </bookViews>
  <sheets>
    <sheet name="estimate" sheetId="13" r:id="rId1"/>
  </sheets>
  <externalReferences>
    <externalReference r:id="rId2"/>
    <externalReference r:id="rId3"/>
    <externalReference r:id="rId4"/>
  </externalReferences>
  <definedNames>
    <definedName name="description_103">[1]Abstract!$B$16</definedName>
    <definedName name="description_124">#REF!</definedName>
    <definedName name="description_247">[1]Abstract!$B$22</definedName>
    <definedName name="description_248">[1]Abstract!$B$23</definedName>
    <definedName name="description_261">[2]Abstract!$B$33</definedName>
    <definedName name="description_262">[1]Abstract!$B$34</definedName>
    <definedName name="description_276">[3]Abstract!$B$40</definedName>
    <definedName name="description_3">[1]Abstract!$B$169</definedName>
    <definedName name="description_310">#REF!</definedName>
    <definedName name="description_312">#REF!</definedName>
    <definedName name="description_5">[1]Abstract!$B$171</definedName>
    <definedName name="description_6">#REF!</definedName>
    <definedName name="description_759">[1]Abstract!$B$278</definedName>
    <definedName name="description_781">#REF!</definedName>
    <definedName name="description_783">[1]Abstract!$B$301</definedName>
    <definedName name="description_784">[3]Abstract!$B$300</definedName>
    <definedName name="_xlnm.Print_Area" localSheetId="0">estimate!$A$1:$K$144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28" i="13" l="1"/>
  <c r="G129" i="13" s="1"/>
  <c r="J129" i="13" s="1"/>
  <c r="J130" i="13" s="1"/>
  <c r="D105" i="13"/>
  <c r="G105" i="13" s="1"/>
  <c r="D124" i="13"/>
  <c r="F124" i="13" s="1"/>
  <c r="G124" i="13" s="1"/>
  <c r="D122" i="13"/>
  <c r="E106" i="13"/>
  <c r="C115" i="13"/>
  <c r="B115" i="13"/>
  <c r="D106" i="13"/>
  <c r="D110" i="13" s="1"/>
  <c r="D115" i="13" s="1"/>
  <c r="E110" i="13"/>
  <c r="E115" i="13" s="1"/>
  <c r="C106" i="13"/>
  <c r="C110" i="13"/>
  <c r="B110" i="13"/>
  <c r="G94" i="13"/>
  <c r="G95" i="13" s="1"/>
  <c r="J95" i="13" s="1"/>
  <c r="J96" i="13" s="1"/>
  <c r="G90" i="13"/>
  <c r="G91" i="13" s="1"/>
  <c r="J91" i="13" s="1"/>
  <c r="J92" i="13" s="1"/>
  <c r="G66" i="13"/>
  <c r="G67" i="13" s="1"/>
  <c r="J67" i="13" s="1"/>
  <c r="J68" i="13" s="1"/>
  <c r="G86" i="13"/>
  <c r="G87" i="13" s="1"/>
  <c r="J87" i="13" s="1"/>
  <c r="J88" i="13" s="1"/>
  <c r="G62" i="13"/>
  <c r="G63" i="13" s="1"/>
  <c r="J63" i="13" s="1"/>
  <c r="J64" i="13" s="1"/>
  <c r="G82" i="13"/>
  <c r="G83" i="13" s="1"/>
  <c r="J83" i="13" s="1"/>
  <c r="J84" i="13" s="1"/>
  <c r="C78" i="13"/>
  <c r="G78" i="13" s="1"/>
  <c r="G79" i="13" s="1"/>
  <c r="J79" i="13" s="1"/>
  <c r="J80" i="13" s="1"/>
  <c r="G46" i="13"/>
  <c r="G47" i="13" s="1"/>
  <c r="J47" i="13" s="1"/>
  <c r="J48" i="13" s="1"/>
  <c r="C10" i="13"/>
  <c r="G10" i="13" s="1"/>
  <c r="G11" i="13" s="1"/>
  <c r="J11" i="13" s="1"/>
  <c r="F110" i="13"/>
  <c r="G74" i="13"/>
  <c r="G75" i="13" s="1"/>
  <c r="J75" i="13" s="1"/>
  <c r="J76" i="13" s="1"/>
  <c r="G70" i="13"/>
  <c r="G71" i="13" s="1"/>
  <c r="J71" i="13" s="1"/>
  <c r="J72" i="13" s="1"/>
  <c r="G58" i="13"/>
  <c r="G59" i="13" s="1"/>
  <c r="J59" i="13" s="1"/>
  <c r="J60" i="13" s="1"/>
  <c r="G54" i="13"/>
  <c r="G55" i="13" s="1"/>
  <c r="J55" i="13" s="1"/>
  <c r="J56" i="13" s="1"/>
  <c r="G50" i="13"/>
  <c r="G51" i="13" s="1"/>
  <c r="J51" i="13" s="1"/>
  <c r="J52" i="13" s="1"/>
  <c r="G42" i="13"/>
  <c r="G43" i="13" s="1"/>
  <c r="J43" i="13" s="1"/>
  <c r="J44" i="13" s="1"/>
  <c r="F123" i="13"/>
  <c r="G123" i="13" s="1"/>
  <c r="G38" i="13"/>
  <c r="G39" i="13" s="1"/>
  <c r="J39" i="13" s="1"/>
  <c r="J40" i="13" s="1"/>
  <c r="G34" i="13"/>
  <c r="G35" i="13" s="1"/>
  <c r="J35" i="13" s="1"/>
  <c r="J36" i="13" s="1"/>
  <c r="G30" i="13"/>
  <c r="G31" i="13" s="1"/>
  <c r="J31" i="13" s="1"/>
  <c r="J32" i="13" s="1"/>
  <c r="G18" i="13"/>
  <c r="G19" i="13" s="1"/>
  <c r="J19" i="13" s="1"/>
  <c r="J20" i="13" s="1"/>
  <c r="G132" i="13"/>
  <c r="G98" i="13"/>
  <c r="G14" i="13"/>
  <c r="G26" i="13"/>
  <c r="G22" i="13"/>
  <c r="G115" i="13" l="1"/>
  <c r="G116" i="13" s="1"/>
  <c r="G106" i="13"/>
  <c r="G110" i="13"/>
  <c r="G111" i="13"/>
  <c r="J112" i="13" s="1"/>
  <c r="J12" i="13"/>
  <c r="G104" i="13"/>
  <c r="G133" i="13"/>
  <c r="J133" i="13" s="1"/>
  <c r="G99" i="13"/>
  <c r="J99" i="13" s="1"/>
  <c r="J100" i="13" s="1"/>
  <c r="G27" i="13"/>
  <c r="J27" i="13" s="1"/>
  <c r="J28" i="13" s="1"/>
  <c r="G23" i="13"/>
  <c r="J23" i="13" s="1"/>
  <c r="J24" i="13" s="1"/>
  <c r="G15" i="13"/>
  <c r="J15" i="13" s="1"/>
  <c r="J16" i="13" s="1"/>
  <c r="G107" i="13" l="1"/>
  <c r="J119" i="13"/>
  <c r="J118" i="13"/>
  <c r="J117" i="13"/>
  <c r="J116" i="13"/>
  <c r="F122" i="13"/>
  <c r="G122" i="13" s="1"/>
  <c r="G125" i="13" s="1"/>
  <c r="J125" i="13" l="1"/>
  <c r="J126" i="13" s="1"/>
  <c r="C144" i="13" l="1"/>
  <c r="C143" i="13"/>
  <c r="G135" i="13"/>
  <c r="J135" i="13" s="1"/>
  <c r="C141" i="13" l="1"/>
  <c r="J107" i="13" l="1"/>
  <c r="J111" i="13"/>
  <c r="J137" i="13" l="1"/>
  <c r="C139" i="13" s="1"/>
  <c r="C142" i="13" l="1"/>
  <c r="E141" i="13"/>
  <c r="E142" i="13" s="1"/>
</calcChain>
</file>

<file path=xl/sharedStrings.xml><?xml version="1.0" encoding="utf-8"?>
<sst xmlns="http://schemas.openxmlformats.org/spreadsheetml/2006/main" count="172" uniqueCount="80">
  <si>
    <t>Government of Nepal</t>
  </si>
  <si>
    <t>Shankharapur Municipality Office</t>
  </si>
  <si>
    <t>Bagmati Province</t>
  </si>
  <si>
    <t>Sankhu, Kathmandu</t>
  </si>
  <si>
    <t>Detail Estimated Sheet</t>
  </si>
  <si>
    <t>S.N.</t>
  </si>
  <si>
    <t>Description of work</t>
  </si>
  <si>
    <t>No.</t>
  </si>
  <si>
    <t>Length</t>
  </si>
  <si>
    <t>Breadth</t>
  </si>
  <si>
    <t>Height</t>
  </si>
  <si>
    <t>Quantity</t>
  </si>
  <si>
    <t>Unit</t>
  </si>
  <si>
    <t>Rate</t>
  </si>
  <si>
    <t>Amount</t>
  </si>
  <si>
    <t>Remark</t>
  </si>
  <si>
    <t>Sub-total</t>
  </si>
  <si>
    <t>Information board (सुचना पाटि)</t>
  </si>
  <si>
    <t>no.</t>
  </si>
  <si>
    <t>Total Estimated</t>
  </si>
  <si>
    <t>Total</t>
  </si>
  <si>
    <t>Budget allocated</t>
  </si>
  <si>
    <t>Municipal payment</t>
  </si>
  <si>
    <t xml:space="preserve">Contingencies </t>
  </si>
  <si>
    <t xml:space="preserve">Maintanince </t>
  </si>
  <si>
    <t>F.Y.: 2082/2083</t>
  </si>
  <si>
    <t>User contribution</t>
  </si>
  <si>
    <t>Length (m)</t>
  </si>
  <si>
    <t>sub-total</t>
  </si>
  <si>
    <t>cum</t>
  </si>
  <si>
    <t>-High Density Polythene Pipe NS 40 pipe material PE 100, PN 16</t>
  </si>
  <si>
    <t>Weight (Kg/m)</t>
  </si>
  <si>
    <t>Total weight (Kg)</t>
  </si>
  <si>
    <t>kg</t>
  </si>
  <si>
    <t>Location:- Shankharapur Municipality 1</t>
  </si>
  <si>
    <t>-13% VAT for material</t>
  </si>
  <si>
    <t>-for pipe laying</t>
  </si>
  <si>
    <t>A</t>
  </si>
  <si>
    <t>Pipe works</t>
  </si>
  <si>
    <t>B</t>
  </si>
  <si>
    <t>Date:2082</t>
  </si>
  <si>
    <r>
      <t>Earthwork Excavation in Cutting., Roadway Excavation in all types of Soil by Manual Means ., Roadway Excavation in all types of soil as per drawing and technical specification, including removal of stumps and other deleterious matter, with all lifts and lead as per Drawing and instruction of the Engineer.l (</t>
    </r>
    <r>
      <rPr>
        <b/>
        <sz val="14"/>
        <rFont val="Preeti"/>
      </rPr>
      <t>vGg] k'g{] sfo{</t>
    </r>
    <r>
      <rPr>
        <sz val="11"/>
        <rFont val="Calibri"/>
        <family val="2"/>
        <scheme val="minor"/>
      </rPr>
      <t>)</t>
    </r>
  </si>
  <si>
    <t>-for 20mm pipe laying</t>
  </si>
  <si>
    <t>-G.I. Union 20mm</t>
  </si>
  <si>
    <t>pcs.</t>
  </si>
  <si>
    <t>-Fittings for HPDE pipeline maintainance</t>
  </si>
  <si>
    <t>-G.I. Union 32mm</t>
  </si>
  <si>
    <t>-for 32mm pipe laying</t>
  </si>
  <si>
    <t>-for 25mm pipe laying</t>
  </si>
  <si>
    <t>-Roof top PVC water tank 5000ltr</t>
  </si>
  <si>
    <t>ltr</t>
  </si>
  <si>
    <t>Provisional sum for other unforseen works</t>
  </si>
  <si>
    <t>-base preparation for tank</t>
  </si>
  <si>
    <r>
      <t>Project:-</t>
    </r>
    <r>
      <rPr>
        <sz val="12"/>
        <rFont val="Preeti"/>
      </rPr>
      <t xml:space="preserve"> </t>
    </r>
    <r>
      <rPr>
        <sz val="14"/>
        <rFont val="Preeti"/>
      </rPr>
      <t>tNnf]gfª\n]</t>
    </r>
    <r>
      <rPr>
        <sz val="12"/>
        <rFont val="Preeti"/>
      </rPr>
      <t xml:space="preserve"> </t>
    </r>
    <r>
      <rPr>
        <sz val="14"/>
        <rFont val="Preeti"/>
      </rPr>
      <t>vfg]kfgL</t>
    </r>
  </si>
  <si>
    <t>-G.I. Union 50mm</t>
  </si>
  <si>
    <t>-G.I. Socket 50mm</t>
  </si>
  <si>
    <t>-G.I. Tee 50mm</t>
  </si>
  <si>
    <t>-G.I. elbow 50mm</t>
  </si>
  <si>
    <t>-G.I. nipple medium class- 3" long  50mm</t>
  </si>
  <si>
    <t>-Reducing Socket 50mm(2")</t>
  </si>
  <si>
    <t>-G.I. nipple medium class- 2" long  32mm</t>
  </si>
  <si>
    <t>-G.I. Socket 32mm</t>
  </si>
  <si>
    <t>-Reducing Socket 32mm(1-1/4")</t>
  </si>
  <si>
    <t>-Reducing Socket 25mm(1")</t>
  </si>
  <si>
    <t>-G.I. nipple medium class- 2" long  25mm</t>
  </si>
  <si>
    <t>-G.I. Union 25mm</t>
  </si>
  <si>
    <t>-G.I. nipple medium class- 2" long  20mm</t>
  </si>
  <si>
    <t>-G.I. Socket 25mm</t>
  </si>
  <si>
    <t>-G.I. Socket 20mm</t>
  </si>
  <si>
    <t>-Ball valve 25mm</t>
  </si>
  <si>
    <t>-tank nipple 25mm</t>
  </si>
  <si>
    <t>-G.I. Tee 25mm</t>
  </si>
  <si>
    <t>-Brass ferrule cock 20mm</t>
  </si>
  <si>
    <t>-Brass Compression fittings 1/2"( 25-50mm dia) HDPE saddle</t>
  </si>
  <si>
    <t>Stone soling  work</t>
  </si>
  <si>
    <t>-13% VAT for stone</t>
  </si>
  <si>
    <t>Plain Cement Concrete work (1:2:4)</t>
  </si>
  <si>
    <t>-13% VAT for cement</t>
  </si>
  <si>
    <t>PS</t>
  </si>
  <si>
    <t>-Brass tap 1/2" ordinary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</si>
</sst>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
  </numFmts>
  <fonts count="18" x14ac:knownFonts="1">
    <font>
      <sz val="11"/>
      <color theme="1"/>
      <name val="Calibri"/>
      <family val="2"/>
      <scheme val="minor"/>
    </font>
    <font>
      <sz val="11"/>
      <color theme="1"/>
      <name val="Calibri"/>
      <family val="2"/>
      <scheme val="minor"/>
    </font>
    <font>
      <sz val="11"/>
      <name val="Times New Roman"/>
      <family val="1"/>
    </font>
    <font>
      <b/>
      <sz val="11"/>
      <name val="Times New Roman"/>
      <family val="1"/>
    </font>
    <font>
      <sz val="11"/>
      <name val="Calibri"/>
      <family val="2"/>
      <scheme val="minor"/>
    </font>
    <font>
      <b/>
      <sz val="18"/>
      <name val="Times New Roman"/>
      <family val="1"/>
    </font>
    <font>
      <b/>
      <sz val="11"/>
      <name val="Calibri"/>
      <family val="2"/>
      <scheme val="minor"/>
    </font>
    <font>
      <b/>
      <sz val="14"/>
      <name val="Times New Roman"/>
      <family val="1"/>
    </font>
    <font>
      <sz val="12"/>
      <name val="Times New Roman"/>
      <family val="1"/>
    </font>
    <font>
      <b/>
      <sz val="12"/>
      <name val="Times New Roman"/>
      <family val="1"/>
    </font>
    <font>
      <sz val="10"/>
      <name val="Arial"/>
      <family val="2"/>
    </font>
    <font>
      <sz val="10"/>
      <name val="Arial"/>
      <family val="2"/>
    </font>
    <font>
      <sz val="12"/>
      <name val="Preeti"/>
    </font>
    <font>
      <sz val="14"/>
      <name val="Preeti"/>
    </font>
    <font>
      <b/>
      <sz val="14"/>
      <name val="Preeti"/>
    </font>
    <font>
      <sz val="11"/>
      <color rgb="FFFF0000"/>
      <name val="Calibri"/>
      <family val="2"/>
      <scheme val="minor"/>
    </font>
    <font>
      <sz val="11"/>
      <color rgb="FFFF0000"/>
      <name val="Times New Roman"/>
      <family val="1"/>
    </font>
    <font>
      <sz val="8"/>
      <name val="Times New Roman"/>
      <family val="1"/>
    </font>
  </fonts>
  <fills count="3">
    <fill>
      <patternFill patternType="none"/>
    </fill>
    <fill>
      <patternFill patternType="gray125"/>
    </fill>
    <fill>
      <patternFill patternType="solid">
        <fgColor rgb="FF92D050"/>
        <bgColor indexed="64"/>
      </patternFill>
    </fill>
  </fills>
  <borders count="5">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7">
    <xf numFmtId="0" fontId="0" fillId="0" borderId="0"/>
    <xf numFmtId="43" fontId="1" fillId="0" borderId="0" applyFont="0" applyFill="0" applyBorder="0" applyAlignment="0" applyProtection="0"/>
    <xf numFmtId="0" fontId="10" fillId="0" borderId="0"/>
    <xf numFmtId="43" fontId="11" fillId="0" borderId="0" applyFont="0" applyFill="0" applyBorder="0" applyAlignment="0" applyProtection="0"/>
    <xf numFmtId="9" fontId="11" fillId="0" borderId="0" applyFont="0" applyFill="0" applyBorder="0" applyAlignment="0" applyProtection="0"/>
    <xf numFmtId="0" fontId="11" fillId="0" borderId="0"/>
    <xf numFmtId="0" fontId="8" fillId="0" borderId="0"/>
  </cellStyleXfs>
  <cellXfs count="72">
    <xf numFmtId="0" fontId="0" fillId="0" borderId="0" xfId="0"/>
    <xf numFmtId="2" fontId="2" fillId="0" borderId="2" xfId="1" applyNumberFormat="1" applyFont="1" applyFill="1" applyBorder="1" applyAlignment="1">
      <alignment vertical="center"/>
    </xf>
    <xf numFmtId="2" fontId="3" fillId="0" borderId="2" xfId="1" applyNumberFormat="1" applyFont="1" applyFill="1" applyBorder="1" applyAlignment="1">
      <alignment vertical="center"/>
    </xf>
    <xf numFmtId="0" fontId="9" fillId="0" borderId="0" xfId="0" applyFont="1" applyAlignment="1">
      <alignment horizontal="center"/>
    </xf>
    <xf numFmtId="43" fontId="9" fillId="0" borderId="0" xfId="1" applyFont="1" applyFill="1"/>
    <xf numFmtId="0" fontId="9" fillId="0" borderId="2" xfId="0" applyFont="1" applyBorder="1" applyAlignment="1">
      <alignment horizontal="center"/>
    </xf>
    <xf numFmtId="0" fontId="9" fillId="0" borderId="2" xfId="0" applyFont="1" applyBorder="1" applyAlignment="1">
      <alignment horizontal="center" vertical="top" wrapText="1"/>
    </xf>
    <xf numFmtId="43" fontId="9" fillId="0" borderId="2" xfId="1" applyFont="1" applyFill="1" applyBorder="1" applyAlignment="1">
      <alignment horizontal="center"/>
    </xf>
    <xf numFmtId="0" fontId="9" fillId="0" borderId="2" xfId="0" applyFont="1" applyBorder="1" applyAlignment="1">
      <alignment horizontal="center" wrapText="1"/>
    </xf>
    <xf numFmtId="0" fontId="4" fillId="0" borderId="0" xfId="0" applyFont="1"/>
    <xf numFmtId="0" fontId="4" fillId="0" borderId="0" xfId="0" applyFont="1" applyAlignment="1">
      <alignment vertical="center"/>
    </xf>
    <xf numFmtId="1" fontId="3" fillId="0" borderId="2" xfId="0" applyNumberFormat="1" applyFont="1" applyBorder="1" applyAlignment="1">
      <alignment vertical="center"/>
    </xf>
    <xf numFmtId="0" fontId="2" fillId="0" borderId="2" xfId="0" quotePrefix="1" applyFont="1" applyBorder="1" applyAlignment="1">
      <alignment horizontal="right" wrapText="1"/>
    </xf>
    <xf numFmtId="164" fontId="2" fillId="0" borderId="2" xfId="0" applyNumberFormat="1" applyFont="1" applyBorder="1" applyAlignment="1">
      <alignment vertical="center"/>
    </xf>
    <xf numFmtId="2" fontId="2" fillId="0" borderId="2" xfId="0" applyNumberFormat="1" applyFont="1" applyBorder="1" applyAlignment="1">
      <alignment vertical="center"/>
    </xf>
    <xf numFmtId="2" fontId="3" fillId="0" borderId="2" xfId="0" applyNumberFormat="1" applyFont="1" applyBorder="1" applyAlignment="1">
      <alignment vertical="center"/>
    </xf>
    <xf numFmtId="2" fontId="3" fillId="0" borderId="2" xfId="0" applyNumberFormat="1" applyFont="1" applyBorder="1"/>
    <xf numFmtId="0" fontId="6" fillId="0" borderId="2" xfId="0" applyFont="1" applyBorder="1" applyAlignment="1">
      <alignment vertical="center"/>
    </xf>
    <xf numFmtId="0" fontId="4" fillId="0" borderId="2" xfId="0" quotePrefix="1" applyFont="1" applyBorder="1" applyAlignment="1">
      <alignment horizontal="right"/>
    </xf>
    <xf numFmtId="0" fontId="4" fillId="0" borderId="2" xfId="0" applyFont="1" applyBorder="1"/>
    <xf numFmtId="2" fontId="4" fillId="0" borderId="2" xfId="0" applyNumberFormat="1" applyFont="1" applyBorder="1"/>
    <xf numFmtId="0" fontId="4" fillId="0" borderId="2" xfId="0" applyFont="1" applyBorder="1" applyAlignment="1">
      <alignment wrapText="1"/>
    </xf>
    <xf numFmtId="0" fontId="4" fillId="0" borderId="2" xfId="0" applyFont="1" applyBorder="1" applyAlignment="1">
      <alignment vertical="center"/>
    </xf>
    <xf numFmtId="1" fontId="2" fillId="0" borderId="2" xfId="0" applyNumberFormat="1" applyFont="1" applyBorder="1" applyAlignment="1">
      <alignment vertical="center" wrapText="1"/>
    </xf>
    <xf numFmtId="1" fontId="2" fillId="0" borderId="2" xfId="0" applyNumberFormat="1" applyFont="1" applyBorder="1" applyAlignment="1">
      <alignment horizontal="right" vertical="center" wrapText="1"/>
    </xf>
    <xf numFmtId="0" fontId="3" fillId="0" borderId="2" xfId="0" applyFont="1" applyBorder="1"/>
    <xf numFmtId="0" fontId="3" fillId="0" borderId="2" xfId="0" applyFont="1" applyBorder="1" applyAlignment="1">
      <alignment horizontal="right" wrapText="1"/>
    </xf>
    <xf numFmtId="164" fontId="2" fillId="0" borderId="2" xfId="0" applyNumberFormat="1" applyFont="1" applyBorder="1"/>
    <xf numFmtId="2" fontId="2" fillId="0" borderId="2" xfId="0" applyNumberFormat="1" applyFont="1" applyBorder="1"/>
    <xf numFmtId="0" fontId="2" fillId="0" borderId="2" xfId="0" applyFont="1" applyBorder="1"/>
    <xf numFmtId="0" fontId="2" fillId="0" borderId="0" xfId="0" applyFont="1" applyAlignment="1">
      <alignment vertical="center"/>
    </xf>
    <xf numFmtId="2" fontId="4" fillId="0" borderId="2" xfId="0" applyNumberFormat="1" applyFont="1" applyBorder="1" applyAlignment="1">
      <alignment vertical="center"/>
    </xf>
    <xf numFmtId="2" fontId="2" fillId="0" borderId="0" xfId="0" applyNumberFormat="1" applyFont="1" applyAlignment="1">
      <alignment vertical="center"/>
    </xf>
    <xf numFmtId="0" fontId="3" fillId="0" borderId="0" xfId="0" applyFont="1" applyAlignment="1">
      <alignment horizontal="right" vertical="center"/>
    </xf>
    <xf numFmtId="43" fontId="3" fillId="0" borderId="0" xfId="1" applyFont="1" applyFill="1" applyBorder="1" applyAlignment="1">
      <alignment vertical="center"/>
    </xf>
    <xf numFmtId="0" fontId="3" fillId="0" borderId="0" xfId="0" applyFont="1" applyAlignment="1">
      <alignment vertical="center"/>
    </xf>
    <xf numFmtId="0" fontId="4" fillId="0" borderId="2" xfId="0" quotePrefix="1" applyFont="1" applyBorder="1" applyAlignment="1">
      <alignment wrapText="1"/>
    </xf>
    <xf numFmtId="0" fontId="2" fillId="0" borderId="2" xfId="0" quotePrefix="1" applyFont="1" applyBorder="1" applyAlignment="1">
      <alignment horizontal="right" vertical="center" wrapText="1"/>
    </xf>
    <xf numFmtId="2" fontId="6" fillId="0" borderId="2" xfId="0" applyNumberFormat="1" applyFont="1" applyBorder="1" applyAlignment="1">
      <alignment vertical="center"/>
    </xf>
    <xf numFmtId="1" fontId="2" fillId="0" borderId="2" xfId="0" quotePrefix="1" applyNumberFormat="1" applyFont="1" applyBorder="1" applyAlignment="1">
      <alignment vertical="center" wrapText="1"/>
    </xf>
    <xf numFmtId="0" fontId="4" fillId="0" borderId="2" xfId="0" quotePrefix="1" applyFont="1" applyBorder="1" applyAlignment="1">
      <alignment horizontal="right" vertical="center" wrapText="1"/>
    </xf>
    <xf numFmtId="0" fontId="6" fillId="2" borderId="2" xfId="0" applyFont="1" applyFill="1" applyBorder="1" applyAlignment="1">
      <alignment vertical="center"/>
    </xf>
    <xf numFmtId="0" fontId="4" fillId="2" borderId="2" xfId="0" quotePrefix="1" applyFont="1" applyFill="1" applyBorder="1" applyAlignment="1">
      <alignment horizontal="right"/>
    </xf>
    <xf numFmtId="0" fontId="4" fillId="2" borderId="2" xfId="0" applyFont="1" applyFill="1" applyBorder="1"/>
    <xf numFmtId="2" fontId="4" fillId="2" borderId="2" xfId="0" applyNumberFormat="1" applyFont="1" applyFill="1" applyBorder="1"/>
    <xf numFmtId="2" fontId="6" fillId="2" borderId="2" xfId="0" applyNumberFormat="1" applyFont="1" applyFill="1" applyBorder="1" applyAlignment="1">
      <alignment vertical="center"/>
    </xf>
    <xf numFmtId="0" fontId="4" fillId="2" borderId="0" xfId="0" applyFont="1" applyFill="1"/>
    <xf numFmtId="1" fontId="3" fillId="2" borderId="2" xfId="0" applyNumberFormat="1" applyFont="1" applyFill="1" applyBorder="1" applyAlignment="1">
      <alignment vertical="center"/>
    </xf>
    <xf numFmtId="0" fontId="2" fillId="2" borderId="2" xfId="0" quotePrefix="1" applyFont="1" applyFill="1" applyBorder="1" applyAlignment="1">
      <alignment horizontal="right" wrapText="1"/>
    </xf>
    <xf numFmtId="164" fontId="2" fillId="2" borderId="2" xfId="0" applyNumberFormat="1" applyFont="1" applyFill="1" applyBorder="1" applyAlignment="1">
      <alignment vertical="center"/>
    </xf>
    <xf numFmtId="2" fontId="2" fillId="2" borderId="2" xfId="1" applyNumberFormat="1" applyFont="1" applyFill="1" applyBorder="1" applyAlignment="1">
      <alignment vertical="center"/>
    </xf>
    <xf numFmtId="2" fontId="2" fillId="2" borderId="2" xfId="0" applyNumberFormat="1" applyFont="1" applyFill="1" applyBorder="1" applyAlignment="1">
      <alignment vertical="center"/>
    </xf>
    <xf numFmtId="2" fontId="3" fillId="2" borderId="2" xfId="1" applyNumberFormat="1" applyFont="1" applyFill="1" applyBorder="1" applyAlignment="1">
      <alignment vertical="center"/>
    </xf>
    <xf numFmtId="2" fontId="3" fillId="2" borderId="2" xfId="0" applyNumberFormat="1" applyFont="1" applyFill="1" applyBorder="1" applyAlignment="1">
      <alignment vertical="center"/>
    </xf>
    <xf numFmtId="2" fontId="3" fillId="2" borderId="2" xfId="0" applyNumberFormat="1" applyFont="1" applyFill="1" applyBorder="1"/>
    <xf numFmtId="0" fontId="4" fillId="2" borderId="2" xfId="0" quotePrefix="1" applyFont="1" applyFill="1" applyBorder="1" applyAlignment="1">
      <alignment horizontal="right" wrapText="1"/>
    </xf>
    <xf numFmtId="0" fontId="15" fillId="2" borderId="2" xfId="0" quotePrefix="1" applyFont="1" applyFill="1" applyBorder="1" applyAlignment="1">
      <alignment horizontal="right"/>
    </xf>
    <xf numFmtId="0" fontId="16" fillId="2" borderId="2" xfId="0" quotePrefix="1" applyFont="1" applyFill="1" applyBorder="1" applyAlignment="1">
      <alignment horizontal="right" wrapText="1"/>
    </xf>
    <xf numFmtId="0" fontId="17" fillId="0" borderId="2" xfId="6" applyFont="1" applyBorder="1"/>
    <xf numFmtId="0" fontId="8" fillId="0" borderId="1" xfId="0" applyFont="1" applyBorder="1"/>
    <xf numFmtId="0" fontId="8" fillId="0" borderId="1" xfId="0" applyFont="1" applyBorder="1" applyAlignment="1">
      <alignment horizontal="right"/>
    </xf>
    <xf numFmtId="0" fontId="3" fillId="0" borderId="0" xfId="0" applyFont="1" applyAlignment="1">
      <alignment horizontal="center" vertical="center"/>
    </xf>
    <xf numFmtId="0" fontId="5" fillId="0" borderId="0" xfId="0" applyFont="1" applyAlignment="1">
      <alignment horizontal="center" vertical="center"/>
    </xf>
    <xf numFmtId="0" fontId="6" fillId="0" borderId="0" xfId="0" applyFont="1" applyAlignment="1">
      <alignment horizontal="center" vertical="center"/>
    </xf>
    <xf numFmtId="0" fontId="7" fillId="0" borderId="0" xfId="0" applyFont="1" applyAlignment="1">
      <alignment horizontal="center"/>
    </xf>
    <xf numFmtId="0" fontId="8" fillId="0" borderId="0" xfId="0" applyFont="1" applyAlignment="1">
      <alignment horizontal="left"/>
    </xf>
    <xf numFmtId="0" fontId="8" fillId="0" borderId="0" xfId="0" applyFont="1" applyAlignment="1">
      <alignment horizontal="right"/>
    </xf>
    <xf numFmtId="2" fontId="4" fillId="0" borderId="3" xfId="0" applyNumberFormat="1" applyFont="1" applyBorder="1" applyAlignment="1">
      <alignment horizontal="center" vertical="center"/>
    </xf>
    <xf numFmtId="2" fontId="4" fillId="0" borderId="4" xfId="0" applyNumberFormat="1" applyFont="1" applyBorder="1" applyAlignment="1">
      <alignment horizontal="center" vertical="center"/>
    </xf>
    <xf numFmtId="2" fontId="4" fillId="0" borderId="3" xfId="1" applyNumberFormat="1" applyFont="1" applyFill="1" applyBorder="1" applyAlignment="1">
      <alignment horizontal="center" vertical="center"/>
    </xf>
    <xf numFmtId="2" fontId="4" fillId="0" borderId="4" xfId="1" applyNumberFormat="1" applyFont="1" applyFill="1" applyBorder="1" applyAlignment="1">
      <alignment horizontal="center" vertical="center"/>
    </xf>
    <xf numFmtId="2" fontId="4" fillId="0" borderId="2" xfId="0" applyNumberFormat="1" applyFont="1" applyBorder="1" applyAlignment="1">
      <alignment horizontal="center" vertical="center"/>
    </xf>
  </cellXfs>
  <cellStyles count="7">
    <cellStyle name="Comma" xfId="1" builtinId="3"/>
    <cellStyle name="Comma 2" xfId="3" xr:uid="{00000000-0005-0000-0000-000001000000}"/>
    <cellStyle name="Normal" xfId="0" builtinId="0"/>
    <cellStyle name="Normal 2" xfId="2" xr:uid="{00000000-0005-0000-0000-000003000000}"/>
    <cellStyle name="Normal 3" xfId="5" xr:uid="{00000000-0005-0000-0000-000004000000}"/>
    <cellStyle name="Normal_Rates" xfId="6" xr:uid="{F7DAAFF2-C6A9-4A6E-A295-11A026D44131}"/>
    <cellStyle name="Percent 2" xfId="4" xr:uid="{00000000-0005-0000-0000-00000500000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H:\079-080\Rate%20Analysis\Road-rate-analysis-079-80-shankharapur-as-per-dor-norms-nnnn.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Dell\Desktop\Ward%209\RATE%20ANALYSIS\Road-rate-analysis-078-79-shankharapur.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2082_2083\rate%20analysis\For%20all%20Road-rate%20analysis%2082%2083%20shankharapu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16">
          <cell r="B16" t="str">
            <v>Clearing and Grubbing Road Land ., Clearing and grubbing road land including uprooting rank vegetation, grass, bushes, shrubs, saplings and trees girth up to 300 mm, removal of stumps of trees cut earlier and disposal of unserviceable materials and stacking of serviceable Material to be used or auctioned, up to a lead of 30 meters including removal and disposal of top organic soil not exceeding 150 mm in thickness., By Mechanical Means, In area of light jungle (less than 15 number per 100 sqm )</v>
          </cell>
        </row>
        <row r="22">
          <cell r="B22" t="str">
            <v>Providing and Laying Reinforced cement concrete NP3 Flush jointed pipe for culverts including fixing with cement mortar 1:2 as per Drawing and Technical Specifications., 450 mm  internal dia.</v>
          </cell>
        </row>
        <row r="23">
          <cell r="B23" t="str">
            <v>Providing and Laying Reinforced cement concrete NP3 Flush jointed pipe for culverts including fixing with cement mortar 1:2 as per Drawing and Technical Specifications., 600 mm  internal dia.</v>
          </cell>
        </row>
        <row r="34">
          <cell r="B34" t="str">
            <v>Earthwork Excavation in Cutting., Roadway Excavation in all types of Soil by Mechanical  Means ., Road way Excavation in  all types of soil as per Drawing and technical specifications  including  removal of stumps and other deleterious matter, all lifts and lead as per Drawing and instruction of the Engineer.</v>
          </cell>
        </row>
        <row r="169">
          <cell r="B169" t="str">
            <v>Providing and laying of Plain/Reinforced Cement Concrete in Foundation complete as per Drawing and Technical Specifications, PCC Grade M 15</v>
          </cell>
        </row>
        <row r="171">
          <cell r="B171" t="str">
            <v>Providing and laying of Plain/Reinforced Cement Concrete in Foundation complete as per Drawing and Technical Specifications, PCC Grade M 20</v>
          </cell>
        </row>
        <row r="278">
          <cell r="B278" t="str">
            <v>Providing and laying Brick Masonry Work in Cement mortar  in Foundation / structure complete excluding Pointing and Plastering, as per Drawing and Technical Specifications., Cement sand mortar (1:6)</v>
          </cell>
        </row>
        <row r="301">
          <cell r="B301" t="str">
            <v>Random Rubble Masonry, Providing and laying of Stone Masonry Work in Cement Mortar 1:6 in Foundation complete as per Drawing and Technical Specifications.</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33">
          <cell r="B33" t="str">
            <v>Earthwork Excavation in Cutting., Roadway Excavation in all types of Soil by Manual Means ., Roadway Excavation in all types of soil as per drawing and technical specification, including removal of stumps and other deleterious matter, with all lifts and lead as per Drawing and instruction of the Engineer.</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sheetData sheetId="1">
        <row r="40">
          <cell r="B40" t="str">
            <v>Excavation for Structures Foundation, Earth work in excavation of foundation of structures, including  construction of shoring and bracing, removal of stumps and other deleterious matter and backfilling with approved Material as per Drawing and Technical Specifications., Ordinary soil by Mechanical Means, Depth upto 3 m</v>
          </cell>
        </row>
        <row r="300">
          <cell r="B300" t="str">
            <v>Random Rubble Masonry, Providing and laying of Stone Masonry Work in Cement Mortar 1:6 in Foundation complete as per Drawing and Technical Specifications., Using Concrete Mixer</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44"/>
  <sheetViews>
    <sheetView tabSelected="1" topLeftCell="A128" zoomScaleNormal="100" workbookViewId="0">
      <selection activeCell="A136" sqref="A136"/>
    </sheetView>
  </sheetViews>
  <sheetFormatPr defaultColWidth="9.140625" defaultRowHeight="15" x14ac:dyDescent="0.25"/>
  <cols>
    <col min="1" max="1" width="4.7109375" style="9" customWidth="1"/>
    <col min="2" max="2" width="30.85546875" style="9" customWidth="1"/>
    <col min="3" max="3" width="4.42578125" style="9" bestFit="1" customWidth="1"/>
    <col min="4" max="4" width="8.42578125" style="9" customWidth="1"/>
    <col min="5" max="5" width="8.5703125" style="9" customWidth="1"/>
    <col min="6" max="6" width="7.28515625" style="9" customWidth="1"/>
    <col min="7" max="7" width="9.140625" style="9"/>
    <col min="8" max="8" width="5" style="9" bestFit="1" customWidth="1"/>
    <col min="9" max="9" width="9.5703125" style="9" customWidth="1"/>
    <col min="10" max="10" width="10.7109375" style="9" bestFit="1" customWidth="1"/>
    <col min="11" max="12" width="9.140625" style="9"/>
    <col min="13" max="13" width="6.42578125" style="9" bestFit="1" customWidth="1"/>
    <col min="14" max="14" width="7.42578125" style="9" bestFit="1" customWidth="1"/>
    <col min="15" max="16" width="8.42578125" style="9" bestFit="1" customWidth="1"/>
    <col min="17" max="17" width="9.140625" style="9"/>
    <col min="18" max="18" width="16.5703125" style="9" customWidth="1"/>
    <col min="19" max="20" width="8.5703125" style="9" bestFit="1" customWidth="1"/>
    <col min="21" max="21" width="6.5703125" style="9" customWidth="1"/>
    <col min="22" max="22" width="7.42578125" style="9" bestFit="1" customWidth="1"/>
    <col min="23" max="23" width="8.42578125" style="9" bestFit="1" customWidth="1"/>
    <col min="24" max="25" width="7.7109375" style="9" bestFit="1" customWidth="1"/>
    <col min="26" max="16384" width="9.140625" style="9"/>
  </cols>
  <sheetData>
    <row r="1" spans="1:25" x14ac:dyDescent="0.25">
      <c r="A1" s="61" t="s">
        <v>0</v>
      </c>
      <c r="B1" s="61"/>
      <c r="C1" s="61"/>
      <c r="D1" s="61"/>
      <c r="E1" s="61"/>
      <c r="F1" s="61"/>
      <c r="G1" s="61"/>
      <c r="H1" s="61"/>
      <c r="I1" s="61"/>
      <c r="J1" s="61"/>
      <c r="K1" s="61"/>
    </row>
    <row r="2" spans="1:25" ht="22.5" x14ac:dyDescent="0.25">
      <c r="A2" s="62" t="s">
        <v>1</v>
      </c>
      <c r="B2" s="62"/>
      <c r="C2" s="62"/>
      <c r="D2" s="62"/>
      <c r="E2" s="62"/>
      <c r="F2" s="62"/>
      <c r="G2" s="62"/>
      <c r="H2" s="62"/>
      <c r="I2" s="62"/>
      <c r="J2" s="62"/>
      <c r="K2" s="62"/>
    </row>
    <row r="3" spans="1:25" x14ac:dyDescent="0.25">
      <c r="A3" s="63" t="s">
        <v>2</v>
      </c>
      <c r="B3" s="63"/>
      <c r="C3" s="63"/>
      <c r="D3" s="63"/>
      <c r="E3" s="63"/>
      <c r="F3" s="63"/>
      <c r="G3" s="63"/>
      <c r="H3" s="63"/>
      <c r="I3" s="63"/>
      <c r="J3" s="63"/>
      <c r="K3" s="63"/>
    </row>
    <row r="4" spans="1:25" x14ac:dyDescent="0.25">
      <c r="A4" s="63" t="s">
        <v>3</v>
      </c>
      <c r="B4" s="63"/>
      <c r="C4" s="63"/>
      <c r="D4" s="63"/>
      <c r="E4" s="63"/>
      <c r="F4" s="63"/>
      <c r="G4" s="63"/>
      <c r="H4" s="63"/>
      <c r="I4" s="63"/>
      <c r="J4" s="63"/>
      <c r="K4" s="63"/>
    </row>
    <row r="5" spans="1:25" ht="18.75" x14ac:dyDescent="0.3">
      <c r="A5" s="64" t="s">
        <v>4</v>
      </c>
      <c r="B5" s="64"/>
      <c r="C5" s="64"/>
      <c r="D5" s="64"/>
      <c r="E5" s="64"/>
      <c r="F5" s="64"/>
      <c r="G5" s="64"/>
      <c r="H5" s="64"/>
      <c r="I5" s="64"/>
      <c r="J5" s="64"/>
      <c r="K5" s="64"/>
    </row>
    <row r="6" spans="1:25" ht="18" x14ac:dyDescent="0.25">
      <c r="A6" s="65" t="s">
        <v>53</v>
      </c>
      <c r="B6" s="65"/>
      <c r="C6" s="65"/>
      <c r="D6" s="65"/>
      <c r="E6" s="65"/>
      <c r="F6" s="65"/>
      <c r="G6" s="3"/>
      <c r="H6" s="66" t="s">
        <v>25</v>
      </c>
      <c r="I6" s="66"/>
      <c r="J6" s="66"/>
      <c r="K6" s="66"/>
    </row>
    <row r="7" spans="1:25" ht="15.75" x14ac:dyDescent="0.25">
      <c r="A7" s="59" t="s">
        <v>34</v>
      </c>
      <c r="B7" s="59"/>
      <c r="C7" s="59"/>
      <c r="D7" s="59"/>
      <c r="E7" s="59"/>
      <c r="F7" s="59"/>
      <c r="G7" s="4"/>
      <c r="H7" s="60" t="s">
        <v>40</v>
      </c>
      <c r="I7" s="60"/>
      <c r="J7" s="60"/>
      <c r="K7" s="60"/>
    </row>
    <row r="8" spans="1:25" ht="15.75" x14ac:dyDescent="0.25">
      <c r="A8" s="5" t="s">
        <v>5</v>
      </c>
      <c r="B8" s="6" t="s">
        <v>6</v>
      </c>
      <c r="C8" s="5" t="s">
        <v>7</v>
      </c>
      <c r="D8" s="7" t="s">
        <v>8</v>
      </c>
      <c r="E8" s="7" t="s">
        <v>9</v>
      </c>
      <c r="F8" s="7" t="s">
        <v>10</v>
      </c>
      <c r="G8" s="7" t="s">
        <v>11</v>
      </c>
      <c r="H8" s="5" t="s">
        <v>12</v>
      </c>
      <c r="I8" s="7" t="s">
        <v>13</v>
      </c>
      <c r="J8" s="7" t="s">
        <v>14</v>
      </c>
      <c r="K8" s="8" t="s">
        <v>15</v>
      </c>
      <c r="M8" s="10"/>
      <c r="N8" s="10"/>
      <c r="O8" s="10"/>
      <c r="P8" s="10"/>
      <c r="Q8" s="10"/>
      <c r="R8" s="10"/>
      <c r="S8" s="10"/>
      <c r="T8" s="10"/>
      <c r="U8" s="10"/>
      <c r="V8" s="10"/>
      <c r="W8" s="10"/>
      <c r="X8" s="10"/>
      <c r="Y8" s="10"/>
    </row>
    <row r="9" spans="1:25" ht="30" x14ac:dyDescent="0.25">
      <c r="A9" s="17" t="s">
        <v>37</v>
      </c>
      <c r="B9" s="36" t="s">
        <v>45</v>
      </c>
      <c r="C9" s="19"/>
      <c r="D9" s="19"/>
      <c r="E9" s="19"/>
      <c r="F9" s="19"/>
      <c r="G9" s="19"/>
      <c r="H9" s="19"/>
      <c r="I9" s="19"/>
      <c r="J9" s="16"/>
      <c r="K9" s="19"/>
      <c r="M9" s="10"/>
      <c r="N9" s="10"/>
      <c r="O9" s="10"/>
      <c r="P9" s="10"/>
      <c r="Q9" s="10"/>
      <c r="R9" s="10"/>
      <c r="S9" s="10"/>
      <c r="T9" s="10"/>
      <c r="U9" s="10"/>
      <c r="V9" s="10"/>
      <c r="W9" s="10"/>
      <c r="X9" s="10"/>
      <c r="Y9" s="10"/>
    </row>
    <row r="10" spans="1:25" s="46" customFormat="1" x14ac:dyDescent="0.25">
      <c r="A10" s="41">
        <v>1</v>
      </c>
      <c r="B10" s="42" t="s">
        <v>54</v>
      </c>
      <c r="C10" s="43">
        <f>9</f>
        <v>9</v>
      </c>
      <c r="D10" s="44"/>
      <c r="E10" s="43"/>
      <c r="F10" s="43"/>
      <c r="G10" s="44">
        <f>PRODUCT(C10:F10)</f>
        <v>9</v>
      </c>
      <c r="H10" s="43"/>
      <c r="I10" s="45"/>
      <c r="J10" s="45"/>
      <c r="K10" s="43"/>
    </row>
    <row r="11" spans="1:25" s="46" customFormat="1" ht="15" customHeight="1" x14ac:dyDescent="0.25">
      <c r="A11" s="47"/>
      <c r="B11" s="48" t="s">
        <v>16</v>
      </c>
      <c r="C11" s="49"/>
      <c r="D11" s="50"/>
      <c r="E11" s="51"/>
      <c r="F11" s="51"/>
      <c r="G11" s="52">
        <f>SUM(G10:G10)</f>
        <v>9</v>
      </c>
      <c r="H11" s="53" t="s">
        <v>44</v>
      </c>
      <c r="I11" s="52">
        <v>611</v>
      </c>
      <c r="J11" s="54">
        <f>G11*I11</f>
        <v>5499</v>
      </c>
      <c r="K11" s="51"/>
    </row>
    <row r="12" spans="1:25" s="46" customFormat="1" x14ac:dyDescent="0.25">
      <c r="A12" s="41"/>
      <c r="B12" s="42" t="s">
        <v>35</v>
      </c>
      <c r="C12" s="43"/>
      <c r="D12" s="43"/>
      <c r="E12" s="43"/>
      <c r="F12" s="43"/>
      <c r="G12" s="43"/>
      <c r="H12" s="43"/>
      <c r="I12" s="43"/>
      <c r="J12" s="54">
        <f>0.13*J11</f>
        <v>714.87</v>
      </c>
      <c r="K12" s="43"/>
    </row>
    <row r="13" spans="1:25" s="46" customFormat="1" x14ac:dyDescent="0.25">
      <c r="A13" s="41"/>
      <c r="B13" s="42"/>
      <c r="C13" s="43"/>
      <c r="D13" s="43"/>
      <c r="E13" s="43"/>
      <c r="F13" s="43"/>
      <c r="G13" s="43"/>
      <c r="H13" s="43"/>
      <c r="I13" s="43"/>
      <c r="J13" s="54"/>
      <c r="K13" s="43"/>
    </row>
    <row r="14" spans="1:25" s="46" customFormat="1" x14ac:dyDescent="0.25">
      <c r="A14" s="41">
        <v>2</v>
      </c>
      <c r="B14" s="42" t="s">
        <v>55</v>
      </c>
      <c r="C14" s="43">
        <v>6</v>
      </c>
      <c r="D14" s="44"/>
      <c r="E14" s="43"/>
      <c r="F14" s="43"/>
      <c r="G14" s="44">
        <f t="shared" ref="G14:G22" si="0">PRODUCT(C14:F14)</f>
        <v>6</v>
      </c>
      <c r="H14" s="43" t="s">
        <v>44</v>
      </c>
      <c r="I14" s="45"/>
      <c r="J14" s="45"/>
      <c r="K14" s="43"/>
    </row>
    <row r="15" spans="1:25" s="46" customFormat="1" ht="15" customHeight="1" x14ac:dyDescent="0.25">
      <c r="A15" s="47"/>
      <c r="B15" s="48" t="s">
        <v>16</v>
      </c>
      <c r="C15" s="49"/>
      <c r="D15" s="50"/>
      <c r="E15" s="51"/>
      <c r="F15" s="51"/>
      <c r="G15" s="52">
        <f>SUM(G14:G14)</f>
        <v>6</v>
      </c>
      <c r="H15" s="53" t="s">
        <v>44</v>
      </c>
      <c r="I15" s="52">
        <v>241</v>
      </c>
      <c r="J15" s="54">
        <f>G15*I15</f>
        <v>1446</v>
      </c>
      <c r="K15" s="51"/>
    </row>
    <row r="16" spans="1:25" s="46" customFormat="1" x14ac:dyDescent="0.25">
      <c r="A16" s="41"/>
      <c r="B16" s="42" t="s">
        <v>35</v>
      </c>
      <c r="C16" s="43"/>
      <c r="D16" s="43"/>
      <c r="E16" s="43"/>
      <c r="F16" s="43"/>
      <c r="G16" s="43"/>
      <c r="H16" s="43"/>
      <c r="I16" s="43"/>
      <c r="J16" s="54">
        <f>0.13*J15</f>
        <v>187.98000000000002</v>
      </c>
      <c r="K16" s="43"/>
    </row>
    <row r="17" spans="1:11" s="46" customFormat="1" x14ac:dyDescent="0.25">
      <c r="A17" s="41"/>
      <c r="B17" s="42"/>
      <c r="C17" s="43"/>
      <c r="D17" s="43"/>
      <c r="E17" s="43"/>
      <c r="F17" s="43"/>
      <c r="G17" s="43"/>
      <c r="H17" s="43"/>
      <c r="I17" s="43"/>
      <c r="J17" s="54"/>
      <c r="K17" s="43"/>
    </row>
    <row r="18" spans="1:11" s="46" customFormat="1" x14ac:dyDescent="0.25">
      <c r="A18" s="41">
        <v>3</v>
      </c>
      <c r="B18" s="42" t="s">
        <v>56</v>
      </c>
      <c r="C18" s="43">
        <v>1</v>
      </c>
      <c r="D18" s="44"/>
      <c r="E18" s="43"/>
      <c r="F18" s="43"/>
      <c r="G18" s="44">
        <f t="shared" ref="G18" si="1">PRODUCT(C18:F18)</f>
        <v>1</v>
      </c>
      <c r="H18" s="43" t="s">
        <v>44</v>
      </c>
      <c r="I18" s="45"/>
      <c r="J18" s="45"/>
      <c r="K18" s="43"/>
    </row>
    <row r="19" spans="1:11" s="46" customFormat="1" ht="15" customHeight="1" x14ac:dyDescent="0.25">
      <c r="A19" s="47"/>
      <c r="B19" s="48" t="s">
        <v>16</v>
      </c>
      <c r="C19" s="49"/>
      <c r="D19" s="50"/>
      <c r="E19" s="51"/>
      <c r="F19" s="51"/>
      <c r="G19" s="52">
        <f>SUM(G18:G18)</f>
        <v>1</v>
      </c>
      <c r="H19" s="53" t="s">
        <v>44</v>
      </c>
      <c r="I19" s="52">
        <v>492</v>
      </c>
      <c r="J19" s="54">
        <f>G19*I19</f>
        <v>492</v>
      </c>
      <c r="K19" s="51"/>
    </row>
    <row r="20" spans="1:11" s="46" customFormat="1" x14ac:dyDescent="0.25">
      <c r="A20" s="41"/>
      <c r="B20" s="42" t="s">
        <v>35</v>
      </c>
      <c r="C20" s="43"/>
      <c r="D20" s="43"/>
      <c r="E20" s="43"/>
      <c r="F20" s="43"/>
      <c r="G20" s="43"/>
      <c r="H20" s="43"/>
      <c r="I20" s="43"/>
      <c r="J20" s="54">
        <f>0.13*J19</f>
        <v>63.96</v>
      </c>
      <c r="K20" s="43"/>
    </row>
    <row r="21" spans="1:11" s="46" customFormat="1" x14ac:dyDescent="0.25">
      <c r="A21" s="41"/>
      <c r="B21" s="42"/>
      <c r="C21" s="43"/>
      <c r="D21" s="43"/>
      <c r="E21" s="43"/>
      <c r="F21" s="43"/>
      <c r="G21" s="43"/>
      <c r="H21" s="43"/>
      <c r="I21" s="43"/>
      <c r="J21" s="54"/>
      <c r="K21" s="43"/>
    </row>
    <row r="22" spans="1:11" s="46" customFormat="1" x14ac:dyDescent="0.25">
      <c r="A22" s="41">
        <v>4</v>
      </c>
      <c r="B22" s="42" t="s">
        <v>57</v>
      </c>
      <c r="C22" s="43">
        <v>2</v>
      </c>
      <c r="D22" s="44"/>
      <c r="E22" s="43"/>
      <c r="F22" s="43"/>
      <c r="G22" s="44">
        <f t="shared" si="0"/>
        <v>2</v>
      </c>
      <c r="H22" s="43" t="s">
        <v>44</v>
      </c>
      <c r="I22" s="45"/>
      <c r="J22" s="45"/>
      <c r="K22" s="43"/>
    </row>
    <row r="23" spans="1:11" s="46" customFormat="1" ht="15" customHeight="1" x14ac:dyDescent="0.25">
      <c r="A23" s="47"/>
      <c r="B23" s="48" t="s">
        <v>16</v>
      </c>
      <c r="C23" s="49"/>
      <c r="D23" s="50"/>
      <c r="E23" s="51"/>
      <c r="F23" s="51"/>
      <c r="G23" s="52">
        <f>SUM(G22:G22)</f>
        <v>2</v>
      </c>
      <c r="H23" s="53" t="s">
        <v>44</v>
      </c>
      <c r="I23" s="52">
        <v>344</v>
      </c>
      <c r="J23" s="54">
        <f>G23*I23</f>
        <v>688</v>
      </c>
      <c r="K23" s="51"/>
    </row>
    <row r="24" spans="1:11" s="46" customFormat="1" x14ac:dyDescent="0.25">
      <c r="A24" s="41"/>
      <c r="B24" s="42" t="s">
        <v>35</v>
      </c>
      <c r="C24" s="43"/>
      <c r="D24" s="43"/>
      <c r="E24" s="43"/>
      <c r="F24" s="43"/>
      <c r="G24" s="43"/>
      <c r="H24" s="43"/>
      <c r="I24" s="43"/>
      <c r="J24" s="54">
        <f>0.13*J23</f>
        <v>89.44</v>
      </c>
      <c r="K24" s="43"/>
    </row>
    <row r="25" spans="1:11" s="46" customFormat="1" x14ac:dyDescent="0.25">
      <c r="A25" s="41"/>
      <c r="B25" s="42"/>
      <c r="C25" s="43"/>
      <c r="D25" s="43"/>
      <c r="E25" s="43"/>
      <c r="F25" s="43"/>
      <c r="G25" s="43"/>
      <c r="H25" s="43"/>
      <c r="I25" s="43"/>
      <c r="J25" s="54"/>
      <c r="K25" s="43"/>
    </row>
    <row r="26" spans="1:11" s="46" customFormat="1" ht="30" x14ac:dyDescent="0.25">
      <c r="A26" s="41">
        <v>5</v>
      </c>
      <c r="B26" s="55" t="s">
        <v>58</v>
      </c>
      <c r="C26" s="43">
        <v>4</v>
      </c>
      <c r="D26" s="44"/>
      <c r="E26" s="43"/>
      <c r="F26" s="43"/>
      <c r="G26" s="44">
        <f t="shared" ref="G26:G98" si="2">PRODUCT(C26:F26)</f>
        <v>4</v>
      </c>
      <c r="H26" s="43" t="s">
        <v>44</v>
      </c>
      <c r="I26" s="45"/>
      <c r="J26" s="45"/>
      <c r="K26" s="43"/>
    </row>
    <row r="27" spans="1:11" s="46" customFormat="1" ht="15" customHeight="1" x14ac:dyDescent="0.25">
      <c r="A27" s="47"/>
      <c r="B27" s="48" t="s">
        <v>16</v>
      </c>
      <c r="C27" s="49"/>
      <c r="D27" s="50"/>
      <c r="E27" s="51"/>
      <c r="F27" s="51"/>
      <c r="G27" s="52">
        <f>SUM(G26:G26)</f>
        <v>4</v>
      </c>
      <c r="H27" s="53" t="s">
        <v>44</v>
      </c>
      <c r="I27" s="52">
        <v>134</v>
      </c>
      <c r="J27" s="54">
        <f>G27*I27</f>
        <v>536</v>
      </c>
      <c r="K27" s="51"/>
    </row>
    <row r="28" spans="1:11" s="46" customFormat="1" x14ac:dyDescent="0.25">
      <c r="A28" s="41"/>
      <c r="B28" s="42" t="s">
        <v>35</v>
      </c>
      <c r="C28" s="43"/>
      <c r="D28" s="43"/>
      <c r="E28" s="43"/>
      <c r="F28" s="43"/>
      <c r="G28" s="43"/>
      <c r="H28" s="43"/>
      <c r="I28" s="43"/>
      <c r="J28" s="54">
        <f>0.13*J27</f>
        <v>69.680000000000007</v>
      </c>
      <c r="K28" s="43"/>
    </row>
    <row r="29" spans="1:11" s="46" customFormat="1" x14ac:dyDescent="0.25">
      <c r="A29" s="41"/>
      <c r="B29" s="42"/>
      <c r="C29" s="43"/>
      <c r="D29" s="43"/>
      <c r="E29" s="43"/>
      <c r="F29" s="43"/>
      <c r="G29" s="43"/>
      <c r="H29" s="43"/>
      <c r="I29" s="43"/>
      <c r="J29" s="54"/>
      <c r="K29" s="43"/>
    </row>
    <row r="30" spans="1:11" s="46" customFormat="1" x14ac:dyDescent="0.25">
      <c r="A30" s="41">
        <v>6</v>
      </c>
      <c r="B30" s="42" t="s">
        <v>59</v>
      </c>
      <c r="C30" s="43">
        <v>2</v>
      </c>
      <c r="D30" s="44"/>
      <c r="E30" s="43"/>
      <c r="F30" s="43"/>
      <c r="G30" s="44">
        <f t="shared" ref="G30" si="3">PRODUCT(C30:F30)</f>
        <v>2</v>
      </c>
      <c r="H30" s="43" t="s">
        <v>44</v>
      </c>
      <c r="I30" s="45"/>
      <c r="J30" s="45"/>
      <c r="K30" s="43"/>
    </row>
    <row r="31" spans="1:11" s="46" customFormat="1" ht="15" customHeight="1" x14ac:dyDescent="0.25">
      <c r="A31" s="47"/>
      <c r="B31" s="48" t="s">
        <v>16</v>
      </c>
      <c r="C31" s="49"/>
      <c r="D31" s="50"/>
      <c r="E31" s="51"/>
      <c r="F31" s="51"/>
      <c r="G31" s="52">
        <f>SUM(G30:G30)</f>
        <v>2</v>
      </c>
      <c r="H31" s="53" t="s">
        <v>44</v>
      </c>
      <c r="I31" s="52">
        <v>320</v>
      </c>
      <c r="J31" s="54">
        <f>G31*I31</f>
        <v>640</v>
      </c>
      <c r="K31" s="51"/>
    </row>
    <row r="32" spans="1:11" s="46" customFormat="1" x14ac:dyDescent="0.25">
      <c r="A32" s="41"/>
      <c r="B32" s="42" t="s">
        <v>35</v>
      </c>
      <c r="C32" s="43"/>
      <c r="D32" s="43"/>
      <c r="E32" s="43"/>
      <c r="F32" s="43"/>
      <c r="G32" s="43"/>
      <c r="H32" s="43"/>
      <c r="I32" s="43"/>
      <c r="J32" s="54">
        <f>0.13*J31</f>
        <v>83.2</v>
      </c>
      <c r="K32" s="43"/>
    </row>
    <row r="33" spans="1:11" s="46" customFormat="1" x14ac:dyDescent="0.25">
      <c r="A33" s="41"/>
      <c r="B33" s="42"/>
      <c r="C33" s="43"/>
      <c r="D33" s="43"/>
      <c r="E33" s="43"/>
      <c r="F33" s="43"/>
      <c r="G33" s="43"/>
      <c r="H33" s="43"/>
      <c r="I33" s="43"/>
      <c r="J33" s="54"/>
      <c r="K33" s="43"/>
    </row>
    <row r="34" spans="1:11" s="46" customFormat="1" ht="30" x14ac:dyDescent="0.25">
      <c r="A34" s="41">
        <v>7</v>
      </c>
      <c r="B34" s="55" t="s">
        <v>60</v>
      </c>
      <c r="C34" s="43">
        <v>2</v>
      </c>
      <c r="D34" s="44"/>
      <c r="E34" s="43"/>
      <c r="F34" s="43"/>
      <c r="G34" s="44">
        <f t="shared" ref="G34" si="4">PRODUCT(C34:F34)</f>
        <v>2</v>
      </c>
      <c r="H34" s="43" t="s">
        <v>44</v>
      </c>
      <c r="I34" s="45"/>
      <c r="J34" s="45"/>
      <c r="K34" s="43"/>
    </row>
    <row r="35" spans="1:11" s="46" customFormat="1" ht="15" customHeight="1" x14ac:dyDescent="0.25">
      <c r="A35" s="47"/>
      <c r="B35" s="48" t="s">
        <v>16</v>
      </c>
      <c r="C35" s="49"/>
      <c r="D35" s="50"/>
      <c r="E35" s="51"/>
      <c r="F35" s="51"/>
      <c r="G35" s="52">
        <f>SUM(G34:G34)</f>
        <v>2</v>
      </c>
      <c r="H35" s="53" t="s">
        <v>44</v>
      </c>
      <c r="I35" s="52">
        <v>57</v>
      </c>
      <c r="J35" s="54">
        <f>G35*I35</f>
        <v>114</v>
      </c>
      <c r="K35" s="51"/>
    </row>
    <row r="36" spans="1:11" s="46" customFormat="1" x14ac:dyDescent="0.25">
      <c r="A36" s="41"/>
      <c r="B36" s="42" t="s">
        <v>35</v>
      </c>
      <c r="C36" s="43"/>
      <c r="D36" s="43"/>
      <c r="E36" s="43"/>
      <c r="F36" s="43"/>
      <c r="G36" s="43"/>
      <c r="H36" s="43"/>
      <c r="I36" s="43"/>
      <c r="J36" s="54">
        <f>0.13*J35</f>
        <v>14.82</v>
      </c>
      <c r="K36" s="43"/>
    </row>
    <row r="37" spans="1:11" s="46" customFormat="1" x14ac:dyDescent="0.25">
      <c r="A37" s="41"/>
      <c r="B37" s="42"/>
      <c r="C37" s="43"/>
      <c r="D37" s="43"/>
      <c r="E37" s="43"/>
      <c r="F37" s="43"/>
      <c r="G37" s="43"/>
      <c r="H37" s="43"/>
      <c r="I37" s="43"/>
      <c r="J37" s="54"/>
      <c r="K37" s="43"/>
    </row>
    <row r="38" spans="1:11" s="46" customFormat="1" x14ac:dyDescent="0.25">
      <c r="A38" s="41">
        <v>8</v>
      </c>
      <c r="B38" s="42" t="s">
        <v>46</v>
      </c>
      <c r="C38" s="43">
        <v>4</v>
      </c>
      <c r="D38" s="44"/>
      <c r="E38" s="43"/>
      <c r="F38" s="43"/>
      <c r="G38" s="44">
        <f>PRODUCT(C38:F38)</f>
        <v>4</v>
      </c>
      <c r="H38" s="43"/>
      <c r="I38" s="45"/>
      <c r="J38" s="45"/>
      <c r="K38" s="43"/>
    </row>
    <row r="39" spans="1:11" s="46" customFormat="1" ht="15" customHeight="1" x14ac:dyDescent="0.25">
      <c r="A39" s="47"/>
      <c r="B39" s="48" t="s">
        <v>16</v>
      </c>
      <c r="C39" s="49"/>
      <c r="D39" s="50"/>
      <c r="E39" s="51"/>
      <c r="F39" s="51"/>
      <c r="G39" s="52">
        <f>SUM(G38:G38)</f>
        <v>4</v>
      </c>
      <c r="H39" s="53" t="s">
        <v>44</v>
      </c>
      <c r="I39" s="52">
        <v>329</v>
      </c>
      <c r="J39" s="54">
        <f>G39*I39</f>
        <v>1316</v>
      </c>
      <c r="K39" s="51"/>
    </row>
    <row r="40" spans="1:11" s="46" customFormat="1" x14ac:dyDescent="0.25">
      <c r="A40" s="41"/>
      <c r="B40" s="42" t="s">
        <v>35</v>
      </c>
      <c r="C40" s="43"/>
      <c r="D40" s="43"/>
      <c r="E40" s="43"/>
      <c r="F40" s="43"/>
      <c r="G40" s="43"/>
      <c r="H40" s="43"/>
      <c r="I40" s="43"/>
      <c r="J40" s="54">
        <f>0.13*J39</f>
        <v>171.08</v>
      </c>
      <c r="K40" s="43"/>
    </row>
    <row r="41" spans="1:11" s="46" customFormat="1" x14ac:dyDescent="0.25">
      <c r="A41" s="41"/>
      <c r="B41" s="42"/>
      <c r="C41" s="43"/>
      <c r="D41" s="43"/>
      <c r="E41" s="43"/>
      <c r="F41" s="43"/>
      <c r="G41" s="43"/>
      <c r="H41" s="43"/>
      <c r="I41" s="43"/>
      <c r="J41" s="54"/>
      <c r="K41" s="43"/>
    </row>
    <row r="42" spans="1:11" s="46" customFormat="1" x14ac:dyDescent="0.25">
      <c r="A42" s="41">
        <v>9</v>
      </c>
      <c r="B42" s="42" t="s">
        <v>61</v>
      </c>
      <c r="C42" s="43">
        <v>2</v>
      </c>
      <c r="D42" s="44"/>
      <c r="E42" s="43"/>
      <c r="F42" s="43"/>
      <c r="G42" s="44">
        <f t="shared" ref="G42" si="5">PRODUCT(C42:F42)</f>
        <v>2</v>
      </c>
      <c r="H42" s="43" t="s">
        <v>44</v>
      </c>
      <c r="I42" s="45"/>
      <c r="J42" s="45"/>
      <c r="K42" s="43"/>
    </row>
    <row r="43" spans="1:11" s="46" customFormat="1" ht="15" customHeight="1" x14ac:dyDescent="0.25">
      <c r="A43" s="47"/>
      <c r="B43" s="48" t="s">
        <v>16</v>
      </c>
      <c r="C43" s="49"/>
      <c r="D43" s="50"/>
      <c r="E43" s="51"/>
      <c r="F43" s="51"/>
      <c r="G43" s="52">
        <f>SUM(G42:G42)</f>
        <v>2</v>
      </c>
      <c r="H43" s="53" t="s">
        <v>44</v>
      </c>
      <c r="I43" s="52">
        <v>115</v>
      </c>
      <c r="J43" s="54">
        <f>G43*I43</f>
        <v>230</v>
      </c>
      <c r="K43" s="51"/>
    </row>
    <row r="44" spans="1:11" s="46" customFormat="1" x14ac:dyDescent="0.25">
      <c r="A44" s="41"/>
      <c r="B44" s="42" t="s">
        <v>35</v>
      </c>
      <c r="C44" s="43"/>
      <c r="D44" s="43"/>
      <c r="E44" s="43"/>
      <c r="F44" s="43"/>
      <c r="G44" s="43"/>
      <c r="H44" s="43"/>
      <c r="I44" s="43"/>
      <c r="J44" s="54">
        <f>0.13*J43</f>
        <v>29.900000000000002</v>
      </c>
      <c r="K44" s="43"/>
    </row>
    <row r="45" spans="1:11" s="46" customFormat="1" x14ac:dyDescent="0.25">
      <c r="A45" s="41"/>
      <c r="B45" s="56"/>
      <c r="C45" s="43"/>
      <c r="D45" s="43"/>
      <c r="E45" s="43"/>
      <c r="F45" s="43"/>
      <c r="G45" s="43"/>
      <c r="H45" s="43"/>
      <c r="I45" s="43"/>
      <c r="J45" s="54"/>
      <c r="K45" s="43"/>
    </row>
    <row r="46" spans="1:11" s="46" customFormat="1" x14ac:dyDescent="0.25">
      <c r="A46" s="41">
        <v>10</v>
      </c>
      <c r="B46" s="56" t="s">
        <v>62</v>
      </c>
      <c r="C46" s="43">
        <v>1</v>
      </c>
      <c r="D46" s="44"/>
      <c r="E46" s="43"/>
      <c r="F46" s="43"/>
      <c r="G46" s="44">
        <f t="shared" ref="G46" si="6">PRODUCT(C46:F46)</f>
        <v>1</v>
      </c>
      <c r="H46" s="43" t="s">
        <v>44</v>
      </c>
      <c r="I46" s="45"/>
      <c r="J46" s="45"/>
      <c r="K46" s="43"/>
    </row>
    <row r="47" spans="1:11" s="46" customFormat="1" ht="15" customHeight="1" x14ac:dyDescent="0.25">
      <c r="A47" s="47"/>
      <c r="B47" s="57" t="s">
        <v>16</v>
      </c>
      <c r="C47" s="49"/>
      <c r="D47" s="50"/>
      <c r="E47" s="51"/>
      <c r="F47" s="51"/>
      <c r="G47" s="52">
        <f>SUM(G46:G46)</f>
        <v>1</v>
      </c>
      <c r="H47" s="53" t="s">
        <v>44</v>
      </c>
      <c r="I47" s="52">
        <v>150</v>
      </c>
      <c r="J47" s="54">
        <f>G47*I47</f>
        <v>150</v>
      </c>
      <c r="K47" s="51"/>
    </row>
    <row r="48" spans="1:11" s="46" customFormat="1" x14ac:dyDescent="0.25">
      <c r="A48" s="41"/>
      <c r="B48" s="56" t="s">
        <v>35</v>
      </c>
      <c r="C48" s="43"/>
      <c r="D48" s="43"/>
      <c r="E48" s="43"/>
      <c r="F48" s="43"/>
      <c r="G48" s="43"/>
      <c r="H48" s="43"/>
      <c r="I48" s="43"/>
      <c r="J48" s="54">
        <f>0.13*J47</f>
        <v>19.5</v>
      </c>
      <c r="K48" s="43"/>
    </row>
    <row r="49" spans="1:11" s="46" customFormat="1" x14ac:dyDescent="0.25">
      <c r="A49" s="41"/>
      <c r="B49" s="42"/>
      <c r="C49" s="43"/>
      <c r="D49" s="43"/>
      <c r="E49" s="43"/>
      <c r="F49" s="43"/>
      <c r="G49" s="43"/>
      <c r="H49" s="43"/>
      <c r="I49" s="43"/>
      <c r="J49" s="54"/>
      <c r="K49" s="43"/>
    </row>
    <row r="50" spans="1:11" s="46" customFormat="1" x14ac:dyDescent="0.25">
      <c r="A50" s="41">
        <v>11</v>
      </c>
      <c r="B50" s="56" t="s">
        <v>63</v>
      </c>
      <c r="C50" s="43">
        <v>4</v>
      </c>
      <c r="D50" s="44"/>
      <c r="E50" s="43"/>
      <c r="F50" s="43"/>
      <c r="G50" s="44">
        <f t="shared" ref="G50" si="7">PRODUCT(C50:F50)</f>
        <v>4</v>
      </c>
      <c r="H50" s="43" t="s">
        <v>44</v>
      </c>
      <c r="I50" s="45"/>
      <c r="J50" s="45"/>
      <c r="K50" s="43"/>
    </row>
    <row r="51" spans="1:11" s="46" customFormat="1" ht="15" customHeight="1" x14ac:dyDescent="0.25">
      <c r="A51" s="47"/>
      <c r="B51" s="57" t="s">
        <v>16</v>
      </c>
      <c r="C51" s="49"/>
      <c r="D51" s="50"/>
      <c r="E51" s="51"/>
      <c r="F51" s="51"/>
      <c r="G51" s="52">
        <f>SUM(G50:G50)</f>
        <v>4</v>
      </c>
      <c r="H51" s="53" t="s">
        <v>44</v>
      </c>
      <c r="I51" s="52">
        <v>100</v>
      </c>
      <c r="J51" s="54">
        <f>G51*I51</f>
        <v>400</v>
      </c>
      <c r="K51" s="51"/>
    </row>
    <row r="52" spans="1:11" s="46" customFormat="1" x14ac:dyDescent="0.25">
      <c r="A52" s="41"/>
      <c r="B52" s="56" t="s">
        <v>35</v>
      </c>
      <c r="C52" s="43"/>
      <c r="D52" s="43"/>
      <c r="E52" s="43"/>
      <c r="F52" s="43"/>
      <c r="G52" s="43"/>
      <c r="H52" s="43"/>
      <c r="I52" s="43"/>
      <c r="J52" s="54">
        <f>0.13*J51</f>
        <v>52</v>
      </c>
      <c r="K52" s="43"/>
    </row>
    <row r="53" spans="1:11" s="46" customFormat="1" x14ac:dyDescent="0.25">
      <c r="A53" s="41"/>
      <c r="B53" s="42"/>
      <c r="C53" s="43"/>
      <c r="D53" s="43"/>
      <c r="E53" s="43"/>
      <c r="F53" s="43"/>
      <c r="G53" s="43"/>
      <c r="H53" s="43"/>
      <c r="I53" s="43"/>
      <c r="J53" s="54"/>
      <c r="K53" s="43"/>
    </row>
    <row r="54" spans="1:11" s="46" customFormat="1" ht="30" x14ac:dyDescent="0.25">
      <c r="A54" s="41">
        <v>12</v>
      </c>
      <c r="B54" s="55" t="s">
        <v>64</v>
      </c>
      <c r="C54" s="43">
        <v>4</v>
      </c>
      <c r="D54" s="44"/>
      <c r="E54" s="43"/>
      <c r="F54" s="43"/>
      <c r="G54" s="44">
        <f t="shared" ref="G54" si="8">PRODUCT(C54:F54)</f>
        <v>4</v>
      </c>
      <c r="H54" s="43" t="s">
        <v>44</v>
      </c>
      <c r="I54" s="45"/>
      <c r="J54" s="45"/>
      <c r="K54" s="43"/>
    </row>
    <row r="55" spans="1:11" s="46" customFormat="1" ht="15" customHeight="1" x14ac:dyDescent="0.25">
      <c r="A55" s="47"/>
      <c r="B55" s="48" t="s">
        <v>16</v>
      </c>
      <c r="C55" s="49"/>
      <c r="D55" s="50"/>
      <c r="E55" s="51"/>
      <c r="F55" s="51"/>
      <c r="G55" s="52">
        <f>SUM(G54:G54)</f>
        <v>4</v>
      </c>
      <c r="H55" s="53" t="s">
        <v>44</v>
      </c>
      <c r="I55" s="52">
        <v>44</v>
      </c>
      <c r="J55" s="54">
        <f>G55*I55</f>
        <v>176</v>
      </c>
      <c r="K55" s="51"/>
    </row>
    <row r="56" spans="1:11" s="46" customFormat="1" x14ac:dyDescent="0.25">
      <c r="A56" s="41"/>
      <c r="B56" s="42" t="s">
        <v>35</v>
      </c>
      <c r="C56" s="43"/>
      <c r="D56" s="43"/>
      <c r="E56" s="43"/>
      <c r="F56" s="43"/>
      <c r="G56" s="43"/>
      <c r="H56" s="43"/>
      <c r="I56" s="43"/>
      <c r="J56" s="54">
        <f>0.13*J55</f>
        <v>22.880000000000003</v>
      </c>
      <c r="K56" s="43"/>
    </row>
    <row r="57" spans="1:11" s="46" customFormat="1" x14ac:dyDescent="0.25">
      <c r="A57" s="41"/>
      <c r="B57" s="42"/>
      <c r="C57" s="43"/>
      <c r="D57" s="43"/>
      <c r="E57" s="43"/>
      <c r="F57" s="43"/>
      <c r="G57" s="43"/>
      <c r="H57" s="43"/>
      <c r="I57" s="43"/>
      <c r="J57" s="54"/>
      <c r="K57" s="43"/>
    </row>
    <row r="58" spans="1:11" s="46" customFormat="1" x14ac:dyDescent="0.25">
      <c r="A58" s="41">
        <v>13</v>
      </c>
      <c r="B58" s="42" t="s">
        <v>65</v>
      </c>
      <c r="C58" s="43">
        <v>4</v>
      </c>
      <c r="D58" s="44"/>
      <c r="E58" s="43"/>
      <c r="F58" s="43"/>
      <c r="G58" s="44">
        <f>PRODUCT(C58:F58)</f>
        <v>4</v>
      </c>
      <c r="H58" s="43"/>
      <c r="I58" s="45"/>
      <c r="J58" s="45"/>
      <c r="K58" s="43"/>
    </row>
    <row r="59" spans="1:11" s="46" customFormat="1" ht="15" customHeight="1" x14ac:dyDescent="0.25">
      <c r="A59" s="47"/>
      <c r="B59" s="48" t="s">
        <v>16</v>
      </c>
      <c r="C59" s="49"/>
      <c r="D59" s="50"/>
      <c r="E59" s="51"/>
      <c r="F59" s="51"/>
      <c r="G59" s="52">
        <f>SUM(G58:G58)</f>
        <v>4</v>
      </c>
      <c r="H59" s="53" t="s">
        <v>44</v>
      </c>
      <c r="I59" s="52">
        <v>210</v>
      </c>
      <c r="J59" s="54">
        <f>G59*I59</f>
        <v>840</v>
      </c>
      <c r="K59" s="51"/>
    </row>
    <row r="60" spans="1:11" s="46" customFormat="1" x14ac:dyDescent="0.25">
      <c r="A60" s="41"/>
      <c r="B60" s="42" t="s">
        <v>35</v>
      </c>
      <c r="C60" s="43"/>
      <c r="D60" s="43"/>
      <c r="E60" s="43"/>
      <c r="F60" s="43"/>
      <c r="G60" s="43"/>
      <c r="H60" s="43"/>
      <c r="I60" s="43"/>
      <c r="J60" s="54">
        <f>0.13*J59</f>
        <v>109.2</v>
      </c>
      <c r="K60" s="43"/>
    </row>
    <row r="61" spans="1:11" s="46" customFormat="1" x14ac:dyDescent="0.25">
      <c r="A61" s="41"/>
      <c r="B61" s="42"/>
      <c r="C61" s="43"/>
      <c r="D61" s="43"/>
      <c r="E61" s="43"/>
      <c r="F61" s="43"/>
      <c r="G61" s="43"/>
      <c r="H61" s="43"/>
      <c r="I61" s="43"/>
      <c r="J61" s="54"/>
      <c r="K61" s="43"/>
    </row>
    <row r="62" spans="1:11" s="46" customFormat="1" x14ac:dyDescent="0.25">
      <c r="A62" s="41">
        <v>14</v>
      </c>
      <c r="B62" s="42" t="s">
        <v>67</v>
      </c>
      <c r="C62" s="43">
        <v>4</v>
      </c>
      <c r="D62" s="44"/>
      <c r="E62" s="43"/>
      <c r="F62" s="43"/>
      <c r="G62" s="44">
        <f t="shared" ref="G62" si="9">PRODUCT(C62:F62)</f>
        <v>4</v>
      </c>
      <c r="H62" s="43" t="s">
        <v>44</v>
      </c>
      <c r="I62" s="45"/>
      <c r="J62" s="45"/>
      <c r="K62" s="43"/>
    </row>
    <row r="63" spans="1:11" s="46" customFormat="1" ht="15" customHeight="1" x14ac:dyDescent="0.25">
      <c r="A63" s="47"/>
      <c r="B63" s="48" t="s">
        <v>16</v>
      </c>
      <c r="C63" s="49"/>
      <c r="D63" s="50"/>
      <c r="E63" s="51"/>
      <c r="F63" s="51"/>
      <c r="G63" s="52">
        <f>SUM(G62:G62)</f>
        <v>4</v>
      </c>
      <c r="H63" s="53" t="s">
        <v>44</v>
      </c>
      <c r="I63" s="52">
        <v>75</v>
      </c>
      <c r="J63" s="54">
        <f>G63*I63</f>
        <v>300</v>
      </c>
      <c r="K63" s="51"/>
    </row>
    <row r="64" spans="1:11" s="46" customFormat="1" x14ac:dyDescent="0.25">
      <c r="A64" s="41"/>
      <c r="B64" s="42" t="s">
        <v>35</v>
      </c>
      <c r="C64" s="43"/>
      <c r="D64" s="43"/>
      <c r="E64" s="43"/>
      <c r="F64" s="43"/>
      <c r="G64" s="43"/>
      <c r="H64" s="43"/>
      <c r="I64" s="43"/>
      <c r="J64" s="54">
        <f>0.13*J63</f>
        <v>39</v>
      </c>
      <c r="K64" s="43"/>
    </row>
    <row r="65" spans="1:25" s="46" customFormat="1" x14ac:dyDescent="0.25">
      <c r="A65" s="41"/>
      <c r="B65" s="42"/>
      <c r="C65" s="43"/>
      <c r="D65" s="43"/>
      <c r="E65" s="43"/>
      <c r="F65" s="43"/>
      <c r="G65" s="43"/>
      <c r="H65" s="43"/>
      <c r="I65" s="43"/>
      <c r="J65" s="54"/>
      <c r="K65" s="43"/>
    </row>
    <row r="66" spans="1:25" s="46" customFormat="1" x14ac:dyDescent="0.25">
      <c r="A66" s="41">
        <v>15</v>
      </c>
      <c r="B66" s="42" t="s">
        <v>69</v>
      </c>
      <c r="C66" s="43">
        <v>2</v>
      </c>
      <c r="D66" s="44"/>
      <c r="E66" s="43"/>
      <c r="F66" s="43"/>
      <c r="G66" s="44">
        <f t="shared" ref="G66" si="10">PRODUCT(C66:F66)</f>
        <v>2</v>
      </c>
      <c r="H66" s="43" t="s">
        <v>44</v>
      </c>
      <c r="I66" s="45"/>
      <c r="J66" s="45"/>
      <c r="K66" s="43"/>
    </row>
    <row r="67" spans="1:25" s="46" customFormat="1" ht="15" customHeight="1" x14ac:dyDescent="0.25">
      <c r="A67" s="47"/>
      <c r="B67" s="48" t="s">
        <v>16</v>
      </c>
      <c r="C67" s="49"/>
      <c r="D67" s="50"/>
      <c r="E67" s="51"/>
      <c r="F67" s="51"/>
      <c r="G67" s="52">
        <f>SUM(G66:G66)</f>
        <v>2</v>
      </c>
      <c r="H67" s="53" t="s">
        <v>44</v>
      </c>
      <c r="I67" s="52">
        <v>572</v>
      </c>
      <c r="J67" s="54">
        <f>G67*I67</f>
        <v>1144</v>
      </c>
      <c r="K67" s="51"/>
    </row>
    <row r="68" spans="1:25" s="46" customFormat="1" x14ac:dyDescent="0.25">
      <c r="A68" s="41"/>
      <c r="B68" s="42" t="s">
        <v>35</v>
      </c>
      <c r="C68" s="43"/>
      <c r="D68" s="43"/>
      <c r="E68" s="43"/>
      <c r="F68" s="43"/>
      <c r="G68" s="43"/>
      <c r="H68" s="43"/>
      <c r="I68" s="43"/>
      <c r="J68" s="54">
        <f>0.13*J67</f>
        <v>148.72</v>
      </c>
      <c r="K68" s="43"/>
    </row>
    <row r="69" spans="1:25" s="46" customFormat="1" x14ac:dyDescent="0.25">
      <c r="A69" s="41"/>
      <c r="B69" s="42"/>
      <c r="C69" s="43"/>
      <c r="D69" s="43"/>
      <c r="E69" s="43"/>
      <c r="F69" s="43"/>
      <c r="G69" s="43"/>
      <c r="H69" s="43"/>
      <c r="I69" s="43"/>
      <c r="J69" s="54"/>
      <c r="K69" s="43"/>
    </row>
    <row r="70" spans="1:25" s="46" customFormat="1" x14ac:dyDescent="0.25">
      <c r="A70" s="41">
        <v>16</v>
      </c>
      <c r="B70" s="42" t="s">
        <v>70</v>
      </c>
      <c r="C70" s="43">
        <v>2</v>
      </c>
      <c r="D70" s="44"/>
      <c r="E70" s="43"/>
      <c r="F70" s="43"/>
      <c r="G70" s="44">
        <f>PRODUCT(C70:F70)</f>
        <v>2</v>
      </c>
      <c r="H70" s="43"/>
      <c r="I70" s="45"/>
      <c r="J70" s="45"/>
      <c r="K70" s="43"/>
    </row>
    <row r="71" spans="1:25" s="46" customFormat="1" ht="15" customHeight="1" x14ac:dyDescent="0.25">
      <c r="A71" s="47"/>
      <c r="B71" s="48" t="s">
        <v>16</v>
      </c>
      <c r="C71" s="49"/>
      <c r="D71" s="50"/>
      <c r="E71" s="51"/>
      <c r="F71" s="51"/>
      <c r="G71" s="52">
        <f>SUM(G70:G70)</f>
        <v>2</v>
      </c>
      <c r="H71" s="53" t="s">
        <v>44</v>
      </c>
      <c r="I71" s="52">
        <v>319</v>
      </c>
      <c r="J71" s="54">
        <f>G71*I71</f>
        <v>638</v>
      </c>
      <c r="K71" s="51"/>
    </row>
    <row r="72" spans="1:25" s="46" customFormat="1" x14ac:dyDescent="0.25">
      <c r="A72" s="41"/>
      <c r="B72" s="42" t="s">
        <v>35</v>
      </c>
      <c r="C72" s="43"/>
      <c r="D72" s="43"/>
      <c r="E72" s="43"/>
      <c r="F72" s="43"/>
      <c r="G72" s="43"/>
      <c r="H72" s="43"/>
      <c r="I72" s="43"/>
      <c r="J72" s="54">
        <f>0.13*J71</f>
        <v>82.94</v>
      </c>
      <c r="K72" s="43"/>
    </row>
    <row r="73" spans="1:25" x14ac:dyDescent="0.25">
      <c r="A73" s="17"/>
      <c r="B73" s="18"/>
      <c r="C73" s="19"/>
      <c r="D73" s="19"/>
      <c r="E73" s="19"/>
      <c r="F73" s="19"/>
      <c r="G73" s="19"/>
      <c r="H73" s="19"/>
      <c r="I73" s="19"/>
      <c r="J73" s="16"/>
      <c r="K73" s="19"/>
    </row>
    <row r="74" spans="1:25" s="46" customFormat="1" x14ac:dyDescent="0.25">
      <c r="A74" s="41">
        <v>17</v>
      </c>
      <c r="B74" s="42" t="s">
        <v>71</v>
      </c>
      <c r="C74" s="43">
        <v>2</v>
      </c>
      <c r="D74" s="44"/>
      <c r="E74" s="43"/>
      <c r="F74" s="43"/>
      <c r="G74" s="44">
        <f>PRODUCT(C74:F74)</f>
        <v>2</v>
      </c>
      <c r="H74" s="43"/>
      <c r="I74" s="45"/>
      <c r="J74" s="45"/>
      <c r="K74" s="43"/>
    </row>
    <row r="75" spans="1:25" s="46" customFormat="1" ht="15" customHeight="1" x14ac:dyDescent="0.25">
      <c r="A75" s="47"/>
      <c r="B75" s="48" t="s">
        <v>16</v>
      </c>
      <c r="C75" s="49"/>
      <c r="D75" s="50"/>
      <c r="E75" s="51"/>
      <c r="F75" s="51"/>
      <c r="G75" s="52">
        <f>SUM(G74:G74)</f>
        <v>2</v>
      </c>
      <c r="H75" s="53" t="s">
        <v>44</v>
      </c>
      <c r="I75" s="52">
        <v>142</v>
      </c>
      <c r="J75" s="54">
        <f>G75*I75</f>
        <v>284</v>
      </c>
      <c r="K75" s="51"/>
    </row>
    <row r="76" spans="1:25" s="46" customFormat="1" x14ac:dyDescent="0.25">
      <c r="A76" s="41"/>
      <c r="B76" s="42" t="s">
        <v>35</v>
      </c>
      <c r="C76" s="43"/>
      <c r="D76" s="43"/>
      <c r="E76" s="43"/>
      <c r="F76" s="43"/>
      <c r="G76" s="43"/>
      <c r="H76" s="43"/>
      <c r="I76" s="43"/>
      <c r="J76" s="54">
        <f>0.13*J75</f>
        <v>36.92</v>
      </c>
      <c r="K76" s="43"/>
    </row>
    <row r="77" spans="1:25" ht="15.75" x14ac:dyDescent="0.25">
      <c r="A77" s="5"/>
      <c r="B77" s="6"/>
      <c r="C77" s="5"/>
      <c r="D77" s="7"/>
      <c r="E77" s="7"/>
      <c r="F77" s="7"/>
      <c r="G77" s="7"/>
      <c r="H77" s="5"/>
      <c r="I77" s="7"/>
      <c r="J77" s="7"/>
      <c r="K77" s="8"/>
      <c r="M77" s="10"/>
      <c r="N77" s="10"/>
      <c r="O77" s="10"/>
      <c r="P77" s="10"/>
      <c r="Q77" s="10"/>
      <c r="R77" s="10"/>
      <c r="S77" s="10"/>
      <c r="T77" s="10"/>
      <c r="U77" s="10"/>
      <c r="V77" s="10"/>
      <c r="W77" s="10"/>
      <c r="X77" s="10"/>
      <c r="Y77" s="10"/>
    </row>
    <row r="78" spans="1:25" s="46" customFormat="1" x14ac:dyDescent="0.25">
      <c r="A78" s="41">
        <v>18</v>
      </c>
      <c r="B78" s="42" t="s">
        <v>43</v>
      </c>
      <c r="C78" s="43">
        <f>4+1</f>
        <v>5</v>
      </c>
      <c r="D78" s="44"/>
      <c r="E78" s="43"/>
      <c r="F78" s="43"/>
      <c r="G78" s="44">
        <f>PRODUCT(C78:F78)</f>
        <v>5</v>
      </c>
      <c r="H78" s="43"/>
      <c r="I78" s="45"/>
      <c r="J78" s="45"/>
      <c r="K78" s="43"/>
    </row>
    <row r="79" spans="1:25" s="46" customFormat="1" ht="15" customHeight="1" x14ac:dyDescent="0.25">
      <c r="A79" s="47"/>
      <c r="B79" s="48" t="s">
        <v>16</v>
      </c>
      <c r="C79" s="49"/>
      <c r="D79" s="50"/>
      <c r="E79" s="51"/>
      <c r="F79" s="51"/>
      <c r="G79" s="52">
        <f>SUM(G78:G78)</f>
        <v>5</v>
      </c>
      <c r="H79" s="53" t="s">
        <v>44</v>
      </c>
      <c r="I79" s="52">
        <v>153</v>
      </c>
      <c r="J79" s="54">
        <f>G79*I79</f>
        <v>765</v>
      </c>
      <c r="K79" s="51"/>
    </row>
    <row r="80" spans="1:25" s="46" customFormat="1" x14ac:dyDescent="0.25">
      <c r="A80" s="41"/>
      <c r="B80" s="42" t="s">
        <v>35</v>
      </c>
      <c r="C80" s="43"/>
      <c r="D80" s="43"/>
      <c r="E80" s="43"/>
      <c r="F80" s="43"/>
      <c r="G80" s="43"/>
      <c r="H80" s="43"/>
      <c r="I80" s="43"/>
      <c r="J80" s="54">
        <f>0.13*J79</f>
        <v>99.45</v>
      </c>
      <c r="K80" s="43"/>
    </row>
    <row r="81" spans="1:25" s="46" customFormat="1" x14ac:dyDescent="0.25">
      <c r="A81" s="41"/>
      <c r="B81" s="42"/>
      <c r="C81" s="43"/>
      <c r="D81" s="43"/>
      <c r="E81" s="43"/>
      <c r="F81" s="43"/>
      <c r="G81" s="43"/>
      <c r="H81" s="43"/>
      <c r="I81" s="43"/>
      <c r="J81" s="54"/>
      <c r="K81" s="43"/>
    </row>
    <row r="82" spans="1:25" s="46" customFormat="1" ht="30" x14ac:dyDescent="0.25">
      <c r="A82" s="41">
        <v>19</v>
      </c>
      <c r="B82" s="55" t="s">
        <v>66</v>
      </c>
      <c r="C82" s="43">
        <v>4</v>
      </c>
      <c r="D82" s="44"/>
      <c r="E82" s="43"/>
      <c r="F82" s="43"/>
      <c r="G82" s="44">
        <f t="shared" ref="G82" si="11">PRODUCT(C82:F82)</f>
        <v>4</v>
      </c>
      <c r="H82" s="43" t="s">
        <v>44</v>
      </c>
      <c r="I82" s="45"/>
      <c r="J82" s="45"/>
      <c r="K82" s="43"/>
    </row>
    <row r="83" spans="1:25" s="46" customFormat="1" ht="15" customHeight="1" x14ac:dyDescent="0.25">
      <c r="A83" s="47"/>
      <c r="B83" s="48" t="s">
        <v>16</v>
      </c>
      <c r="C83" s="49"/>
      <c r="D83" s="50"/>
      <c r="E83" s="51"/>
      <c r="F83" s="51"/>
      <c r="G83" s="52">
        <f>SUM(G82:G82)</f>
        <v>4</v>
      </c>
      <c r="H83" s="53" t="s">
        <v>44</v>
      </c>
      <c r="I83" s="52">
        <v>34</v>
      </c>
      <c r="J83" s="54">
        <f>G83*I83</f>
        <v>136</v>
      </c>
      <c r="K83" s="51"/>
    </row>
    <row r="84" spans="1:25" s="46" customFormat="1" x14ac:dyDescent="0.25">
      <c r="A84" s="41"/>
      <c r="B84" s="42" t="s">
        <v>35</v>
      </c>
      <c r="C84" s="43"/>
      <c r="D84" s="43"/>
      <c r="E84" s="43"/>
      <c r="F84" s="43"/>
      <c r="G84" s="43"/>
      <c r="H84" s="43"/>
      <c r="I84" s="43"/>
      <c r="J84" s="54">
        <f>0.13*J83</f>
        <v>17.68</v>
      </c>
      <c r="K84" s="43"/>
    </row>
    <row r="85" spans="1:25" s="46" customFormat="1" x14ac:dyDescent="0.25">
      <c r="A85" s="41"/>
      <c r="B85" s="42"/>
      <c r="C85" s="43"/>
      <c r="D85" s="43"/>
      <c r="E85" s="43"/>
      <c r="F85" s="43"/>
      <c r="G85" s="43"/>
      <c r="H85" s="43"/>
      <c r="I85" s="43"/>
      <c r="J85" s="54"/>
      <c r="K85" s="43"/>
    </row>
    <row r="86" spans="1:25" s="46" customFormat="1" x14ac:dyDescent="0.25">
      <c r="A86" s="41">
        <v>20</v>
      </c>
      <c r="B86" s="42" t="s">
        <v>68</v>
      </c>
      <c r="C86" s="43">
        <v>3</v>
      </c>
      <c r="D86" s="44"/>
      <c r="E86" s="43"/>
      <c r="F86" s="43"/>
      <c r="G86" s="44">
        <f t="shared" ref="G86" si="12">PRODUCT(C86:F86)</f>
        <v>3</v>
      </c>
      <c r="H86" s="43" t="s">
        <v>44</v>
      </c>
      <c r="I86" s="45"/>
      <c r="J86" s="45"/>
      <c r="K86" s="43"/>
    </row>
    <row r="87" spans="1:25" s="46" customFormat="1" ht="15" customHeight="1" x14ac:dyDescent="0.25">
      <c r="A87" s="47"/>
      <c r="B87" s="48" t="s">
        <v>16</v>
      </c>
      <c r="C87" s="49"/>
      <c r="D87" s="50"/>
      <c r="E87" s="51"/>
      <c r="F87" s="51"/>
      <c r="G87" s="52">
        <f>SUM(G86:G86)</f>
        <v>3</v>
      </c>
      <c r="H87" s="53" t="s">
        <v>44</v>
      </c>
      <c r="I87" s="52">
        <v>57</v>
      </c>
      <c r="J87" s="54">
        <f>G87*I87</f>
        <v>171</v>
      </c>
      <c r="K87" s="51"/>
    </row>
    <row r="88" spans="1:25" s="46" customFormat="1" x14ac:dyDescent="0.25">
      <c r="A88" s="41"/>
      <c r="B88" s="42" t="s">
        <v>35</v>
      </c>
      <c r="C88" s="43"/>
      <c r="D88" s="43"/>
      <c r="E88" s="43"/>
      <c r="F88" s="43"/>
      <c r="G88" s="43"/>
      <c r="H88" s="43"/>
      <c r="I88" s="43"/>
      <c r="J88" s="54">
        <f>0.13*J87</f>
        <v>22.23</v>
      </c>
      <c r="K88" s="43"/>
    </row>
    <row r="89" spans="1:25" s="46" customFormat="1" x14ac:dyDescent="0.25">
      <c r="A89" s="41"/>
      <c r="B89" s="42"/>
      <c r="C89" s="43"/>
      <c r="D89" s="43"/>
      <c r="E89" s="43"/>
      <c r="F89" s="43"/>
      <c r="G89" s="43"/>
      <c r="H89" s="43"/>
      <c r="I89" s="43"/>
      <c r="J89" s="54"/>
      <c r="K89" s="43"/>
    </row>
    <row r="90" spans="1:25" s="46" customFormat="1" x14ac:dyDescent="0.25">
      <c r="A90" s="41">
        <v>21</v>
      </c>
      <c r="B90" s="42" t="s">
        <v>72</v>
      </c>
      <c r="C90" s="43">
        <v>8</v>
      </c>
      <c r="D90" s="44"/>
      <c r="E90" s="43"/>
      <c r="F90" s="43"/>
      <c r="G90" s="44">
        <f>PRODUCT(C90:F90)</f>
        <v>8</v>
      </c>
      <c r="H90" s="43"/>
      <c r="I90" s="45"/>
      <c r="J90" s="45"/>
      <c r="K90" s="43"/>
    </row>
    <row r="91" spans="1:25" s="46" customFormat="1" ht="15" customHeight="1" x14ac:dyDescent="0.25">
      <c r="A91" s="47"/>
      <c r="B91" s="48" t="s">
        <v>16</v>
      </c>
      <c r="C91" s="49"/>
      <c r="D91" s="50"/>
      <c r="E91" s="51"/>
      <c r="F91" s="51"/>
      <c r="G91" s="52">
        <f>SUM(G90:G90)</f>
        <v>8</v>
      </c>
      <c r="H91" s="53" t="s">
        <v>44</v>
      </c>
      <c r="I91" s="52">
        <v>1372</v>
      </c>
      <c r="J91" s="54">
        <f>G91*I91</f>
        <v>10976</v>
      </c>
      <c r="K91" s="51"/>
    </row>
    <row r="92" spans="1:25" s="46" customFormat="1" x14ac:dyDescent="0.25">
      <c r="A92" s="41"/>
      <c r="B92" s="42" t="s">
        <v>35</v>
      </c>
      <c r="C92" s="43"/>
      <c r="D92" s="43"/>
      <c r="E92" s="43"/>
      <c r="F92" s="43"/>
      <c r="G92" s="43"/>
      <c r="H92" s="43"/>
      <c r="I92" s="43"/>
      <c r="J92" s="54">
        <f>0.13*J91</f>
        <v>1426.88</v>
      </c>
      <c r="K92" s="43"/>
    </row>
    <row r="93" spans="1:25" ht="15.75" x14ac:dyDescent="0.25">
      <c r="A93" s="5"/>
      <c r="B93" s="6"/>
      <c r="C93" s="5"/>
      <c r="D93" s="7"/>
      <c r="E93" s="7"/>
      <c r="F93" s="7"/>
      <c r="G93" s="7"/>
      <c r="H93" s="5"/>
      <c r="I93" s="7"/>
      <c r="J93" s="7"/>
      <c r="K93" s="8"/>
      <c r="M93" s="10"/>
      <c r="N93" s="10"/>
      <c r="O93" s="10"/>
      <c r="P93" s="10"/>
      <c r="Q93" s="10"/>
      <c r="R93" s="10"/>
      <c r="S93" s="10"/>
      <c r="T93" s="10"/>
      <c r="U93" s="10"/>
      <c r="V93" s="10"/>
      <c r="W93" s="10"/>
      <c r="X93" s="10"/>
      <c r="Y93" s="10"/>
    </row>
    <row r="94" spans="1:25" s="46" customFormat="1" ht="30" x14ac:dyDescent="0.25">
      <c r="A94" s="41">
        <v>22</v>
      </c>
      <c r="B94" s="55" t="s">
        <v>73</v>
      </c>
      <c r="C94" s="43">
        <v>3</v>
      </c>
      <c r="D94" s="44"/>
      <c r="E94" s="43"/>
      <c r="F94" s="43"/>
      <c r="G94" s="44">
        <f>PRODUCT(C94:F94)</f>
        <v>3</v>
      </c>
      <c r="H94" s="43"/>
      <c r="I94" s="45"/>
      <c r="J94" s="45"/>
      <c r="K94" s="43"/>
    </row>
    <row r="95" spans="1:25" s="46" customFormat="1" ht="15" customHeight="1" x14ac:dyDescent="0.25">
      <c r="A95" s="47"/>
      <c r="B95" s="48" t="s">
        <v>16</v>
      </c>
      <c r="C95" s="49"/>
      <c r="D95" s="50"/>
      <c r="E95" s="51"/>
      <c r="F95" s="51"/>
      <c r="G95" s="52">
        <f>SUM(G94:G94)</f>
        <v>3</v>
      </c>
      <c r="H95" s="53" t="s">
        <v>44</v>
      </c>
      <c r="I95" s="52">
        <v>180</v>
      </c>
      <c r="J95" s="54">
        <f>G95*I95</f>
        <v>540</v>
      </c>
      <c r="K95" s="51"/>
    </row>
    <row r="96" spans="1:25" s="46" customFormat="1" x14ac:dyDescent="0.25">
      <c r="A96" s="41"/>
      <c r="B96" s="42" t="s">
        <v>35</v>
      </c>
      <c r="C96" s="43"/>
      <c r="D96" s="43"/>
      <c r="E96" s="43"/>
      <c r="F96" s="43"/>
      <c r="G96" s="43"/>
      <c r="H96" s="43"/>
      <c r="I96" s="43"/>
      <c r="J96" s="54">
        <f>0.13*J95</f>
        <v>70.2</v>
      </c>
      <c r="K96" s="43"/>
    </row>
    <row r="97" spans="1:25" ht="15.75" x14ac:dyDescent="0.25">
      <c r="A97" s="5"/>
      <c r="B97" s="6"/>
      <c r="C97" s="5"/>
      <c r="D97" s="7"/>
      <c r="E97" s="7"/>
      <c r="F97" s="7"/>
      <c r="G97" s="7"/>
      <c r="H97" s="5"/>
      <c r="I97" s="7"/>
      <c r="J97" s="7"/>
      <c r="K97" s="8"/>
      <c r="M97" s="10"/>
      <c r="N97" s="10"/>
      <c r="O97" s="10"/>
      <c r="P97" s="10"/>
      <c r="Q97" s="10"/>
      <c r="R97" s="10"/>
      <c r="S97" s="10"/>
      <c r="T97" s="10"/>
      <c r="U97" s="10"/>
      <c r="V97" s="10"/>
      <c r="W97" s="10"/>
      <c r="X97" s="10"/>
      <c r="Y97" s="10"/>
    </row>
    <row r="98" spans="1:25" s="46" customFormat="1" x14ac:dyDescent="0.25">
      <c r="A98" s="41">
        <v>23</v>
      </c>
      <c r="B98" s="42" t="s">
        <v>49</v>
      </c>
      <c r="C98" s="43">
        <v>1</v>
      </c>
      <c r="D98" s="44">
        <v>5000</v>
      </c>
      <c r="E98" s="43"/>
      <c r="F98" s="43"/>
      <c r="G98" s="44">
        <f t="shared" si="2"/>
        <v>5000</v>
      </c>
      <c r="H98" s="43"/>
      <c r="I98" s="45"/>
      <c r="J98" s="45"/>
      <c r="K98" s="43"/>
    </row>
    <row r="99" spans="1:25" s="46" customFormat="1" ht="15" customHeight="1" x14ac:dyDescent="0.25">
      <c r="A99" s="47"/>
      <c r="B99" s="48" t="s">
        <v>16</v>
      </c>
      <c r="C99" s="49"/>
      <c r="D99" s="50"/>
      <c r="E99" s="51"/>
      <c r="F99" s="51"/>
      <c r="G99" s="52">
        <f>SUM(G98:G98)</f>
        <v>5000</v>
      </c>
      <c r="H99" s="53" t="s">
        <v>50</v>
      </c>
      <c r="I99" s="52">
        <v>10</v>
      </c>
      <c r="J99" s="54">
        <f>G99*I99</f>
        <v>50000</v>
      </c>
      <c r="K99" s="51"/>
    </row>
    <row r="100" spans="1:25" s="46" customFormat="1" x14ac:dyDescent="0.25">
      <c r="A100" s="41"/>
      <c r="B100" s="42" t="s">
        <v>35</v>
      </c>
      <c r="C100" s="43"/>
      <c r="D100" s="43"/>
      <c r="E100" s="43"/>
      <c r="F100" s="43"/>
      <c r="G100" s="43"/>
      <c r="H100" s="43"/>
      <c r="I100" s="43"/>
      <c r="J100" s="54">
        <f>0.13*J99</f>
        <v>6500</v>
      </c>
      <c r="K100" s="43"/>
    </row>
    <row r="101" spans="1:25" x14ac:dyDescent="0.25">
      <c r="A101" s="17"/>
      <c r="B101" s="18"/>
      <c r="C101" s="19"/>
      <c r="D101" s="19"/>
      <c r="E101" s="19"/>
      <c r="F101" s="19"/>
      <c r="G101" s="19"/>
      <c r="H101" s="19"/>
      <c r="I101" s="19"/>
      <c r="J101" s="16"/>
      <c r="K101" s="19"/>
    </row>
    <row r="102" spans="1:25" ht="15.75" x14ac:dyDescent="0.25">
      <c r="A102" s="5" t="s">
        <v>39</v>
      </c>
      <c r="B102" s="6" t="s">
        <v>38</v>
      </c>
      <c r="C102" s="5"/>
      <c r="D102" s="7"/>
      <c r="E102" s="7"/>
      <c r="F102" s="7"/>
      <c r="G102" s="7"/>
      <c r="H102" s="5"/>
      <c r="I102" s="7"/>
      <c r="J102" s="7"/>
      <c r="K102" s="8"/>
    </row>
    <row r="103" spans="1:25" ht="168" x14ac:dyDescent="0.25">
      <c r="A103" s="17">
        <v>24</v>
      </c>
      <c r="B103" s="36" t="s">
        <v>41</v>
      </c>
      <c r="C103" s="19"/>
      <c r="D103" s="19"/>
      <c r="E103" s="19"/>
      <c r="F103" s="19"/>
      <c r="G103" s="19"/>
      <c r="H103" s="19"/>
      <c r="I103" s="19"/>
      <c r="J103" s="16"/>
      <c r="K103" s="19"/>
      <c r="M103" s="10"/>
      <c r="N103" s="10"/>
      <c r="O103" s="10"/>
      <c r="P103" s="10"/>
      <c r="Q103" s="10"/>
      <c r="R103" s="10"/>
      <c r="S103" s="10"/>
      <c r="T103" s="10"/>
      <c r="U103" s="10"/>
      <c r="V103" s="10"/>
      <c r="W103" s="10"/>
      <c r="X103" s="10"/>
      <c r="Y103" s="10"/>
    </row>
    <row r="104" spans="1:25" x14ac:dyDescent="0.25">
      <c r="A104" s="17"/>
      <c r="B104" s="18" t="s">
        <v>36</v>
      </c>
      <c r="C104" s="19">
        <v>1</v>
      </c>
      <c r="D104" s="20">
        <v>200</v>
      </c>
      <c r="E104" s="19">
        <v>0.3</v>
      </c>
      <c r="F104" s="19">
        <v>0.5</v>
      </c>
      <c r="G104" s="20">
        <f>PRODUCT(C104:F104)</f>
        <v>30</v>
      </c>
      <c r="H104" s="19"/>
      <c r="I104" s="19"/>
      <c r="J104" s="16"/>
      <c r="K104" s="19"/>
    </row>
    <row r="105" spans="1:25" x14ac:dyDescent="0.25">
      <c r="A105" s="17"/>
      <c r="B105" s="18"/>
      <c r="C105" s="19">
        <v>1</v>
      </c>
      <c r="D105" s="20">
        <f>500*80%</f>
        <v>400</v>
      </c>
      <c r="E105" s="19">
        <v>0.3</v>
      </c>
      <c r="F105" s="19">
        <v>0.5</v>
      </c>
      <c r="G105" s="20">
        <f>PRODUCT(C105:F105)</f>
        <v>60</v>
      </c>
      <c r="H105" s="19"/>
      <c r="I105" s="19"/>
      <c r="J105" s="16"/>
      <c r="K105" s="19"/>
    </row>
    <row r="106" spans="1:25" x14ac:dyDescent="0.25">
      <c r="A106" s="17"/>
      <c r="B106" s="18" t="s">
        <v>52</v>
      </c>
      <c r="C106" s="20">
        <f>1/4</f>
        <v>0.25</v>
      </c>
      <c r="D106" s="20">
        <f>PI()</f>
        <v>3.1415926535897931</v>
      </c>
      <c r="E106" s="20">
        <f>6.25/3.281</f>
        <v>1.9049070405364217</v>
      </c>
      <c r="F106" s="20">
        <v>0.15</v>
      </c>
      <c r="G106" s="20">
        <f>D106*E106*E106*C106*F106</f>
        <v>0.427492711181854</v>
      </c>
      <c r="H106" s="19"/>
      <c r="I106" s="19"/>
      <c r="J106" s="16"/>
      <c r="K106" s="19"/>
    </row>
    <row r="107" spans="1:25" s="10" customFormat="1" x14ac:dyDescent="0.25">
      <c r="A107" s="11"/>
      <c r="B107" s="37" t="s">
        <v>28</v>
      </c>
      <c r="C107" s="13"/>
      <c r="D107" s="1"/>
      <c r="E107" s="14"/>
      <c r="F107" s="14"/>
      <c r="G107" s="38">
        <f>SUM(G104:G106)</f>
        <v>90.427492711181856</v>
      </c>
      <c r="H107" s="15" t="s">
        <v>29</v>
      </c>
      <c r="I107" s="2">
        <v>748.9</v>
      </c>
      <c r="J107" s="38">
        <f>G107*I107</f>
        <v>67721.149291404086</v>
      </c>
      <c r="K107" s="14"/>
      <c r="M107" s="9"/>
      <c r="N107" s="9"/>
      <c r="O107" s="9"/>
      <c r="P107" s="9"/>
      <c r="Q107" s="9"/>
      <c r="R107" s="9"/>
      <c r="S107" s="9"/>
      <c r="T107" s="9"/>
      <c r="U107" s="9"/>
      <c r="V107" s="9"/>
      <c r="W107" s="9"/>
      <c r="X107" s="9"/>
      <c r="Y107" s="9"/>
    </row>
    <row r="108" spans="1:25" s="10" customFormat="1" x14ac:dyDescent="0.25">
      <c r="A108" s="11"/>
      <c r="B108" s="37"/>
      <c r="C108" s="13"/>
      <c r="D108" s="1"/>
      <c r="E108" s="14"/>
      <c r="F108" s="14"/>
      <c r="G108" s="38"/>
      <c r="H108" s="15"/>
      <c r="I108" s="2"/>
      <c r="J108" s="38"/>
      <c r="K108" s="14"/>
      <c r="M108" s="9"/>
      <c r="N108" s="9"/>
      <c r="O108" s="9"/>
      <c r="P108" s="9"/>
      <c r="Q108" s="9"/>
      <c r="R108" s="9"/>
      <c r="S108" s="9"/>
      <c r="T108" s="9"/>
      <c r="U108" s="9"/>
      <c r="V108" s="9"/>
      <c r="W108" s="9"/>
      <c r="X108" s="9"/>
      <c r="Y108" s="9"/>
    </row>
    <row r="109" spans="1:25" x14ac:dyDescent="0.25">
      <c r="A109" s="17">
        <v>25</v>
      </c>
      <c r="B109" s="36" t="s">
        <v>74</v>
      </c>
      <c r="C109" s="19"/>
      <c r="D109" s="19"/>
      <c r="E109" s="19"/>
      <c r="F109" s="20"/>
      <c r="G109" s="19"/>
      <c r="H109" s="19"/>
      <c r="I109" s="19"/>
      <c r="J109" s="16"/>
      <c r="K109" s="19"/>
    </row>
    <row r="110" spans="1:25" x14ac:dyDescent="0.25">
      <c r="A110" s="17"/>
      <c r="B110" s="18" t="str">
        <f>B106</f>
        <v>-base preparation for tank</v>
      </c>
      <c r="C110" s="20">
        <f>1/4</f>
        <v>0.25</v>
      </c>
      <c r="D110" s="20">
        <f>D106</f>
        <v>3.1415926535897931</v>
      </c>
      <c r="E110" s="20">
        <f>E106</f>
        <v>1.9049070405364217</v>
      </c>
      <c r="F110" s="20">
        <f>F106</f>
        <v>0.15</v>
      </c>
      <c r="G110" s="20">
        <f>D110*E110*E110*C110*F110</f>
        <v>0.427492711181854</v>
      </c>
      <c r="H110" s="19"/>
      <c r="I110" s="19"/>
      <c r="J110" s="16"/>
      <c r="K110" s="19"/>
    </row>
    <row r="111" spans="1:25" s="10" customFormat="1" x14ac:dyDescent="0.25">
      <c r="A111" s="11"/>
      <c r="B111" s="37" t="s">
        <v>28</v>
      </c>
      <c r="C111" s="13"/>
      <c r="D111" s="1"/>
      <c r="E111" s="14"/>
      <c r="F111" s="14"/>
      <c r="G111" s="38">
        <f>SUM(G110)</f>
        <v>0.427492711181854</v>
      </c>
      <c r="H111" s="15" t="s">
        <v>29</v>
      </c>
      <c r="I111" s="2">
        <v>5948.59</v>
      </c>
      <c r="J111" s="38">
        <f>G111*I111</f>
        <v>2542.9788668092651</v>
      </c>
      <c r="K111" s="14"/>
      <c r="M111" s="9"/>
      <c r="N111" s="9"/>
      <c r="O111" s="9"/>
      <c r="P111" s="9"/>
      <c r="Q111" s="9"/>
      <c r="R111" s="9"/>
      <c r="S111" s="9"/>
      <c r="T111" s="9"/>
      <c r="U111" s="9"/>
      <c r="V111" s="9"/>
      <c r="W111" s="9"/>
      <c r="X111" s="9"/>
      <c r="Y111" s="9"/>
    </row>
    <row r="112" spans="1:25" x14ac:dyDescent="0.25">
      <c r="A112" s="17"/>
      <c r="B112" s="18" t="s">
        <v>75</v>
      </c>
      <c r="C112" s="19"/>
      <c r="D112" s="19"/>
      <c r="E112" s="19"/>
      <c r="F112" s="19"/>
      <c r="G112" s="19"/>
      <c r="H112" s="19"/>
      <c r="I112" s="19"/>
      <c r="J112" s="16">
        <f>0.13*G111*2833.59</f>
        <v>157.47407929211266</v>
      </c>
      <c r="K112" s="19"/>
    </row>
    <row r="113" spans="1:25" x14ac:dyDescent="0.25">
      <c r="A113" s="17"/>
      <c r="B113" s="58"/>
      <c r="C113" s="19"/>
      <c r="D113" s="19"/>
      <c r="E113" s="19"/>
      <c r="F113" s="19"/>
      <c r="G113" s="19"/>
      <c r="H113" s="19"/>
      <c r="I113" s="19"/>
      <c r="J113" s="16"/>
      <c r="K113" s="19"/>
    </row>
    <row r="114" spans="1:25" ht="30" x14ac:dyDescent="0.25">
      <c r="A114" s="17">
        <v>26</v>
      </c>
      <c r="B114" s="36" t="s">
        <v>76</v>
      </c>
      <c r="C114" s="19"/>
      <c r="D114" s="19"/>
      <c r="E114" s="19"/>
      <c r="F114" s="20"/>
      <c r="G114" s="19"/>
      <c r="H114" s="19"/>
      <c r="I114" s="19"/>
      <c r="J114" s="16"/>
      <c r="K114" s="19"/>
    </row>
    <row r="115" spans="1:25" x14ac:dyDescent="0.25">
      <c r="A115" s="17"/>
      <c r="B115" s="18" t="str">
        <f>B111</f>
        <v>sub-total</v>
      </c>
      <c r="C115" s="20">
        <f>1/4</f>
        <v>0.25</v>
      </c>
      <c r="D115" s="20">
        <f>D110</f>
        <v>3.1415926535897931</v>
      </c>
      <c r="E115" s="20">
        <f>E110</f>
        <v>1.9049070405364217</v>
      </c>
      <c r="F115" s="20">
        <v>0.1</v>
      </c>
      <c r="G115" s="20">
        <f>D115*E115*E115*C115*F115</f>
        <v>0.28499514078790272</v>
      </c>
      <c r="H115" s="19"/>
      <c r="I115" s="19"/>
      <c r="J115" s="16"/>
      <c r="K115" s="19"/>
    </row>
    <row r="116" spans="1:25" s="10" customFormat="1" x14ac:dyDescent="0.25">
      <c r="A116" s="11"/>
      <c r="B116" s="37" t="s">
        <v>28</v>
      </c>
      <c r="C116" s="13"/>
      <c r="D116" s="1"/>
      <c r="E116" s="14"/>
      <c r="F116" s="14"/>
      <c r="G116" s="38">
        <f>SUM(G115)</f>
        <v>0.28499514078790272</v>
      </c>
      <c r="H116" s="15" t="s">
        <v>29</v>
      </c>
      <c r="I116" s="2">
        <v>13343.7</v>
      </c>
      <c r="J116" s="38">
        <f>G116*I116</f>
        <v>3802.8896601315378</v>
      </c>
      <c r="K116" s="14"/>
      <c r="M116" s="9"/>
      <c r="N116" s="9"/>
      <c r="O116" s="9"/>
      <c r="P116" s="9"/>
      <c r="Q116" s="9"/>
      <c r="R116" s="9"/>
      <c r="S116" s="9"/>
      <c r="T116" s="9"/>
      <c r="U116" s="9"/>
      <c r="V116" s="9"/>
      <c r="W116" s="9"/>
      <c r="X116" s="9"/>
      <c r="Y116" s="9"/>
    </row>
    <row r="117" spans="1:25" x14ac:dyDescent="0.25">
      <c r="A117" s="17"/>
      <c r="B117" s="18" t="s">
        <v>77</v>
      </c>
      <c r="C117" s="19"/>
      <c r="D117" s="19"/>
      <c r="E117" s="19"/>
      <c r="F117" s="19"/>
      <c r="G117" s="19"/>
      <c r="H117" s="19"/>
      <c r="I117" s="19"/>
      <c r="J117" s="16">
        <f>0.13*G116*4096</f>
        <v>151.75421256674244</v>
      </c>
      <c r="K117" s="19"/>
    </row>
    <row r="118" spans="1:25" x14ac:dyDescent="0.25">
      <c r="A118" s="17"/>
      <c r="B118" s="18" t="s">
        <v>75</v>
      </c>
      <c r="C118" s="19"/>
      <c r="D118" s="19"/>
      <c r="E118" s="19"/>
      <c r="F118" s="19"/>
      <c r="G118" s="19"/>
      <c r="H118" s="19"/>
      <c r="I118" s="19"/>
      <c r="J118" s="16">
        <f>0.13*G116*1413.27</f>
        <v>52.360760740771504</v>
      </c>
      <c r="K118" s="19"/>
    </row>
    <row r="119" spans="1:25" x14ac:dyDescent="0.25">
      <c r="A119" s="17"/>
      <c r="B119" s="18" t="s">
        <v>75</v>
      </c>
      <c r="C119" s="19"/>
      <c r="D119" s="19"/>
      <c r="E119" s="19"/>
      <c r="F119" s="19"/>
      <c r="G119" s="19"/>
      <c r="H119" s="19"/>
      <c r="I119" s="19"/>
      <c r="J119" s="16">
        <f>0.13*G116*(368.76+737.51+1743.21)</f>
        <v>105.57143399040069</v>
      </c>
      <c r="K119" s="19"/>
    </row>
    <row r="120" spans="1:25" x14ac:dyDescent="0.25">
      <c r="A120" s="17"/>
      <c r="B120" s="58"/>
      <c r="C120" s="19"/>
      <c r="D120" s="19"/>
      <c r="E120" s="19"/>
      <c r="F120" s="19"/>
      <c r="G120" s="19"/>
      <c r="H120" s="19"/>
      <c r="I120" s="19"/>
      <c r="J120" s="16"/>
      <c r="K120" s="19"/>
    </row>
    <row r="121" spans="1:25" ht="45" x14ac:dyDescent="0.25">
      <c r="A121" s="17">
        <v>27</v>
      </c>
      <c r="B121" s="39" t="s">
        <v>30</v>
      </c>
      <c r="C121" s="19"/>
      <c r="D121" s="21" t="s">
        <v>27</v>
      </c>
      <c r="E121" s="21" t="s">
        <v>31</v>
      </c>
      <c r="F121" s="21" t="s">
        <v>32</v>
      </c>
      <c r="G121" s="19"/>
      <c r="H121" s="19"/>
      <c r="I121" s="19"/>
      <c r="J121" s="16"/>
      <c r="K121" s="19"/>
    </row>
    <row r="122" spans="1:25" s="10" customFormat="1" x14ac:dyDescent="0.25">
      <c r="A122" s="17"/>
      <c r="B122" s="40" t="s">
        <v>47</v>
      </c>
      <c r="C122" s="22">
        <v>1</v>
      </c>
      <c r="D122" s="31">
        <f>200</f>
        <v>200</v>
      </c>
      <c r="E122" s="22">
        <v>0.13500000000000001</v>
      </c>
      <c r="F122" s="22">
        <f>C122*D122*E122</f>
        <v>27</v>
      </c>
      <c r="G122" s="31">
        <f>F122</f>
        <v>27</v>
      </c>
      <c r="H122" s="22"/>
      <c r="I122" s="22"/>
      <c r="J122" s="15"/>
      <c r="K122" s="22"/>
      <c r="M122" s="9"/>
      <c r="N122" s="9"/>
      <c r="O122" s="9"/>
      <c r="P122" s="9"/>
      <c r="Q122" s="9"/>
      <c r="R122" s="9"/>
      <c r="S122" s="9"/>
      <c r="T122" s="9"/>
      <c r="U122" s="9"/>
      <c r="V122" s="9"/>
      <c r="W122" s="9"/>
      <c r="X122" s="9"/>
      <c r="Y122" s="9"/>
    </row>
    <row r="123" spans="1:25" s="10" customFormat="1" x14ac:dyDescent="0.25">
      <c r="A123" s="17"/>
      <c r="B123" s="40" t="s">
        <v>48</v>
      </c>
      <c r="C123" s="22">
        <v>1</v>
      </c>
      <c r="D123" s="31">
        <v>500</v>
      </c>
      <c r="E123" s="22">
        <v>0.20799999999999999</v>
      </c>
      <c r="F123" s="22">
        <f>C123*D123*E123</f>
        <v>104</v>
      </c>
      <c r="G123" s="31">
        <f>F123</f>
        <v>104</v>
      </c>
      <c r="H123" s="22"/>
      <c r="I123" s="22"/>
      <c r="J123" s="15"/>
      <c r="K123" s="22"/>
      <c r="M123" s="9"/>
      <c r="N123" s="9"/>
      <c r="O123" s="9"/>
      <c r="P123" s="9"/>
      <c r="Q123" s="9"/>
      <c r="R123" s="9"/>
      <c r="S123" s="9"/>
      <c r="T123" s="9"/>
      <c r="U123" s="9"/>
      <c r="V123" s="9"/>
      <c r="W123" s="9"/>
      <c r="X123" s="9"/>
      <c r="Y123" s="9"/>
    </row>
    <row r="124" spans="1:25" s="10" customFormat="1" x14ac:dyDescent="0.25">
      <c r="A124" s="17"/>
      <c r="B124" s="40" t="s">
        <v>42</v>
      </c>
      <c r="C124" s="22">
        <v>1</v>
      </c>
      <c r="D124" s="31">
        <f>250+180</f>
        <v>430</v>
      </c>
      <c r="E124" s="22">
        <v>0.13500000000000001</v>
      </c>
      <c r="F124" s="22">
        <f>C124*D124*E124</f>
        <v>58.050000000000004</v>
      </c>
      <c r="G124" s="31">
        <f>F124</f>
        <v>58.050000000000004</v>
      </c>
      <c r="H124" s="22"/>
      <c r="I124" s="22"/>
      <c r="J124" s="15"/>
      <c r="K124" s="22"/>
      <c r="M124" s="9"/>
      <c r="N124" s="9"/>
      <c r="O124" s="9"/>
      <c r="P124" s="9"/>
      <c r="Q124" s="9"/>
      <c r="R124" s="9"/>
      <c r="S124" s="9"/>
      <c r="T124" s="9"/>
      <c r="U124" s="9"/>
      <c r="V124" s="9"/>
      <c r="W124" s="9"/>
      <c r="X124" s="9"/>
      <c r="Y124" s="9"/>
    </row>
    <row r="125" spans="1:25" ht="15" customHeight="1" x14ac:dyDescent="0.25">
      <c r="A125" s="11"/>
      <c r="B125" s="12" t="s">
        <v>16</v>
      </c>
      <c r="C125" s="13"/>
      <c r="D125" s="1"/>
      <c r="E125" s="14"/>
      <c r="F125" s="14"/>
      <c r="G125" s="2">
        <f>SUM(G122:G124)</f>
        <v>189.05</v>
      </c>
      <c r="H125" s="15" t="s">
        <v>33</v>
      </c>
      <c r="I125" s="2">
        <v>287</v>
      </c>
      <c r="J125" s="16">
        <f>G125*I125</f>
        <v>54257.350000000006</v>
      </c>
      <c r="K125" s="14"/>
    </row>
    <row r="126" spans="1:25" x14ac:dyDescent="0.25">
      <c r="A126" s="17"/>
      <c r="B126" s="18" t="s">
        <v>35</v>
      </c>
      <c r="C126" s="19"/>
      <c r="D126" s="19"/>
      <c r="E126" s="19"/>
      <c r="F126" s="19"/>
      <c r="G126" s="19"/>
      <c r="H126" s="19"/>
      <c r="I126" s="19"/>
      <c r="J126" s="16">
        <f>0.13*J125</f>
        <v>7053.4555000000009</v>
      </c>
      <c r="K126" s="19"/>
    </row>
    <row r="127" spans="1:25" x14ac:dyDescent="0.25">
      <c r="A127" s="17"/>
      <c r="B127" s="19"/>
      <c r="C127" s="19"/>
      <c r="D127" s="19"/>
      <c r="E127" s="19"/>
      <c r="F127" s="19"/>
      <c r="G127" s="19"/>
      <c r="H127" s="19"/>
      <c r="I127" s="19"/>
      <c r="J127" s="19"/>
      <c r="K127" s="19"/>
    </row>
    <row r="128" spans="1:25" s="46" customFormat="1" x14ac:dyDescent="0.25">
      <c r="A128" s="41">
        <v>28</v>
      </c>
      <c r="B128" s="42" t="s">
        <v>79</v>
      </c>
      <c r="C128" s="43">
        <v>3</v>
      </c>
      <c r="D128" s="44"/>
      <c r="E128" s="43"/>
      <c r="F128" s="43"/>
      <c r="G128" s="44">
        <f>PRODUCT(C128:F128)</f>
        <v>3</v>
      </c>
      <c r="H128" s="43"/>
      <c r="I128" s="45"/>
      <c r="J128" s="45"/>
      <c r="K128" s="43"/>
    </row>
    <row r="129" spans="1:25" s="46" customFormat="1" ht="15" customHeight="1" x14ac:dyDescent="0.25">
      <c r="A129" s="47"/>
      <c r="B129" s="48" t="s">
        <v>16</v>
      </c>
      <c r="C129" s="49"/>
      <c r="D129" s="50"/>
      <c r="E129" s="51"/>
      <c r="F129" s="51"/>
      <c r="G129" s="52">
        <f>SUM(G128:G128)</f>
        <v>3</v>
      </c>
      <c r="H129" s="53" t="s">
        <v>44</v>
      </c>
      <c r="I129" s="52">
        <v>205</v>
      </c>
      <c r="J129" s="54">
        <f>G129*I129</f>
        <v>615</v>
      </c>
      <c r="K129" s="51"/>
    </row>
    <row r="130" spans="1:25" s="46" customFormat="1" x14ac:dyDescent="0.25">
      <c r="A130" s="41"/>
      <c r="B130" s="42" t="s">
        <v>35</v>
      </c>
      <c r="C130" s="43"/>
      <c r="D130" s="43"/>
      <c r="E130" s="43"/>
      <c r="F130" s="43"/>
      <c r="G130" s="43"/>
      <c r="H130" s="43"/>
      <c r="I130" s="43"/>
      <c r="J130" s="54">
        <f>0.13*J129</f>
        <v>79.95</v>
      </c>
      <c r="K130" s="43"/>
    </row>
    <row r="131" spans="1:25" s="46" customFormat="1" x14ac:dyDescent="0.25">
      <c r="A131" s="41"/>
      <c r="B131" s="42"/>
      <c r="C131" s="43"/>
      <c r="D131" s="43"/>
      <c r="E131" s="43"/>
      <c r="F131" s="43"/>
      <c r="G131" s="43"/>
      <c r="H131" s="43"/>
      <c r="I131" s="43"/>
      <c r="J131" s="54"/>
      <c r="K131" s="43"/>
    </row>
    <row r="132" spans="1:25" ht="30" x14ac:dyDescent="0.25">
      <c r="A132" s="17">
        <v>29</v>
      </c>
      <c r="B132" s="36" t="s">
        <v>51</v>
      </c>
      <c r="C132" s="19">
        <v>1</v>
      </c>
      <c r="D132" s="20"/>
      <c r="E132" s="19"/>
      <c r="F132" s="19"/>
      <c r="G132" s="20">
        <f>PRODUCT(C132:F132)</f>
        <v>1</v>
      </c>
      <c r="H132" s="19" t="s">
        <v>78</v>
      </c>
      <c r="I132" s="38"/>
      <c r="J132" s="38"/>
      <c r="K132" s="19"/>
    </row>
    <row r="133" spans="1:25" ht="15" customHeight="1" x14ac:dyDescent="0.25">
      <c r="A133" s="11"/>
      <c r="B133" s="12" t="s">
        <v>16</v>
      </c>
      <c r="C133" s="13"/>
      <c r="D133" s="1"/>
      <c r="E133" s="14"/>
      <c r="F133" s="14"/>
      <c r="G133" s="2">
        <f>SUM(G132:G132)</f>
        <v>1</v>
      </c>
      <c r="H133" s="15" t="s">
        <v>44</v>
      </c>
      <c r="I133" s="2">
        <v>3000</v>
      </c>
      <c r="J133" s="16">
        <f>G133*I133</f>
        <v>3000</v>
      </c>
      <c r="K133" s="14"/>
    </row>
    <row r="134" spans="1:25" ht="15" customHeight="1" x14ac:dyDescent="0.25">
      <c r="A134" s="11"/>
      <c r="B134" s="12"/>
      <c r="C134" s="13"/>
      <c r="D134" s="1"/>
      <c r="E134" s="14"/>
      <c r="F134" s="14"/>
      <c r="G134" s="2"/>
      <c r="H134" s="15"/>
      <c r="I134" s="2"/>
      <c r="J134" s="16"/>
      <c r="K134" s="14"/>
    </row>
    <row r="135" spans="1:25" ht="15" customHeight="1" x14ac:dyDescent="0.25">
      <c r="A135" s="11">
        <v>30</v>
      </c>
      <c r="B135" s="23" t="s">
        <v>17</v>
      </c>
      <c r="C135" s="13">
        <v>1</v>
      </c>
      <c r="D135" s="1"/>
      <c r="E135" s="14"/>
      <c r="F135" s="14"/>
      <c r="G135" s="15">
        <f t="shared" ref="G135" si="13">PRODUCT(C135:F135)</f>
        <v>1</v>
      </c>
      <c r="H135" s="15" t="s">
        <v>18</v>
      </c>
      <c r="I135" s="2">
        <v>500</v>
      </c>
      <c r="J135" s="15">
        <f>G135*I135</f>
        <v>500</v>
      </c>
      <c r="K135" s="14"/>
    </row>
    <row r="136" spans="1:25" x14ac:dyDescent="0.25">
      <c r="A136" s="11"/>
      <c r="B136" s="24"/>
      <c r="C136" s="13"/>
      <c r="D136" s="1"/>
      <c r="E136" s="14"/>
      <c r="F136" s="14"/>
      <c r="G136" s="2"/>
      <c r="H136" s="15"/>
      <c r="I136" s="2"/>
      <c r="J136" s="16"/>
      <c r="K136" s="14"/>
    </row>
    <row r="137" spans="1:25" x14ac:dyDescent="0.25">
      <c r="A137" s="25"/>
      <c r="B137" s="26" t="s">
        <v>20</v>
      </c>
      <c r="C137" s="27"/>
      <c r="D137" s="28"/>
      <c r="E137" s="28"/>
      <c r="F137" s="28"/>
      <c r="G137" s="16"/>
      <c r="H137" s="16"/>
      <c r="I137" s="16"/>
      <c r="J137" s="16">
        <f>SUM(J10:J135)</f>
        <v>227593.46380493493</v>
      </c>
      <c r="K137" s="29"/>
      <c r="M137" s="10"/>
      <c r="N137" s="10"/>
      <c r="O137" s="10"/>
      <c r="P137" s="10"/>
      <c r="Q137" s="10"/>
      <c r="R137" s="10"/>
      <c r="S137" s="10"/>
      <c r="T137" s="10"/>
      <c r="U137" s="10"/>
      <c r="V137" s="10"/>
      <c r="W137" s="10"/>
      <c r="X137" s="10"/>
      <c r="Y137" s="10"/>
    </row>
    <row r="139" spans="1:25" s="10" customFormat="1" x14ac:dyDescent="0.25">
      <c r="A139" s="30"/>
      <c r="B139" s="22" t="s">
        <v>19</v>
      </c>
      <c r="C139" s="67">
        <f>J137</f>
        <v>227593.46380493493</v>
      </c>
      <c r="D139" s="68"/>
      <c r="E139" s="31">
        <v>100</v>
      </c>
      <c r="F139" s="30"/>
      <c r="G139" s="32"/>
      <c r="H139" s="30"/>
      <c r="I139" s="33"/>
      <c r="J139" s="34"/>
      <c r="K139" s="35"/>
      <c r="M139" s="9"/>
      <c r="N139" s="9"/>
      <c r="O139" s="9"/>
      <c r="P139" s="9"/>
      <c r="Q139" s="9"/>
      <c r="R139" s="9"/>
      <c r="S139" s="9"/>
      <c r="T139" s="9"/>
      <c r="U139" s="9"/>
      <c r="V139" s="9"/>
      <c r="W139" s="9"/>
      <c r="X139" s="9"/>
      <c r="Y139" s="9"/>
    </row>
    <row r="140" spans="1:25" x14ac:dyDescent="0.25">
      <c r="B140" s="22" t="s">
        <v>21</v>
      </c>
      <c r="C140" s="69">
        <v>145000</v>
      </c>
      <c r="D140" s="70"/>
      <c r="E140" s="31"/>
    </row>
    <row r="141" spans="1:25" x14ac:dyDescent="0.25">
      <c r="B141" s="22" t="s">
        <v>22</v>
      </c>
      <c r="C141" s="69">
        <f>C140-C143-C144</f>
        <v>137750</v>
      </c>
      <c r="D141" s="70"/>
      <c r="E141" s="31">
        <f>C141/C139*100</f>
        <v>60.524585239434792</v>
      </c>
    </row>
    <row r="142" spans="1:25" x14ac:dyDescent="0.25">
      <c r="B142" s="22" t="s">
        <v>26</v>
      </c>
      <c r="C142" s="71">
        <f>C139-C141</f>
        <v>89843.463804934931</v>
      </c>
      <c r="D142" s="71"/>
      <c r="E142" s="31">
        <f>100-E141</f>
        <v>39.475414760565208</v>
      </c>
    </row>
    <row r="143" spans="1:25" x14ac:dyDescent="0.25">
      <c r="B143" s="22" t="s">
        <v>23</v>
      </c>
      <c r="C143" s="67">
        <f>C140*0.03</f>
        <v>4350</v>
      </c>
      <c r="D143" s="68"/>
      <c r="E143" s="31">
        <v>3</v>
      </c>
    </row>
    <row r="144" spans="1:25" x14ac:dyDescent="0.25">
      <c r="B144" s="22" t="s">
        <v>24</v>
      </c>
      <c r="C144" s="67">
        <f>C140*0.02</f>
        <v>2900</v>
      </c>
      <c r="D144" s="68"/>
      <c r="E144" s="31">
        <v>2</v>
      </c>
    </row>
  </sheetData>
  <mergeCells count="15">
    <mergeCell ref="C144:D144"/>
    <mergeCell ref="C139:D139"/>
    <mergeCell ref="C140:D140"/>
    <mergeCell ref="C141:D141"/>
    <mergeCell ref="C142:D142"/>
    <mergeCell ref="C143:D143"/>
    <mergeCell ref="A7:F7"/>
    <mergeCell ref="H7:K7"/>
    <mergeCell ref="A1:K1"/>
    <mergeCell ref="A2:K2"/>
    <mergeCell ref="A3:K3"/>
    <mergeCell ref="A4:K4"/>
    <mergeCell ref="A5:K5"/>
    <mergeCell ref="A6:F6"/>
    <mergeCell ref="H6:K6"/>
  </mergeCells>
  <pageMargins left="0.7" right="0.7" top="0.75" bottom="0.75" header="0.3" footer="0.3"/>
  <pageSetup scale="8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estimate</vt:lpstr>
      <vt:lpstr>estimate!Print_Area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2026-03-31T08:32:56Z</dcterms:modified>
</cp:coreProperties>
</file>