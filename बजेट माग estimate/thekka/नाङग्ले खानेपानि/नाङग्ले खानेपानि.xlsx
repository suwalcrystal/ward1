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AE696E8A-BAA9-4596-877F-B31A8F35F93F}" xr6:coauthVersionLast="47" xr6:coauthVersionMax="47" xr10:uidLastSave="{00000000-0000-0000-0000-000000000000}"/>
  <bookViews>
    <workbookView xWindow="-120" yWindow="-120" windowWidth="20730" windowHeight="11040" xr2:uid="{00000000-000D-0000-FFFF-FFFF00000000}"/>
  </bookViews>
  <sheets>
    <sheet name="estimate" sheetId="13"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estimate!$A$1:$K$114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7" i="13" l="1"/>
  <c r="C86" i="13"/>
  <c r="G86" i="13" s="1"/>
  <c r="G87" i="13" s="1"/>
  <c r="F86" i="13"/>
  <c r="G77" i="13"/>
  <c r="G78" i="13" s="1"/>
  <c r="J78" i="13" s="1"/>
  <c r="J79" i="13" s="1"/>
  <c r="G73" i="13"/>
  <c r="G74" i="13" s="1"/>
  <c r="J74" i="13" s="1"/>
  <c r="J75" i="13" s="1"/>
  <c r="G69" i="13"/>
  <c r="G70" i="13" s="1"/>
  <c r="J70" i="13" s="1"/>
  <c r="J71" i="13" s="1"/>
  <c r="G58" i="13"/>
  <c r="G59" i="13" s="1"/>
  <c r="J59" i="13" s="1"/>
  <c r="J60" i="13" s="1"/>
  <c r="G54" i="13"/>
  <c r="G55" i="13" s="1"/>
  <c r="J55" i="13" s="1"/>
  <c r="J56" i="13" s="1"/>
  <c r="G50" i="13"/>
  <c r="G51" i="13" s="1"/>
  <c r="J51" i="13" s="1"/>
  <c r="J52" i="13" s="1"/>
  <c r="G46" i="13"/>
  <c r="G47" i="13" s="1"/>
  <c r="J47" i="13" s="1"/>
  <c r="J48" i="13" s="1"/>
  <c r="G42" i="13"/>
  <c r="G43" i="13" s="1"/>
  <c r="J43" i="13" s="1"/>
  <c r="J44" i="13" s="1"/>
  <c r="D101" i="13"/>
  <c r="F101" i="13" s="1"/>
  <c r="G101" i="13" s="1"/>
  <c r="D85" i="13"/>
  <c r="G85" i="13" s="1"/>
  <c r="G95" i="13"/>
  <c r="D84" i="13"/>
  <c r="G84" i="13" s="1"/>
  <c r="D83" i="13"/>
  <c r="D100" i="13"/>
  <c r="F100" i="13" s="1"/>
  <c r="G100" i="13" s="1"/>
  <c r="I96" i="13"/>
  <c r="I91" i="13"/>
  <c r="G38" i="13"/>
  <c r="G39" i="13" s="1"/>
  <c r="J39" i="13" s="1"/>
  <c r="J40" i="13" s="1"/>
  <c r="G34" i="13"/>
  <c r="G35" i="13" s="1"/>
  <c r="J35" i="13" s="1"/>
  <c r="J36" i="13" s="1"/>
  <c r="G30" i="13"/>
  <c r="G31" i="13" s="1"/>
  <c r="J31" i="13" s="1"/>
  <c r="J32" i="13" s="1"/>
  <c r="G18" i="13"/>
  <c r="G19" i="13" s="1"/>
  <c r="J19" i="13" s="1"/>
  <c r="J20" i="13" s="1"/>
  <c r="C10" i="13"/>
  <c r="G10" i="13" s="1"/>
  <c r="G11" i="13" s="1"/>
  <c r="J11" i="13" s="1"/>
  <c r="J12" i="13" s="1"/>
  <c r="G66" i="13"/>
  <c r="G62" i="13"/>
  <c r="G14" i="13"/>
  <c r="G26" i="13"/>
  <c r="G22" i="13"/>
  <c r="C99" i="13"/>
  <c r="D90" i="13" l="1"/>
  <c r="G83" i="13"/>
  <c r="G94" i="13"/>
  <c r="G96" i="13" s="1"/>
  <c r="J96" i="13" s="1"/>
  <c r="G67" i="13"/>
  <c r="J67" i="13" s="1"/>
  <c r="G63" i="13"/>
  <c r="J63" i="13" s="1"/>
  <c r="J64" i="13" s="1"/>
  <c r="G27" i="13"/>
  <c r="J27" i="13" s="1"/>
  <c r="J28" i="13" s="1"/>
  <c r="G23" i="13"/>
  <c r="J23" i="13" s="1"/>
  <c r="J24" i="13" s="1"/>
  <c r="G15" i="13"/>
  <c r="J15" i="13" s="1"/>
  <c r="J16" i="13" s="1"/>
  <c r="G90" i="13" l="1"/>
  <c r="G91" i="13" s="1"/>
  <c r="J91" i="13" s="1"/>
  <c r="D99" i="13"/>
  <c r="F99" i="13" s="1"/>
  <c r="G99" i="13" s="1"/>
  <c r="G102" i="13" s="1"/>
  <c r="J87" i="13" l="1"/>
  <c r="J102" i="13"/>
  <c r="J103" i="13" s="1"/>
  <c r="C114" i="13" l="1"/>
  <c r="C113" i="13"/>
  <c r="G105" i="13"/>
  <c r="J105" i="13" s="1"/>
  <c r="C111" i="13" l="1"/>
  <c r="C109" i="13" l="1"/>
  <c r="C112" i="13" s="1"/>
  <c r="E111" i="13" l="1"/>
  <c r="E112" i="13" s="1"/>
</calcChain>
</file>

<file path=xl/sharedStrings.xml><?xml version="1.0" encoding="utf-8"?>
<sst xmlns="http://schemas.openxmlformats.org/spreadsheetml/2006/main" count="138" uniqueCount="73">
  <si>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</si>
  <si>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</si>
  <si>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</si>
  <si>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</si>
  <si>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</si>
  <si>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</si>
  <si>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</si>
  <si>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</si>
  <si>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</si>
  <si>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</si>
  <si>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</si>
  <si>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</si>
  <si>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</si>
  <si>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</si>
  <si>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</si>
  <si>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</si>
  <si>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</si>
  <si>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</si>
  <si>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</si>
  <si>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</si>
  <si>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</si>
  <si>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</si>
  <si>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</si>
  <si>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</si>
  <si>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</si>
  <si>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</si>
  <si>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</si>
  <si>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</si>
  <si>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</si>
  <si>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</si>
  <si>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</si>
  <si>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</si>
  <si>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</si>
  <si>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</si>
  <si>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Location:- Shankharapur Municipality 1</t>
  </si>
  <si>
    <t>-13% VAT for material</t>
  </si>
  <si>
    <t>-for pipe laying</t>
  </si>
  <si>
    <t>rm</t>
  </si>
  <si>
    <t>A</t>
  </si>
  <si>
    <t>Pipe works</t>
  </si>
  <si>
    <t>B</t>
  </si>
  <si>
    <t>Date:2082</t>
  </si>
  <si>
    <r>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Engineer.l (</t>
    </r>
    <r>
      <rPr>
        <b/>
        <sz val="14"/>
        <rFont val="Preeti"/>
      </rPr>
      <t>vGg] k'g{] sfo{</t>
    </r>
    <r>
      <rPr>
        <sz val="11"/>
        <rFont val="Calibri"/>
        <family val="2"/>
        <scheme val="minor"/>
      </rPr>
      <t>)</t>
    </r>
  </si>
  <si>
    <t>Laying and joining of 20,25 mmØ HDPE pipe with butt-weld joints</t>
  </si>
  <si>
    <t>-for 20mm pipe laying</t>
  </si>
  <si>
    <t>-G.I. Union 20mm</t>
  </si>
  <si>
    <t>pcs.</t>
  </si>
  <si>
    <t>-Fittings for HPDE pipeline maintainance</t>
  </si>
  <si>
    <t>-G.I. Union 40mm</t>
  </si>
  <si>
    <t>-G.I. Socket 40mm</t>
  </si>
  <si>
    <t>-G.I. Tee 40mm</t>
  </si>
  <si>
    <t>-G.I. nipple medium class- 2" long  40mm</t>
  </si>
  <si>
    <t>-G.I. elbow 40mm</t>
  </si>
  <si>
    <t>-Reducing Socket 32mm(1-1/2")</t>
  </si>
  <si>
    <t>-tank nipple 32mm</t>
  </si>
  <si>
    <t>-G.I. Union 32mm</t>
  </si>
  <si>
    <t>-for 32mm pipe laying</t>
  </si>
  <si>
    <t>Laying and joining of 32 mmØ HDPE pipe with butt-weld joints</t>
  </si>
  <si>
    <t>-for 25mm pipe laying</t>
  </si>
  <si>
    <t>-for 25mm dia. pipe laying</t>
  </si>
  <si>
    <t>-for 20mm dia. pipe laying</t>
  </si>
  <si>
    <t>-Reducing Socket 20mm(3/4")</t>
  </si>
  <si>
    <t>-Reducing Socket 15mm(1/2")</t>
  </si>
  <si>
    <t>-G.I. nipple medium class- 2" long  15mm</t>
  </si>
  <si>
    <t>-G.I. Union 15mm</t>
  </si>
  <si>
    <t>-Roof top PVC water tank 5000ltr</t>
  </si>
  <si>
    <t>ltr</t>
  </si>
  <si>
    <t>Provisional sum for other unforseen works</t>
  </si>
  <si>
    <t>-Ball Valve 15mm</t>
  </si>
  <si>
    <t>-tank nipple 15mm</t>
  </si>
  <si>
    <t>-G.I. Tee 15mm</t>
  </si>
  <si>
    <t>-base preparation for tank</t>
  </si>
  <si>
    <r>
      <t>Project:-</t>
    </r>
    <r>
      <rPr>
        <sz val="12"/>
        <rFont val="Preeti"/>
      </rPr>
      <t xml:space="preserve"> </t>
    </r>
    <r>
      <rPr>
        <sz val="14"/>
        <rFont val="Preeti"/>
      </rPr>
      <t>gfª\n]</t>
    </r>
    <r>
      <rPr>
        <sz val="12"/>
        <rFont val="Preeti"/>
      </rPr>
      <t xml:space="preserve"> </t>
    </r>
    <r>
      <rPr>
        <sz val="14"/>
        <rFont val="Preeti"/>
      </rPr>
      <t>vfg]kfgL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</si>
</sst>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7"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4"/>
      <name val="Preeti"/>
    </font>
    <font>
      <sz val="11"/>
      <color rgb="FFFF0000"/>
      <name val="Calibri"/>
      <family val="2"/>
      <scheme val="minor"/>
    </font>
    <font>
      <sz val="11"/>
      <color rgb="FFFF0000"/>
      <name val="Times New Roman"/>
      <family val="1"/>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8">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4" fillId="0" borderId="0" xfId="0" applyFont="1" applyAlignment="1">
      <alignment vertical="center"/>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4" fillId="0" borderId="2" xfId="0" applyFont="1" applyBorder="1" applyAlignment="1">
      <alignment wrapText="1"/>
    </xf>
    <xf numFmtId="0" fontId="4" fillId="0" borderId="2" xfId="0" applyFont="1" applyBorder="1" applyAlignment="1">
      <alignment vertical="center"/>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1" fontId="2" fillId="0" borderId="2" xfId="0" quotePrefix="1" applyNumberFormat="1" applyFont="1" applyBorder="1" applyAlignment="1">
      <alignment vertical="center" wrapText="1"/>
    </xf>
    <xf numFmtId="0" fontId="4" fillId="0" borderId="2" xfId="0" quotePrefix="1" applyFont="1" applyBorder="1" applyAlignment="1">
      <alignment horizontal="right" vertical="center" wrapText="1"/>
    </xf>
    <xf numFmtId="0" fontId="4" fillId="0" borderId="2" xfId="0" quotePrefix="1" applyFont="1" applyBorder="1" applyAlignment="1">
      <alignment horizontal="right" wrapText="1"/>
    </xf>
    <xf numFmtId="0" fontId="15" fillId="0" borderId="2" xfId="0" quotePrefix="1" applyFont="1" applyBorder="1" applyAlignment="1">
      <alignment horizontal="right" wrapText="1"/>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15" fillId="0" borderId="2" xfId="0" quotePrefix="1" applyFont="1" applyBorder="1" applyAlignment="1">
      <alignment horizontal="right"/>
    </xf>
    <xf numFmtId="0" fontId="16" fillId="0" borderId="2" xfId="0" quotePrefix="1" applyFont="1" applyBorder="1" applyAlignment="1">
      <alignment horizontal="right" wrapText="1"/>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14"/>
  <sheetViews>
    <sheetView tabSelected="1" zoomScaleNormal="100" workbookViewId="0">
      <selection activeCell="A7" sqref="A7:F7"/>
    </sheetView>
  </sheetViews>
  <sheetFormatPr defaultColWidth="9.140625" defaultRowHeight="15" x14ac:dyDescent="0.25"/>
  <cols>
    <col min="1" max="1" width="4.7109375" style="9" customWidth="1"/>
    <col min="2" max="2" width="30.85546875" style="9" customWidth="1"/>
    <col min="3" max="3" width="4.42578125" style="9" bestFit="1" customWidth="1"/>
    <col min="4" max="4" width="8.42578125" style="9" customWidth="1"/>
    <col min="5" max="5" width="8.5703125" style="9" customWidth="1"/>
    <col min="6" max="6" width="7.28515625" style="9" customWidth="1"/>
    <col min="7" max="7" width="9.140625" style="9"/>
    <col min="8" max="8" width="5" style="9" bestFit="1" customWidth="1"/>
    <col min="9" max="9" width="9.5703125" style="9" customWidth="1"/>
    <col min="10" max="10" width="10.7109375" style="9" bestFit="1" customWidth="1"/>
    <col min="11" max="12" width="9.140625" style="9"/>
    <col min="13" max="13" width="6.42578125" style="9" bestFit="1" customWidth="1"/>
    <col min="14" max="14" width="7.42578125" style="9" bestFit="1" customWidth="1"/>
    <col min="15" max="16" width="8.42578125" style="9" bestFit="1" customWidth="1"/>
    <col min="17" max="17" width="9.140625" style="9"/>
    <col min="18" max="18" width="16.5703125" style="9" customWidth="1"/>
    <col min="19" max="20" width="8.5703125" style="9" bestFit="1" customWidth="1"/>
    <col min="21" max="21" width="6.5703125" style="9" customWidth="1"/>
    <col min="22" max="22" width="7.42578125" style="9" bestFit="1" customWidth="1"/>
    <col min="23" max="23" width="8.42578125" style="9" bestFit="1" customWidth="1"/>
    <col min="24" max="25" width="7.7109375" style="9" bestFit="1" customWidth="1"/>
    <col min="26" max="16384" width="9.140625" style="9"/>
  </cols>
  <sheetData>
    <row r="1" spans="1:25" x14ac:dyDescent="0.25">
      <c r="A1" s="45" t="s">
        <v>0</v>
      </c>
      <c r="B1" s="45"/>
      <c r="C1" s="45"/>
      <c r="D1" s="45"/>
      <c r="E1" s="45"/>
      <c r="F1" s="45"/>
      <c r="G1" s="45"/>
      <c r="H1" s="45"/>
      <c r="I1" s="45"/>
      <c r="J1" s="45"/>
      <c r="K1" s="45"/>
    </row>
    <row r="2" spans="1:25" ht="22.5" x14ac:dyDescent="0.25">
      <c r="A2" s="46" t="s">
        <v>1</v>
      </c>
      <c r="B2" s="46"/>
      <c r="C2" s="46"/>
      <c r="D2" s="46"/>
      <c r="E2" s="46"/>
      <c r="F2" s="46"/>
      <c r="G2" s="46"/>
      <c r="H2" s="46"/>
      <c r="I2" s="46"/>
      <c r="J2" s="46"/>
      <c r="K2" s="46"/>
    </row>
    <row r="3" spans="1:25" x14ac:dyDescent="0.25">
      <c r="A3" s="47" t="s">
        <v>2</v>
      </c>
      <c r="B3" s="47"/>
      <c r="C3" s="47"/>
      <c r="D3" s="47"/>
      <c r="E3" s="47"/>
      <c r="F3" s="47"/>
      <c r="G3" s="47"/>
      <c r="H3" s="47"/>
      <c r="I3" s="47"/>
      <c r="J3" s="47"/>
      <c r="K3" s="47"/>
    </row>
    <row r="4" spans="1:25" x14ac:dyDescent="0.25">
      <c r="A4" s="47" t="s">
        <v>3</v>
      </c>
      <c r="B4" s="47"/>
      <c r="C4" s="47"/>
      <c r="D4" s="47"/>
      <c r="E4" s="47"/>
      <c r="F4" s="47"/>
      <c r="G4" s="47"/>
      <c r="H4" s="47"/>
      <c r="I4" s="47"/>
      <c r="J4" s="47"/>
      <c r="K4" s="47"/>
    </row>
    <row r="5" spans="1:25" ht="18.75" x14ac:dyDescent="0.3">
      <c r="A5" s="48" t="s">
        <v>4</v>
      </c>
      <c r="B5" s="48"/>
      <c r="C5" s="48"/>
      <c r="D5" s="48"/>
      <c r="E5" s="48"/>
      <c r="F5" s="48"/>
      <c r="G5" s="48"/>
      <c r="H5" s="48"/>
      <c r="I5" s="48"/>
      <c r="J5" s="48"/>
      <c r="K5" s="48"/>
    </row>
    <row r="6" spans="1:25" ht="18" x14ac:dyDescent="0.25">
      <c r="A6" s="49" t="s">
        <v>72</v>
      </c>
      <c r="B6" s="49"/>
      <c r="C6" s="49"/>
      <c r="D6" s="49"/>
      <c r="E6" s="49"/>
      <c r="F6" s="49"/>
      <c r="G6" s="3"/>
      <c r="H6" s="50" t="s">
        <v>25</v>
      </c>
      <c r="I6" s="50"/>
      <c r="J6" s="50"/>
      <c r="K6" s="50"/>
    </row>
    <row r="7" spans="1:25" ht="15.75" x14ac:dyDescent="0.25">
      <c r="A7" s="43" t="s">
        <v>34</v>
      </c>
      <c r="B7" s="43"/>
      <c r="C7" s="43"/>
      <c r="D7" s="43"/>
      <c r="E7" s="43"/>
      <c r="F7" s="43"/>
      <c r="G7" s="4"/>
      <c r="H7" s="44" t="s">
        <v>41</v>
      </c>
      <c r="I7" s="44"/>
      <c r="J7" s="44"/>
      <c r="K7" s="44"/>
    </row>
    <row r="8" spans="1:25" ht="15.75" x14ac:dyDescent="0.25">
      <c r="A8" s="5" t="s">
        <v>5</v>
      </c>
      <c r="B8" s="6" t="s">
        <v>6</v>
      </c>
      <c r="C8" s="5" t="s">
        <v>7</v>
      </c>
      <c r="D8" s="7" t="s">
        <v>8</v>
      </c>
      <c r="E8" s="7" t="s">
        <v>9</v>
      </c>
      <c r="F8" s="7" t="s">
        <v>10</v>
      </c>
      <c r="G8" s="7" t="s">
        <v>11</v>
      </c>
      <c r="H8" s="5" t="s">
        <v>12</v>
      </c>
      <c r="I8" s="7" t="s">
        <v>13</v>
      </c>
      <c r="J8" s="7" t="s">
        <v>14</v>
      </c>
      <c r="K8" s="8" t="s">
        <v>15</v>
      </c>
      <c r="M8" s="10"/>
      <c r="N8" s="10"/>
      <c r="O8" s="10"/>
      <c r="P8" s="10"/>
      <c r="Q8" s="10"/>
      <c r="R8" s="10"/>
      <c r="S8" s="10"/>
      <c r="T8" s="10"/>
      <c r="U8" s="10"/>
      <c r="V8" s="10"/>
      <c r="W8" s="10"/>
      <c r="X8" s="10"/>
      <c r="Y8" s="10"/>
    </row>
    <row r="9" spans="1:25" ht="30" x14ac:dyDescent="0.25">
      <c r="A9" s="17" t="s">
        <v>38</v>
      </c>
      <c r="B9" s="36" t="s">
        <v>47</v>
      </c>
      <c r="C9" s="19"/>
      <c r="D9" s="19"/>
      <c r="E9" s="19"/>
      <c r="F9" s="19"/>
      <c r="G9" s="19"/>
      <c r="H9" s="19"/>
      <c r="I9" s="19"/>
      <c r="J9" s="16"/>
      <c r="K9" s="19"/>
      <c r="M9" s="10"/>
      <c r="N9" s="10"/>
      <c r="O9" s="10"/>
      <c r="P9" s="10"/>
      <c r="Q9" s="10"/>
      <c r="R9" s="10"/>
      <c r="S9" s="10"/>
      <c r="T9" s="10"/>
      <c r="U9" s="10"/>
      <c r="V9" s="10"/>
      <c r="W9" s="10"/>
      <c r="X9" s="10"/>
      <c r="Y9" s="10"/>
    </row>
    <row r="10" spans="1:25" x14ac:dyDescent="0.25">
      <c r="A10" s="17">
        <v>1</v>
      </c>
      <c r="B10" s="18" t="s">
        <v>48</v>
      </c>
      <c r="C10" s="19">
        <f>7</f>
        <v>7</v>
      </c>
      <c r="D10" s="20"/>
      <c r="E10" s="19"/>
      <c r="F10" s="19"/>
      <c r="G10" s="20">
        <f>PRODUCT(C10:F10)</f>
        <v>7</v>
      </c>
      <c r="H10" s="19"/>
      <c r="I10" s="38"/>
      <c r="J10" s="38"/>
      <c r="K10" s="19"/>
    </row>
    <row r="11" spans="1:25" ht="15" customHeight="1" x14ac:dyDescent="0.25">
      <c r="A11" s="11"/>
      <c r="B11" s="12" t="s">
        <v>16</v>
      </c>
      <c r="C11" s="13"/>
      <c r="D11" s="1"/>
      <c r="E11" s="14"/>
      <c r="F11" s="14"/>
      <c r="G11" s="2">
        <f>SUM(G10:G10)</f>
        <v>7</v>
      </c>
      <c r="H11" s="15" t="s">
        <v>46</v>
      </c>
      <c r="I11" s="2">
        <v>401</v>
      </c>
      <c r="J11" s="16">
        <f>G11*I11</f>
        <v>2807</v>
      </c>
      <c r="K11" s="14"/>
    </row>
    <row r="12" spans="1:25" x14ac:dyDescent="0.25">
      <c r="A12" s="17"/>
      <c r="B12" s="18" t="s">
        <v>35</v>
      </c>
      <c r="C12" s="19"/>
      <c r="D12" s="19"/>
      <c r="E12" s="19"/>
      <c r="F12" s="19"/>
      <c r="G12" s="19"/>
      <c r="H12" s="19"/>
      <c r="I12" s="19"/>
      <c r="J12" s="16">
        <f>0.13*J11</f>
        <v>364.91</v>
      </c>
      <c r="K12" s="19"/>
    </row>
    <row r="13" spans="1:25" x14ac:dyDescent="0.25">
      <c r="A13" s="17"/>
      <c r="B13" s="18"/>
      <c r="C13" s="19"/>
      <c r="D13" s="19"/>
      <c r="E13" s="19"/>
      <c r="F13" s="19"/>
      <c r="G13" s="19"/>
      <c r="H13" s="19"/>
      <c r="I13" s="19"/>
      <c r="J13" s="16"/>
      <c r="K13" s="19"/>
    </row>
    <row r="14" spans="1:25" x14ac:dyDescent="0.25">
      <c r="A14" s="17">
        <v>2</v>
      </c>
      <c r="B14" s="18" t="s">
        <v>49</v>
      </c>
      <c r="C14" s="19">
        <v>5</v>
      </c>
      <c r="D14" s="20"/>
      <c r="E14" s="19"/>
      <c r="F14" s="19"/>
      <c r="G14" s="20">
        <f t="shared" ref="G14:G22" si="0">PRODUCT(C14:F14)</f>
        <v>5</v>
      </c>
      <c r="H14" s="19" t="s">
        <v>46</v>
      </c>
      <c r="I14" s="38"/>
      <c r="J14" s="38"/>
      <c r="K14" s="19"/>
    </row>
    <row r="15" spans="1:25" ht="15" customHeight="1" x14ac:dyDescent="0.25">
      <c r="A15" s="11"/>
      <c r="B15" s="12" t="s">
        <v>16</v>
      </c>
      <c r="C15" s="13"/>
      <c r="D15" s="1"/>
      <c r="E15" s="14"/>
      <c r="F15" s="14"/>
      <c r="G15" s="2">
        <f>SUM(G14:G14)</f>
        <v>5</v>
      </c>
      <c r="H15" s="15" t="s">
        <v>46</v>
      </c>
      <c r="I15" s="2">
        <v>144</v>
      </c>
      <c r="J15" s="16">
        <f>G15*I15</f>
        <v>720</v>
      </c>
      <c r="K15" s="14"/>
    </row>
    <row r="16" spans="1:25" x14ac:dyDescent="0.25">
      <c r="A16" s="17"/>
      <c r="B16" s="18" t="s">
        <v>35</v>
      </c>
      <c r="C16" s="19"/>
      <c r="D16" s="19"/>
      <c r="E16" s="19"/>
      <c r="F16" s="19"/>
      <c r="G16" s="19"/>
      <c r="H16" s="19"/>
      <c r="I16" s="19"/>
      <c r="J16" s="16">
        <f>0.13*J15</f>
        <v>93.600000000000009</v>
      </c>
      <c r="K16" s="19"/>
    </row>
    <row r="17" spans="1:11" x14ac:dyDescent="0.25">
      <c r="A17" s="17"/>
      <c r="B17" s="18"/>
      <c r="C17" s="19"/>
      <c r="D17" s="19"/>
      <c r="E17" s="19"/>
      <c r="F17" s="19"/>
      <c r="G17" s="19"/>
      <c r="H17" s="19"/>
      <c r="I17" s="19"/>
      <c r="J17" s="16"/>
      <c r="K17" s="19"/>
    </row>
    <row r="18" spans="1:11" x14ac:dyDescent="0.25">
      <c r="A18" s="17">
        <v>3</v>
      </c>
      <c r="B18" s="18" t="s">
        <v>50</v>
      </c>
      <c r="C18" s="19">
        <v>1</v>
      </c>
      <c r="D18" s="20"/>
      <c r="E18" s="19"/>
      <c r="F18" s="19"/>
      <c r="G18" s="20">
        <f t="shared" ref="G18" si="1">PRODUCT(C18:F18)</f>
        <v>1</v>
      </c>
      <c r="H18" s="19" t="s">
        <v>46</v>
      </c>
      <c r="I18" s="38"/>
      <c r="J18" s="38"/>
      <c r="K18" s="19"/>
    </row>
    <row r="19" spans="1:11" ht="15" customHeight="1" x14ac:dyDescent="0.25">
      <c r="A19" s="11"/>
      <c r="B19" s="12" t="s">
        <v>16</v>
      </c>
      <c r="C19" s="13"/>
      <c r="D19" s="1"/>
      <c r="E19" s="14"/>
      <c r="F19" s="14"/>
      <c r="G19" s="2">
        <f>SUM(G18:G18)</f>
        <v>1</v>
      </c>
      <c r="H19" s="15" t="s">
        <v>46</v>
      </c>
      <c r="I19" s="2">
        <v>282</v>
      </c>
      <c r="J19" s="16">
        <f>G19*I19</f>
        <v>282</v>
      </c>
      <c r="K19" s="14"/>
    </row>
    <row r="20" spans="1:11" x14ac:dyDescent="0.25">
      <c r="A20" s="17"/>
      <c r="B20" s="18" t="s">
        <v>35</v>
      </c>
      <c r="C20" s="19"/>
      <c r="D20" s="19"/>
      <c r="E20" s="19"/>
      <c r="F20" s="19"/>
      <c r="G20" s="19"/>
      <c r="H20" s="19"/>
      <c r="I20" s="19"/>
      <c r="J20" s="16">
        <f>0.13*J19</f>
        <v>36.660000000000004</v>
      </c>
      <c r="K20" s="19"/>
    </row>
    <row r="21" spans="1:11" x14ac:dyDescent="0.25">
      <c r="A21" s="17"/>
      <c r="B21" s="18"/>
      <c r="C21" s="19"/>
      <c r="D21" s="19"/>
      <c r="E21" s="19"/>
      <c r="F21" s="19"/>
      <c r="G21" s="19"/>
      <c r="H21" s="19"/>
      <c r="I21" s="19"/>
      <c r="J21" s="16"/>
      <c r="K21" s="19"/>
    </row>
    <row r="22" spans="1:11" x14ac:dyDescent="0.25">
      <c r="A22" s="17">
        <v>4</v>
      </c>
      <c r="B22" s="18" t="s">
        <v>52</v>
      </c>
      <c r="C22" s="19">
        <v>2</v>
      </c>
      <c r="D22" s="20"/>
      <c r="E22" s="19"/>
      <c r="F22" s="19"/>
      <c r="G22" s="20">
        <f t="shared" si="0"/>
        <v>2</v>
      </c>
      <c r="H22" s="19" t="s">
        <v>46</v>
      </c>
      <c r="I22" s="38"/>
      <c r="J22" s="38"/>
      <c r="K22" s="19"/>
    </row>
    <row r="23" spans="1:11" ht="15" customHeight="1" x14ac:dyDescent="0.25">
      <c r="A23" s="11"/>
      <c r="B23" s="12" t="s">
        <v>16</v>
      </c>
      <c r="C23" s="13"/>
      <c r="D23" s="1"/>
      <c r="E23" s="14"/>
      <c r="F23" s="14"/>
      <c r="G23" s="2">
        <f>SUM(G22:G22)</f>
        <v>2</v>
      </c>
      <c r="H23" s="15" t="s">
        <v>46</v>
      </c>
      <c r="I23" s="2">
        <v>223</v>
      </c>
      <c r="J23" s="16">
        <f>G23*I23</f>
        <v>446</v>
      </c>
      <c r="K23" s="14"/>
    </row>
    <row r="24" spans="1:11" x14ac:dyDescent="0.25">
      <c r="A24" s="17"/>
      <c r="B24" s="18" t="s">
        <v>35</v>
      </c>
      <c r="C24" s="19"/>
      <c r="D24" s="19"/>
      <c r="E24" s="19"/>
      <c r="F24" s="19"/>
      <c r="G24" s="19"/>
      <c r="H24" s="19"/>
      <c r="I24" s="19"/>
      <c r="J24" s="16">
        <f>0.13*J23</f>
        <v>57.980000000000004</v>
      </c>
      <c r="K24" s="19"/>
    </row>
    <row r="25" spans="1:11" x14ac:dyDescent="0.25">
      <c r="A25" s="17"/>
      <c r="B25" s="18"/>
      <c r="C25" s="19"/>
      <c r="D25" s="19"/>
      <c r="E25" s="19"/>
      <c r="F25" s="19"/>
      <c r="G25" s="19"/>
      <c r="H25" s="19"/>
      <c r="I25" s="19"/>
      <c r="J25" s="16"/>
      <c r="K25" s="19"/>
    </row>
    <row r="26" spans="1:11" ht="30" x14ac:dyDescent="0.25">
      <c r="A26" s="17">
        <v>5</v>
      </c>
      <c r="B26" s="41" t="s">
        <v>51</v>
      </c>
      <c r="C26" s="19">
        <v>4</v>
      </c>
      <c r="D26" s="20"/>
      <c r="E26" s="19"/>
      <c r="F26" s="19"/>
      <c r="G26" s="20">
        <f t="shared" ref="G26:G66" si="2">PRODUCT(C26:F26)</f>
        <v>4</v>
      </c>
      <c r="H26" s="19" t="s">
        <v>46</v>
      </c>
      <c r="I26" s="38"/>
      <c r="J26" s="38"/>
      <c r="K26" s="19"/>
    </row>
    <row r="27" spans="1:11" ht="15" customHeight="1" x14ac:dyDescent="0.25">
      <c r="A27" s="11"/>
      <c r="B27" s="12" t="s">
        <v>16</v>
      </c>
      <c r="C27" s="13"/>
      <c r="D27" s="1"/>
      <c r="E27" s="14"/>
      <c r="F27" s="14"/>
      <c r="G27" s="2">
        <f>SUM(G26:G26)</f>
        <v>4</v>
      </c>
      <c r="H27" s="15" t="s">
        <v>46</v>
      </c>
      <c r="I27" s="2">
        <v>71</v>
      </c>
      <c r="J27" s="16">
        <f>G27*I27</f>
        <v>284</v>
      </c>
      <c r="K27" s="14"/>
    </row>
    <row r="28" spans="1:11" x14ac:dyDescent="0.25">
      <c r="A28" s="17"/>
      <c r="B28" s="18" t="s">
        <v>35</v>
      </c>
      <c r="C28" s="19"/>
      <c r="D28" s="19"/>
      <c r="E28" s="19"/>
      <c r="F28" s="19"/>
      <c r="G28" s="19"/>
      <c r="H28" s="19"/>
      <c r="I28" s="19"/>
      <c r="J28" s="16">
        <f>0.13*J27</f>
        <v>36.92</v>
      </c>
      <c r="K28" s="19"/>
    </row>
    <row r="29" spans="1:11" x14ac:dyDescent="0.25">
      <c r="A29" s="17"/>
      <c r="B29" s="18"/>
      <c r="C29" s="19"/>
      <c r="D29" s="19"/>
      <c r="E29" s="19"/>
      <c r="F29" s="19"/>
      <c r="G29" s="19"/>
      <c r="H29" s="19"/>
      <c r="I29" s="19"/>
      <c r="J29" s="16"/>
      <c r="K29" s="19"/>
    </row>
    <row r="30" spans="1:11" x14ac:dyDescent="0.25">
      <c r="A30" s="17">
        <v>6</v>
      </c>
      <c r="B30" s="18" t="s">
        <v>53</v>
      </c>
      <c r="C30" s="19">
        <v>2</v>
      </c>
      <c r="D30" s="20"/>
      <c r="E30" s="19"/>
      <c r="F30" s="19"/>
      <c r="G30" s="20">
        <f t="shared" ref="G30" si="3">PRODUCT(C30:F30)</f>
        <v>2</v>
      </c>
      <c r="H30" s="19" t="s">
        <v>46</v>
      </c>
      <c r="I30" s="38"/>
      <c r="J30" s="38"/>
      <c r="K30" s="19"/>
    </row>
    <row r="31" spans="1:11" ht="15" customHeight="1" x14ac:dyDescent="0.25">
      <c r="A31" s="11"/>
      <c r="B31" s="12" t="s">
        <v>16</v>
      </c>
      <c r="C31" s="13"/>
      <c r="D31" s="1"/>
      <c r="E31" s="14"/>
      <c r="F31" s="14"/>
      <c r="G31" s="2">
        <f>SUM(G30:G30)</f>
        <v>2</v>
      </c>
      <c r="H31" s="15" t="s">
        <v>46</v>
      </c>
      <c r="I31" s="2">
        <v>150</v>
      </c>
      <c r="J31" s="16">
        <f>G31*I31</f>
        <v>300</v>
      </c>
      <c r="K31" s="14"/>
    </row>
    <row r="32" spans="1:11" x14ac:dyDescent="0.25">
      <c r="A32" s="17"/>
      <c r="B32" s="18" t="s">
        <v>35</v>
      </c>
      <c r="C32" s="19"/>
      <c r="D32" s="19"/>
      <c r="E32" s="19"/>
      <c r="F32" s="19"/>
      <c r="G32" s="19"/>
      <c r="H32" s="19"/>
      <c r="I32" s="19"/>
      <c r="J32" s="16">
        <f>0.13*J31</f>
        <v>39</v>
      </c>
      <c r="K32" s="19"/>
    </row>
    <row r="33" spans="1:11" x14ac:dyDescent="0.25">
      <c r="A33" s="17"/>
      <c r="B33" s="18"/>
      <c r="C33" s="19"/>
      <c r="D33" s="19"/>
      <c r="E33" s="19"/>
      <c r="F33" s="19"/>
      <c r="G33" s="19"/>
      <c r="H33" s="19"/>
      <c r="I33" s="19"/>
      <c r="J33" s="16"/>
      <c r="K33" s="19"/>
    </row>
    <row r="34" spans="1:11" x14ac:dyDescent="0.25">
      <c r="A34" s="17">
        <v>7</v>
      </c>
      <c r="B34" s="41" t="s">
        <v>54</v>
      </c>
      <c r="C34" s="19">
        <v>2</v>
      </c>
      <c r="D34" s="20"/>
      <c r="E34" s="19"/>
      <c r="F34" s="19"/>
      <c r="G34" s="20">
        <f t="shared" ref="G34" si="4">PRODUCT(C34:F34)</f>
        <v>2</v>
      </c>
      <c r="H34" s="19" t="s">
        <v>46</v>
      </c>
      <c r="I34" s="38"/>
      <c r="J34" s="38"/>
      <c r="K34" s="19"/>
    </row>
    <row r="35" spans="1:11" ht="15" customHeight="1" x14ac:dyDescent="0.25">
      <c r="A35" s="11"/>
      <c r="B35" s="12" t="s">
        <v>16</v>
      </c>
      <c r="C35" s="13"/>
      <c r="D35" s="1"/>
      <c r="E35" s="14"/>
      <c r="F35" s="14"/>
      <c r="G35" s="2">
        <f>SUM(G34:G34)</f>
        <v>2</v>
      </c>
      <c r="H35" s="15" t="s">
        <v>46</v>
      </c>
      <c r="I35" s="2">
        <v>480</v>
      </c>
      <c r="J35" s="16">
        <f>G35*I35</f>
        <v>960</v>
      </c>
      <c r="K35" s="14"/>
    </row>
    <row r="36" spans="1:11" x14ac:dyDescent="0.25">
      <c r="A36" s="17"/>
      <c r="B36" s="18" t="s">
        <v>35</v>
      </c>
      <c r="C36" s="19"/>
      <c r="D36" s="19"/>
      <c r="E36" s="19"/>
      <c r="F36" s="19"/>
      <c r="G36" s="19"/>
      <c r="H36" s="19"/>
      <c r="I36" s="19"/>
      <c r="J36" s="16">
        <f>0.13*J35</f>
        <v>124.80000000000001</v>
      </c>
      <c r="K36" s="19"/>
    </row>
    <row r="37" spans="1:11" x14ac:dyDescent="0.25">
      <c r="A37" s="17"/>
      <c r="B37" s="18"/>
      <c r="C37" s="19"/>
      <c r="D37" s="19"/>
      <c r="E37" s="19"/>
      <c r="F37" s="19"/>
      <c r="G37" s="19"/>
      <c r="H37" s="19"/>
      <c r="I37" s="19"/>
      <c r="J37" s="16"/>
      <c r="K37" s="19"/>
    </row>
    <row r="38" spans="1:11" x14ac:dyDescent="0.25">
      <c r="A38" s="17">
        <v>8</v>
      </c>
      <c r="B38" s="18" t="s">
        <v>55</v>
      </c>
      <c r="C38" s="19">
        <v>4</v>
      </c>
      <c r="D38" s="20"/>
      <c r="E38" s="19"/>
      <c r="F38" s="19"/>
      <c r="G38" s="20">
        <f>PRODUCT(C38:F38)</f>
        <v>4</v>
      </c>
      <c r="H38" s="19"/>
      <c r="I38" s="38"/>
      <c r="J38" s="38"/>
      <c r="K38" s="19"/>
    </row>
    <row r="39" spans="1:11" ht="15" customHeight="1" x14ac:dyDescent="0.25">
      <c r="A39" s="11"/>
      <c r="B39" s="12" t="s">
        <v>16</v>
      </c>
      <c r="C39" s="13"/>
      <c r="D39" s="1"/>
      <c r="E39" s="14"/>
      <c r="F39" s="14"/>
      <c r="G39" s="2">
        <f>SUM(G38:G38)</f>
        <v>4</v>
      </c>
      <c r="H39" s="15" t="s">
        <v>46</v>
      </c>
      <c r="I39" s="2">
        <v>329</v>
      </c>
      <c r="J39" s="16">
        <f>G39*I39</f>
        <v>1316</v>
      </c>
      <c r="K39" s="14"/>
    </row>
    <row r="40" spans="1:11" x14ac:dyDescent="0.25">
      <c r="A40" s="17"/>
      <c r="B40" s="18" t="s">
        <v>35</v>
      </c>
      <c r="C40" s="19"/>
      <c r="D40" s="19"/>
      <c r="E40" s="19"/>
      <c r="F40" s="19"/>
      <c r="G40" s="19"/>
      <c r="H40" s="19"/>
      <c r="I40" s="19"/>
      <c r="J40" s="16">
        <f>0.13*J39</f>
        <v>171.08</v>
      </c>
      <c r="K40" s="19"/>
    </row>
    <row r="41" spans="1:11" x14ac:dyDescent="0.25">
      <c r="A41" s="17"/>
      <c r="B41" s="18"/>
      <c r="C41" s="19"/>
      <c r="D41" s="19"/>
      <c r="E41" s="19"/>
      <c r="F41" s="19"/>
      <c r="G41" s="19"/>
      <c r="H41" s="19"/>
      <c r="I41" s="19"/>
      <c r="J41" s="16"/>
      <c r="K41" s="19"/>
    </row>
    <row r="42" spans="1:11" x14ac:dyDescent="0.25">
      <c r="A42" s="17">
        <v>9</v>
      </c>
      <c r="B42" s="56" t="s">
        <v>61</v>
      </c>
      <c r="C42" s="19">
        <v>1</v>
      </c>
      <c r="D42" s="20"/>
      <c r="E42" s="19"/>
      <c r="F42" s="19"/>
      <c r="G42" s="20">
        <f t="shared" ref="G42" si="5">PRODUCT(C42:F42)</f>
        <v>1</v>
      </c>
      <c r="H42" s="19" t="s">
        <v>46</v>
      </c>
      <c r="I42" s="38"/>
      <c r="J42" s="38"/>
      <c r="K42" s="19"/>
    </row>
    <row r="43" spans="1:11" ht="15" customHeight="1" x14ac:dyDescent="0.25">
      <c r="A43" s="11"/>
      <c r="B43" s="57" t="s">
        <v>16</v>
      </c>
      <c r="C43" s="13"/>
      <c r="D43" s="1"/>
      <c r="E43" s="14"/>
      <c r="F43" s="14"/>
      <c r="G43" s="2">
        <f>SUM(G42:G42)</f>
        <v>1</v>
      </c>
      <c r="H43" s="15" t="s">
        <v>46</v>
      </c>
      <c r="I43" s="2">
        <v>80</v>
      </c>
      <c r="J43" s="16">
        <f>G43*I43</f>
        <v>80</v>
      </c>
      <c r="K43" s="14"/>
    </row>
    <row r="44" spans="1:11" x14ac:dyDescent="0.25">
      <c r="A44" s="17"/>
      <c r="B44" s="56" t="s">
        <v>35</v>
      </c>
      <c r="C44" s="19"/>
      <c r="D44" s="19"/>
      <c r="E44" s="19"/>
      <c r="F44" s="19"/>
      <c r="G44" s="19"/>
      <c r="H44" s="19"/>
      <c r="I44" s="19"/>
      <c r="J44" s="16">
        <f>0.13*J43</f>
        <v>10.4</v>
      </c>
      <c r="K44" s="19"/>
    </row>
    <row r="45" spans="1:11" x14ac:dyDescent="0.25">
      <c r="A45" s="17"/>
      <c r="B45" s="56"/>
      <c r="C45" s="19"/>
      <c r="D45" s="19"/>
      <c r="E45" s="19"/>
      <c r="F45" s="19"/>
      <c r="G45" s="19"/>
      <c r="H45" s="19"/>
      <c r="I45" s="19"/>
      <c r="J45" s="16"/>
      <c r="K45" s="19"/>
    </row>
    <row r="46" spans="1:11" x14ac:dyDescent="0.25">
      <c r="A46" s="17">
        <v>10</v>
      </c>
      <c r="B46" s="56" t="s">
        <v>62</v>
      </c>
      <c r="C46" s="19">
        <v>4</v>
      </c>
      <c r="D46" s="20"/>
      <c r="E46" s="19"/>
      <c r="F46" s="19"/>
      <c r="G46" s="20">
        <f t="shared" ref="G46" si="6">PRODUCT(C46:F46)</f>
        <v>4</v>
      </c>
      <c r="H46" s="19" t="s">
        <v>46</v>
      </c>
      <c r="I46" s="38"/>
      <c r="J46" s="38"/>
      <c r="K46" s="19"/>
    </row>
    <row r="47" spans="1:11" ht="15" customHeight="1" x14ac:dyDescent="0.25">
      <c r="A47" s="11"/>
      <c r="B47" s="57" t="s">
        <v>16</v>
      </c>
      <c r="C47" s="13"/>
      <c r="D47" s="1"/>
      <c r="E47" s="14"/>
      <c r="F47" s="14"/>
      <c r="G47" s="2">
        <f>SUM(G46:G46)</f>
        <v>4</v>
      </c>
      <c r="H47" s="15" t="s">
        <v>46</v>
      </c>
      <c r="I47" s="2">
        <v>50</v>
      </c>
      <c r="J47" s="16">
        <f>G47*I47</f>
        <v>200</v>
      </c>
      <c r="K47" s="14"/>
    </row>
    <row r="48" spans="1:11" x14ac:dyDescent="0.25">
      <c r="A48" s="17"/>
      <c r="B48" s="56" t="s">
        <v>35</v>
      </c>
      <c r="C48" s="19"/>
      <c r="D48" s="19"/>
      <c r="E48" s="19"/>
      <c r="F48" s="19"/>
      <c r="G48" s="19"/>
      <c r="H48" s="19"/>
      <c r="I48" s="19"/>
      <c r="J48" s="16">
        <f>0.13*J47</f>
        <v>26</v>
      </c>
      <c r="K48" s="19"/>
    </row>
    <row r="49" spans="1:11" x14ac:dyDescent="0.25">
      <c r="A49" s="17"/>
      <c r="B49" s="18"/>
      <c r="C49" s="19"/>
      <c r="D49" s="19"/>
      <c r="E49" s="19"/>
      <c r="F49" s="19"/>
      <c r="G49" s="19"/>
      <c r="H49" s="19"/>
      <c r="I49" s="19"/>
      <c r="J49" s="16"/>
      <c r="K49" s="19"/>
    </row>
    <row r="50" spans="1:11" ht="30" x14ac:dyDescent="0.25">
      <c r="A50" s="17">
        <v>11</v>
      </c>
      <c r="B50" s="41" t="s">
        <v>63</v>
      </c>
      <c r="C50" s="19">
        <v>4</v>
      </c>
      <c r="D50" s="20"/>
      <c r="E50" s="19"/>
      <c r="F50" s="19"/>
      <c r="G50" s="20">
        <f t="shared" ref="G50" si="7">PRODUCT(C50:F50)</f>
        <v>4</v>
      </c>
      <c r="H50" s="19" t="s">
        <v>46</v>
      </c>
      <c r="I50" s="38"/>
      <c r="J50" s="38"/>
      <c r="K50" s="19"/>
    </row>
    <row r="51" spans="1:11" ht="15" customHeight="1" x14ac:dyDescent="0.25">
      <c r="A51" s="11"/>
      <c r="B51" s="12" t="s">
        <v>16</v>
      </c>
      <c r="C51" s="13"/>
      <c r="D51" s="1"/>
      <c r="E51" s="14"/>
      <c r="F51" s="14"/>
      <c r="G51" s="2">
        <f>SUM(G50:G50)</f>
        <v>4</v>
      </c>
      <c r="H51" s="15" t="s">
        <v>46</v>
      </c>
      <c r="I51" s="2">
        <v>22</v>
      </c>
      <c r="J51" s="16">
        <f>G51*I51</f>
        <v>88</v>
      </c>
      <c r="K51" s="14"/>
    </row>
    <row r="52" spans="1:11" x14ac:dyDescent="0.25">
      <c r="A52" s="17"/>
      <c r="B52" s="18" t="s">
        <v>35</v>
      </c>
      <c r="C52" s="19"/>
      <c r="D52" s="19"/>
      <c r="E52" s="19"/>
      <c r="F52" s="19"/>
      <c r="G52" s="19"/>
      <c r="H52" s="19"/>
      <c r="I52" s="19"/>
      <c r="J52" s="16">
        <f>0.13*J51</f>
        <v>11.440000000000001</v>
      </c>
      <c r="K52" s="19"/>
    </row>
    <row r="53" spans="1:11" x14ac:dyDescent="0.25">
      <c r="A53" s="17"/>
      <c r="B53" s="18"/>
      <c r="C53" s="19"/>
      <c r="D53" s="19"/>
      <c r="E53" s="19"/>
      <c r="F53" s="19"/>
      <c r="G53" s="19"/>
      <c r="H53" s="19"/>
      <c r="I53" s="19"/>
      <c r="J53" s="16"/>
      <c r="K53" s="19"/>
    </row>
    <row r="54" spans="1:11" x14ac:dyDescent="0.25">
      <c r="A54" s="17">
        <v>12</v>
      </c>
      <c r="B54" s="18" t="s">
        <v>64</v>
      </c>
      <c r="C54" s="19">
        <v>4</v>
      </c>
      <c r="D54" s="20"/>
      <c r="E54" s="19"/>
      <c r="F54" s="19"/>
      <c r="G54" s="20">
        <f>PRODUCT(C54:F54)</f>
        <v>4</v>
      </c>
      <c r="H54" s="19"/>
      <c r="I54" s="38"/>
      <c r="J54" s="38"/>
      <c r="K54" s="19"/>
    </row>
    <row r="55" spans="1:11" ht="15" customHeight="1" x14ac:dyDescent="0.25">
      <c r="A55" s="11"/>
      <c r="B55" s="12" t="s">
        <v>16</v>
      </c>
      <c r="C55" s="13"/>
      <c r="D55" s="1"/>
      <c r="E55" s="14"/>
      <c r="F55" s="14"/>
      <c r="G55" s="2">
        <f>SUM(G54:G54)</f>
        <v>4</v>
      </c>
      <c r="H55" s="15" t="s">
        <v>46</v>
      </c>
      <c r="I55" s="2">
        <v>113</v>
      </c>
      <c r="J55" s="16">
        <f>G55*I55</f>
        <v>452</v>
      </c>
      <c r="K55" s="14"/>
    </row>
    <row r="56" spans="1:11" x14ac:dyDescent="0.25">
      <c r="A56" s="17"/>
      <c r="B56" s="18" t="s">
        <v>35</v>
      </c>
      <c r="C56" s="19"/>
      <c r="D56" s="19"/>
      <c r="E56" s="19"/>
      <c r="F56" s="19"/>
      <c r="G56" s="19"/>
      <c r="H56" s="19"/>
      <c r="I56" s="19"/>
      <c r="J56" s="16">
        <f>0.13*J55</f>
        <v>58.760000000000005</v>
      </c>
      <c r="K56" s="19"/>
    </row>
    <row r="57" spans="1:11" x14ac:dyDescent="0.25">
      <c r="A57" s="17"/>
      <c r="B57" s="18"/>
      <c r="C57" s="19"/>
      <c r="D57" s="19"/>
      <c r="E57" s="19"/>
      <c r="F57" s="19"/>
      <c r="G57" s="19"/>
      <c r="H57" s="19"/>
      <c r="I57" s="19"/>
      <c r="J57" s="16"/>
      <c r="K57" s="19"/>
    </row>
    <row r="58" spans="1:11" x14ac:dyDescent="0.25">
      <c r="A58" s="17">
        <v>13</v>
      </c>
      <c r="B58" s="18" t="s">
        <v>45</v>
      </c>
      <c r="C58" s="19">
        <v>4</v>
      </c>
      <c r="D58" s="20"/>
      <c r="E58" s="19"/>
      <c r="F58" s="19"/>
      <c r="G58" s="20">
        <f>PRODUCT(C58:F58)</f>
        <v>4</v>
      </c>
      <c r="H58" s="19"/>
      <c r="I58" s="38"/>
      <c r="J58" s="38"/>
      <c r="K58" s="19"/>
    </row>
    <row r="59" spans="1:11" ht="15" customHeight="1" x14ac:dyDescent="0.25">
      <c r="A59" s="11"/>
      <c r="B59" s="12" t="s">
        <v>16</v>
      </c>
      <c r="C59" s="13"/>
      <c r="D59" s="1"/>
      <c r="E59" s="14"/>
      <c r="F59" s="14"/>
      <c r="G59" s="2">
        <f>SUM(G58:G58)</f>
        <v>4</v>
      </c>
      <c r="H59" s="15" t="s">
        <v>46</v>
      </c>
      <c r="I59" s="2">
        <v>153</v>
      </c>
      <c r="J59" s="16">
        <f>G59*I59</f>
        <v>612</v>
      </c>
      <c r="K59" s="14"/>
    </row>
    <row r="60" spans="1:11" x14ac:dyDescent="0.25">
      <c r="A60" s="17"/>
      <c r="B60" s="18" t="s">
        <v>35</v>
      </c>
      <c r="C60" s="19"/>
      <c r="D60" s="19"/>
      <c r="E60" s="19"/>
      <c r="F60" s="19"/>
      <c r="G60" s="19"/>
      <c r="H60" s="19"/>
      <c r="I60" s="19"/>
      <c r="J60" s="16">
        <f>0.13*J59</f>
        <v>79.56</v>
      </c>
      <c r="K60" s="19"/>
    </row>
    <row r="61" spans="1:11" x14ac:dyDescent="0.25">
      <c r="A61" s="17"/>
      <c r="B61" s="18"/>
      <c r="C61" s="19"/>
      <c r="D61" s="19"/>
      <c r="E61" s="19"/>
      <c r="F61" s="19"/>
      <c r="G61" s="19"/>
      <c r="H61" s="19"/>
      <c r="I61" s="19"/>
      <c r="J61" s="16"/>
      <c r="K61" s="19"/>
    </row>
    <row r="62" spans="1:11" x14ac:dyDescent="0.25">
      <c r="A62" s="17">
        <v>14</v>
      </c>
      <c r="B62" s="18" t="s">
        <v>65</v>
      </c>
      <c r="C62" s="19">
        <v>1</v>
      </c>
      <c r="D62" s="20">
        <v>5000</v>
      </c>
      <c r="E62" s="19"/>
      <c r="F62" s="19"/>
      <c r="G62" s="20">
        <f t="shared" si="2"/>
        <v>5000</v>
      </c>
      <c r="H62" s="19"/>
      <c r="I62" s="38"/>
      <c r="J62" s="38"/>
      <c r="K62" s="19"/>
    </row>
    <row r="63" spans="1:11" ht="15" customHeight="1" x14ac:dyDescent="0.25">
      <c r="A63" s="11"/>
      <c r="B63" s="12" t="s">
        <v>16</v>
      </c>
      <c r="C63" s="13"/>
      <c r="D63" s="1"/>
      <c r="E63" s="14"/>
      <c r="F63" s="14"/>
      <c r="G63" s="2">
        <f>SUM(G62:G62)</f>
        <v>5000</v>
      </c>
      <c r="H63" s="15" t="s">
        <v>66</v>
      </c>
      <c r="I63" s="2">
        <v>10</v>
      </c>
      <c r="J63" s="16">
        <f>G63*I63</f>
        <v>50000</v>
      </c>
      <c r="K63" s="14"/>
    </row>
    <row r="64" spans="1:11" x14ac:dyDescent="0.25">
      <c r="A64" s="17"/>
      <c r="B64" s="18" t="s">
        <v>35</v>
      </c>
      <c r="C64" s="19"/>
      <c r="D64" s="19"/>
      <c r="E64" s="19"/>
      <c r="F64" s="19"/>
      <c r="G64" s="19"/>
      <c r="H64" s="19"/>
      <c r="I64" s="19"/>
      <c r="J64" s="16">
        <f>0.13*J63</f>
        <v>6500</v>
      </c>
      <c r="K64" s="19"/>
    </row>
    <row r="65" spans="1:25" x14ac:dyDescent="0.25">
      <c r="A65" s="17"/>
      <c r="B65" s="18"/>
      <c r="C65" s="19"/>
      <c r="D65" s="19"/>
      <c r="E65" s="19"/>
      <c r="F65" s="19"/>
      <c r="G65" s="19"/>
      <c r="H65" s="19"/>
      <c r="I65" s="19"/>
      <c r="J65" s="16"/>
      <c r="K65" s="19"/>
    </row>
    <row r="66" spans="1:25" ht="30" x14ac:dyDescent="0.25">
      <c r="A66" s="17">
        <v>15</v>
      </c>
      <c r="B66" s="42" t="s">
        <v>67</v>
      </c>
      <c r="C66" s="19">
        <v>1</v>
      </c>
      <c r="D66" s="20"/>
      <c r="E66" s="19"/>
      <c r="F66" s="19"/>
      <c r="G66" s="20">
        <f t="shared" si="2"/>
        <v>1</v>
      </c>
      <c r="H66" s="19" t="s">
        <v>46</v>
      </c>
      <c r="I66" s="38"/>
      <c r="J66" s="38"/>
      <c r="K66" s="19"/>
    </row>
    <row r="67" spans="1:25" ht="15" customHeight="1" x14ac:dyDescent="0.25">
      <c r="A67" s="11"/>
      <c r="B67" s="12" t="s">
        <v>16</v>
      </c>
      <c r="C67" s="13"/>
      <c r="D67" s="1"/>
      <c r="E67" s="14"/>
      <c r="F67" s="14"/>
      <c r="G67" s="2">
        <f>SUM(G66:G66)</f>
        <v>1</v>
      </c>
      <c r="H67" s="15" t="s">
        <v>46</v>
      </c>
      <c r="I67" s="2">
        <v>2000</v>
      </c>
      <c r="J67" s="16">
        <f>G67*I67</f>
        <v>2000</v>
      </c>
      <c r="K67" s="14"/>
    </row>
    <row r="68" spans="1:25" ht="15" customHeight="1" x14ac:dyDescent="0.25">
      <c r="A68" s="11"/>
      <c r="B68" s="12"/>
      <c r="C68" s="13"/>
      <c r="D68" s="1"/>
      <c r="E68" s="14"/>
      <c r="F68" s="14"/>
      <c r="G68" s="2"/>
      <c r="H68" s="15"/>
      <c r="I68" s="2"/>
      <c r="J68" s="16"/>
      <c r="K68" s="14"/>
    </row>
    <row r="69" spans="1:25" x14ac:dyDescent="0.25">
      <c r="A69" s="17">
        <v>16</v>
      </c>
      <c r="B69" s="18" t="s">
        <v>68</v>
      </c>
      <c r="C69" s="19">
        <v>2</v>
      </c>
      <c r="D69" s="20"/>
      <c r="E69" s="19"/>
      <c r="F69" s="19"/>
      <c r="G69" s="20">
        <f>PRODUCT(C69:F69)</f>
        <v>2</v>
      </c>
      <c r="H69" s="19"/>
      <c r="I69" s="38"/>
      <c r="J69" s="38"/>
      <c r="K69" s="19"/>
    </row>
    <row r="70" spans="1:25" ht="15" customHeight="1" x14ac:dyDescent="0.25">
      <c r="A70" s="11"/>
      <c r="B70" s="12" t="s">
        <v>16</v>
      </c>
      <c r="C70" s="13"/>
      <c r="D70" s="1"/>
      <c r="E70" s="14"/>
      <c r="F70" s="14"/>
      <c r="G70" s="2">
        <f>SUM(G69:G69)</f>
        <v>2</v>
      </c>
      <c r="H70" s="15" t="s">
        <v>46</v>
      </c>
      <c r="I70" s="2">
        <v>514</v>
      </c>
      <c r="J70" s="16">
        <f>G70*I70</f>
        <v>1028</v>
      </c>
      <c r="K70" s="14"/>
    </row>
    <row r="71" spans="1:25" x14ac:dyDescent="0.25">
      <c r="A71" s="17"/>
      <c r="B71" s="18" t="s">
        <v>35</v>
      </c>
      <c r="C71" s="19"/>
      <c r="D71" s="19"/>
      <c r="E71" s="19"/>
      <c r="F71" s="19"/>
      <c r="G71" s="19"/>
      <c r="H71" s="19"/>
      <c r="I71" s="19"/>
      <c r="J71" s="16">
        <f>0.13*J70</f>
        <v>133.64000000000001</v>
      </c>
      <c r="K71" s="19"/>
    </row>
    <row r="72" spans="1:25" x14ac:dyDescent="0.25">
      <c r="A72" s="17"/>
      <c r="B72" s="18"/>
      <c r="C72" s="19"/>
      <c r="D72" s="19"/>
      <c r="E72" s="19"/>
      <c r="F72" s="19"/>
      <c r="G72" s="19"/>
      <c r="H72" s="19"/>
      <c r="I72" s="19"/>
      <c r="J72" s="16"/>
      <c r="K72" s="19"/>
    </row>
    <row r="73" spans="1:25" x14ac:dyDescent="0.25">
      <c r="A73" s="17">
        <v>17</v>
      </c>
      <c r="B73" s="18" t="s">
        <v>69</v>
      </c>
      <c r="C73" s="19">
        <v>2</v>
      </c>
      <c r="D73" s="20"/>
      <c r="E73" s="19"/>
      <c r="F73" s="19"/>
      <c r="G73" s="20">
        <f>PRODUCT(C73:F73)</f>
        <v>2</v>
      </c>
      <c r="H73" s="19"/>
      <c r="I73" s="38"/>
      <c r="J73" s="38"/>
      <c r="K73" s="19"/>
    </row>
    <row r="74" spans="1:25" ht="15" customHeight="1" x14ac:dyDescent="0.25">
      <c r="A74" s="11"/>
      <c r="B74" s="12" t="s">
        <v>16</v>
      </c>
      <c r="C74" s="13"/>
      <c r="D74" s="1"/>
      <c r="E74" s="14"/>
      <c r="F74" s="14"/>
      <c r="G74" s="2">
        <f>SUM(G73:G73)</f>
        <v>2</v>
      </c>
      <c r="H74" s="15" t="s">
        <v>46</v>
      </c>
      <c r="I74" s="2">
        <v>154</v>
      </c>
      <c r="J74" s="16">
        <f>G74*I74</f>
        <v>308</v>
      </c>
      <c r="K74" s="14"/>
    </row>
    <row r="75" spans="1:25" x14ac:dyDescent="0.25">
      <c r="A75" s="17"/>
      <c r="B75" s="18" t="s">
        <v>35</v>
      </c>
      <c r="C75" s="19"/>
      <c r="D75" s="19"/>
      <c r="E75" s="19"/>
      <c r="F75" s="19"/>
      <c r="G75" s="19"/>
      <c r="H75" s="19"/>
      <c r="I75" s="19"/>
      <c r="J75" s="16">
        <f>0.13*J74</f>
        <v>40.04</v>
      </c>
      <c r="K75" s="19"/>
    </row>
    <row r="76" spans="1:25" x14ac:dyDescent="0.25">
      <c r="A76" s="17"/>
      <c r="B76" s="18"/>
      <c r="C76" s="19"/>
      <c r="D76" s="19"/>
      <c r="E76" s="19"/>
      <c r="F76" s="19"/>
      <c r="G76" s="19"/>
      <c r="H76" s="19"/>
      <c r="I76" s="19"/>
      <c r="J76" s="16"/>
      <c r="K76" s="19"/>
    </row>
    <row r="77" spans="1:25" x14ac:dyDescent="0.25">
      <c r="A77" s="17">
        <v>18</v>
      </c>
      <c r="B77" s="18" t="s">
        <v>70</v>
      </c>
      <c r="C77" s="19">
        <v>2</v>
      </c>
      <c r="D77" s="20"/>
      <c r="E77" s="19"/>
      <c r="F77" s="19"/>
      <c r="G77" s="20">
        <f>PRODUCT(C77:F77)</f>
        <v>2</v>
      </c>
      <c r="H77" s="19"/>
      <c r="I77" s="38"/>
      <c r="J77" s="38"/>
      <c r="K77" s="19"/>
    </row>
    <row r="78" spans="1:25" ht="15" customHeight="1" x14ac:dyDescent="0.25">
      <c r="A78" s="11"/>
      <c r="B78" s="12" t="s">
        <v>16</v>
      </c>
      <c r="C78" s="13"/>
      <c r="D78" s="1"/>
      <c r="E78" s="14"/>
      <c r="F78" s="14"/>
      <c r="G78" s="2">
        <f>SUM(G77:G77)</f>
        <v>2</v>
      </c>
      <c r="H78" s="15" t="s">
        <v>46</v>
      </c>
      <c r="I78" s="2">
        <v>66</v>
      </c>
      <c r="J78" s="16">
        <f>G78*I78</f>
        <v>132</v>
      </c>
      <c r="K78" s="14"/>
    </row>
    <row r="79" spans="1:25" x14ac:dyDescent="0.25">
      <c r="A79" s="17"/>
      <c r="B79" s="18" t="s">
        <v>35</v>
      </c>
      <c r="C79" s="19"/>
      <c r="D79" s="19"/>
      <c r="E79" s="19"/>
      <c r="F79" s="19"/>
      <c r="G79" s="19"/>
      <c r="H79" s="19"/>
      <c r="I79" s="19"/>
      <c r="J79" s="16">
        <f>0.13*J78</f>
        <v>17.16</v>
      </c>
      <c r="K79" s="19"/>
    </row>
    <row r="80" spans="1:25" ht="15.75" x14ac:dyDescent="0.25">
      <c r="A80" s="5"/>
      <c r="B80" s="6"/>
      <c r="C80" s="5"/>
      <c r="D80" s="7"/>
      <c r="E80" s="7"/>
      <c r="F80" s="7"/>
      <c r="G80" s="7"/>
      <c r="H80" s="5"/>
      <c r="I80" s="7"/>
      <c r="J80" s="7"/>
      <c r="K80" s="8"/>
      <c r="M80" s="10"/>
      <c r="N80" s="10"/>
      <c r="O80" s="10"/>
      <c r="P80" s="10"/>
      <c r="Q80" s="10"/>
      <c r="R80" s="10"/>
      <c r="S80" s="10"/>
      <c r="T80" s="10"/>
      <c r="U80" s="10"/>
      <c r="V80" s="10"/>
      <c r="W80" s="10"/>
      <c r="X80" s="10"/>
      <c r="Y80" s="10"/>
    </row>
    <row r="81" spans="1:25" ht="15.75" x14ac:dyDescent="0.25">
      <c r="A81" s="5" t="s">
        <v>40</v>
      </c>
      <c r="B81" s="6" t="s">
        <v>39</v>
      </c>
      <c r="C81" s="5"/>
      <c r="D81" s="7"/>
      <c r="E81" s="7"/>
      <c r="F81" s="7"/>
      <c r="G81" s="7"/>
      <c r="H81" s="5"/>
      <c r="I81" s="7"/>
      <c r="J81" s="7"/>
      <c r="K81" s="8"/>
    </row>
    <row r="82" spans="1:25" ht="168" x14ac:dyDescent="0.25">
      <c r="A82" s="17">
        <v>19</v>
      </c>
      <c r="B82" s="36" t="s">
        <v>42</v>
      </c>
      <c r="C82" s="19"/>
      <c r="D82" s="19"/>
      <c r="E82" s="19"/>
      <c r="F82" s="19"/>
      <c r="G82" s="19"/>
      <c r="H82" s="19"/>
      <c r="I82" s="19"/>
      <c r="J82" s="16"/>
      <c r="K82" s="19"/>
      <c r="M82" s="10"/>
      <c r="N82" s="10"/>
      <c r="O82" s="10"/>
      <c r="P82" s="10"/>
      <c r="Q82" s="10"/>
      <c r="R82" s="10"/>
      <c r="S82" s="10"/>
      <c r="T82" s="10"/>
      <c r="U82" s="10"/>
      <c r="V82" s="10"/>
      <c r="W82" s="10"/>
      <c r="X82" s="10"/>
      <c r="Y82" s="10"/>
    </row>
    <row r="83" spans="1:25" x14ac:dyDescent="0.25">
      <c r="A83" s="17"/>
      <c r="B83" s="18" t="s">
        <v>36</v>
      </c>
      <c r="C83" s="19">
        <v>1</v>
      </c>
      <c r="D83" s="20">
        <f>200*75%</f>
        <v>150</v>
      </c>
      <c r="E83" s="19">
        <v>0.15</v>
      </c>
      <c r="F83" s="19">
        <v>0.45</v>
      </c>
      <c r="G83" s="20">
        <f>PRODUCT(C83:F83)</f>
        <v>10.125</v>
      </c>
      <c r="H83" s="19"/>
      <c r="I83" s="19"/>
      <c r="J83" s="16"/>
      <c r="K83" s="19"/>
    </row>
    <row r="84" spans="1:25" x14ac:dyDescent="0.25">
      <c r="A84" s="17"/>
      <c r="B84" s="18"/>
      <c r="C84" s="19">
        <v>1</v>
      </c>
      <c r="D84" s="20">
        <f>600*75%</f>
        <v>450</v>
      </c>
      <c r="E84" s="19">
        <v>0.15</v>
      </c>
      <c r="F84" s="19">
        <v>0.45</v>
      </c>
      <c r="G84" s="20">
        <f>PRODUCT(C84:F84)</f>
        <v>30.375</v>
      </c>
      <c r="H84" s="19"/>
      <c r="I84" s="19"/>
      <c r="J84" s="16"/>
      <c r="K84" s="19"/>
    </row>
    <row r="85" spans="1:25" x14ac:dyDescent="0.25">
      <c r="A85" s="17"/>
      <c r="B85" s="18"/>
      <c r="C85" s="19">
        <v>1</v>
      </c>
      <c r="D85" s="20">
        <f>150*75%</f>
        <v>112.5</v>
      </c>
      <c r="E85" s="19">
        <v>0.15</v>
      </c>
      <c r="F85" s="19">
        <v>0.45</v>
      </c>
      <c r="G85" s="20">
        <f>PRODUCT(C85:F85)</f>
        <v>7.59375</v>
      </c>
      <c r="H85" s="19"/>
      <c r="I85" s="19"/>
      <c r="J85" s="16"/>
      <c r="K85" s="19"/>
    </row>
    <row r="86" spans="1:25" x14ac:dyDescent="0.25">
      <c r="A86" s="17"/>
      <c r="B86" s="18" t="s">
        <v>71</v>
      </c>
      <c r="C86" s="20">
        <f>TRUNC(1/4,0)</f>
        <v>0</v>
      </c>
      <c r="D86" s="20">
        <v>1.8049999999999999</v>
      </c>
      <c r="E86" s="19">
        <v>1.8049999999999999</v>
      </c>
      <c r="F86" s="19">
        <f>PI()</f>
        <v>3.1415926535897931</v>
      </c>
      <c r="G86" s="20">
        <f>PRODUCT(C86:F86)</f>
        <v>0</v>
      </c>
      <c r="H86" s="19"/>
      <c r="I86" s="19"/>
      <c r="J86" s="16"/>
      <c r="K86" s="19"/>
    </row>
    <row r="87" spans="1:25" s="10" customFormat="1" x14ac:dyDescent="0.25">
      <c r="A87" s="11"/>
      <c r="B87" s="37" t="s">
        <v>28</v>
      </c>
      <c r="C87" s="13"/>
      <c r="D87" s="1"/>
      <c r="E87" s="14"/>
      <c r="F87" s="14"/>
      <c r="G87" s="38">
        <f>SUM(G83:G86)</f>
        <v>48.09375</v>
      </c>
      <c r="H87" s="15" t="s">
        <v>29</v>
      </c>
      <c r="I87" s="2">
        <v>748.9</v>
      </c>
      <c r="J87" s="38">
        <f>G87*I87</f>
        <v>36017.409374999996</v>
      </c>
      <c r="K87" s="14"/>
      <c r="M87" s="9"/>
      <c r="N87" s="9"/>
      <c r="O87" s="9"/>
      <c r="P87" s="9"/>
      <c r="Q87" s="9"/>
      <c r="R87" s="9"/>
      <c r="S87" s="9"/>
      <c r="T87" s="9"/>
      <c r="U87" s="9"/>
      <c r="V87" s="9"/>
      <c r="W87" s="9"/>
      <c r="X87" s="9"/>
      <c r="Y87" s="9"/>
    </row>
    <row r="88" spans="1:25" x14ac:dyDescent="0.25">
      <c r="A88" s="17"/>
      <c r="B88" s="18"/>
      <c r="C88" s="19"/>
      <c r="D88" s="19"/>
      <c r="E88" s="19"/>
      <c r="F88" s="19"/>
      <c r="G88" s="19"/>
      <c r="H88" s="19"/>
      <c r="I88" s="19"/>
      <c r="J88" s="16"/>
      <c r="K88" s="19"/>
    </row>
    <row r="89" spans="1:25" ht="30" x14ac:dyDescent="0.25">
      <c r="A89" s="17">
        <v>20</v>
      </c>
      <c r="B89" s="36" t="s">
        <v>57</v>
      </c>
      <c r="C89" s="19"/>
      <c r="D89" s="19"/>
      <c r="E89" s="19"/>
      <c r="F89" s="19"/>
      <c r="G89" s="19"/>
      <c r="H89" s="19"/>
      <c r="I89" s="19"/>
      <c r="J89" s="19"/>
      <c r="K89" s="19"/>
      <c r="M89" s="10"/>
      <c r="N89" s="10"/>
      <c r="O89" s="10"/>
      <c r="P89" s="10"/>
      <c r="Q89" s="10"/>
      <c r="R89" s="10"/>
      <c r="S89" s="10"/>
      <c r="T89" s="10"/>
      <c r="U89" s="10"/>
      <c r="V89" s="10"/>
      <c r="W89" s="10"/>
      <c r="X89" s="10"/>
      <c r="Y89" s="10"/>
    </row>
    <row r="90" spans="1:25" x14ac:dyDescent="0.25">
      <c r="A90" s="17"/>
      <c r="B90" s="18" t="s">
        <v>36</v>
      </c>
      <c r="C90" s="19">
        <v>1</v>
      </c>
      <c r="D90" s="20">
        <f>D83</f>
        <v>150</v>
      </c>
      <c r="E90" s="19"/>
      <c r="F90" s="19"/>
      <c r="G90" s="20">
        <f t="shared" ref="G90" si="8">PRODUCT(C90:F90)</f>
        <v>150</v>
      </c>
      <c r="H90" s="19"/>
      <c r="I90" s="19"/>
      <c r="J90" s="16"/>
      <c r="K90" s="19"/>
    </row>
    <row r="91" spans="1:25" s="10" customFormat="1" x14ac:dyDescent="0.25">
      <c r="A91" s="11"/>
      <c r="B91" s="37" t="s">
        <v>28</v>
      </c>
      <c r="C91" s="13"/>
      <c r="D91" s="1"/>
      <c r="E91" s="14"/>
      <c r="F91" s="14"/>
      <c r="G91" s="38">
        <f>SUM(G90:G90)</f>
        <v>150</v>
      </c>
      <c r="H91" s="15" t="s">
        <v>37</v>
      </c>
      <c r="I91" s="2">
        <f>5319.5/1000</f>
        <v>5.3194999999999997</v>
      </c>
      <c r="J91" s="38">
        <f>G91*I91</f>
        <v>797.92499999999995</v>
      </c>
      <c r="K91" s="14"/>
      <c r="M91" s="9"/>
      <c r="N91" s="9"/>
      <c r="O91" s="9"/>
      <c r="P91" s="9"/>
      <c r="Q91" s="9"/>
      <c r="R91" s="9"/>
      <c r="S91" s="9"/>
      <c r="T91" s="9"/>
      <c r="U91" s="9"/>
      <c r="V91" s="9"/>
      <c r="W91" s="9"/>
      <c r="X91" s="9"/>
      <c r="Y91" s="9"/>
    </row>
    <row r="92" spans="1:25" x14ac:dyDescent="0.25">
      <c r="A92" s="17"/>
      <c r="B92" s="36"/>
      <c r="C92" s="19"/>
      <c r="D92" s="19"/>
      <c r="E92" s="19"/>
      <c r="F92" s="19"/>
      <c r="G92" s="19"/>
      <c r="H92" s="19"/>
      <c r="I92" s="19"/>
      <c r="J92" s="19"/>
      <c r="K92" s="19"/>
      <c r="M92" s="10"/>
      <c r="N92" s="10"/>
      <c r="O92" s="10"/>
      <c r="P92" s="10"/>
      <c r="Q92" s="10"/>
      <c r="R92" s="10"/>
      <c r="S92" s="10"/>
      <c r="T92" s="10"/>
      <c r="U92" s="10"/>
      <c r="V92" s="10"/>
      <c r="W92" s="10"/>
      <c r="X92" s="10"/>
      <c r="Y92" s="10"/>
    </row>
    <row r="93" spans="1:25" ht="30" x14ac:dyDescent="0.25">
      <c r="A93" s="17">
        <v>21</v>
      </c>
      <c r="B93" s="36" t="s">
        <v>43</v>
      </c>
      <c r="C93" s="19"/>
      <c r="D93" s="19"/>
      <c r="E93" s="19"/>
      <c r="F93" s="19"/>
      <c r="G93" s="19"/>
      <c r="H93" s="19"/>
      <c r="I93" s="19"/>
      <c r="J93" s="19"/>
      <c r="K93" s="19"/>
      <c r="M93" s="10"/>
      <c r="N93" s="10"/>
      <c r="O93" s="10"/>
      <c r="P93" s="10"/>
      <c r="Q93" s="10"/>
      <c r="R93" s="10"/>
      <c r="S93" s="10"/>
      <c r="T93" s="10"/>
      <c r="U93" s="10"/>
      <c r="V93" s="10"/>
      <c r="W93" s="10"/>
      <c r="X93" s="10"/>
      <c r="Y93" s="10"/>
    </row>
    <row r="94" spans="1:25" x14ac:dyDescent="0.25">
      <c r="A94" s="17"/>
      <c r="B94" s="18" t="s">
        <v>59</v>
      </c>
      <c r="C94" s="19">
        <v>1</v>
      </c>
      <c r="D94" s="20">
        <v>600</v>
      </c>
      <c r="E94" s="19"/>
      <c r="F94" s="19"/>
      <c r="G94" s="20">
        <f t="shared" ref="G94" si="9">PRODUCT(C94:F94)</f>
        <v>600</v>
      </c>
      <c r="H94" s="19"/>
      <c r="I94" s="19"/>
      <c r="J94" s="16"/>
      <c r="K94" s="19"/>
    </row>
    <row r="95" spans="1:25" x14ac:dyDescent="0.25">
      <c r="A95" s="17"/>
      <c r="B95" s="18" t="s">
        <v>60</v>
      </c>
      <c r="C95" s="19">
        <v>1</v>
      </c>
      <c r="D95" s="20">
        <v>150</v>
      </c>
      <c r="E95" s="19"/>
      <c r="F95" s="19"/>
      <c r="G95" s="20">
        <f t="shared" ref="G95" si="10">PRODUCT(C95:F95)</f>
        <v>150</v>
      </c>
      <c r="H95" s="19"/>
      <c r="I95" s="19"/>
      <c r="J95" s="16"/>
      <c r="K95" s="19"/>
    </row>
    <row r="96" spans="1:25" s="10" customFormat="1" x14ac:dyDescent="0.25">
      <c r="A96" s="11"/>
      <c r="B96" s="37" t="s">
        <v>28</v>
      </c>
      <c r="C96" s="13"/>
      <c r="D96" s="1"/>
      <c r="E96" s="14"/>
      <c r="F96" s="14"/>
      <c r="G96" s="38">
        <f>SUM(G94:G95)</f>
        <v>750</v>
      </c>
      <c r="H96" s="15" t="s">
        <v>37</v>
      </c>
      <c r="I96" s="2">
        <f>4308.15/1000</f>
        <v>4.3081499999999995</v>
      </c>
      <c r="J96" s="38">
        <f>G96*I96</f>
        <v>3231.1124999999997</v>
      </c>
      <c r="K96" s="14"/>
      <c r="M96" s="9"/>
      <c r="N96" s="9"/>
      <c r="O96" s="9"/>
      <c r="P96" s="9"/>
      <c r="Q96" s="9"/>
      <c r="R96" s="9"/>
      <c r="S96" s="9"/>
      <c r="T96" s="9"/>
      <c r="U96" s="9"/>
      <c r="V96" s="9"/>
      <c r="W96" s="9"/>
      <c r="X96" s="9"/>
      <c r="Y96" s="9"/>
    </row>
    <row r="97" spans="1:25" x14ac:dyDescent="0.25">
      <c r="A97" s="17"/>
      <c r="B97" s="36"/>
      <c r="C97" s="19"/>
      <c r="D97" s="19"/>
      <c r="E97" s="19"/>
      <c r="F97" s="19"/>
      <c r="G97" s="19"/>
      <c r="H97" s="19"/>
      <c r="I97" s="19"/>
      <c r="J97" s="19"/>
      <c r="K97" s="19"/>
      <c r="M97" s="10"/>
      <c r="N97" s="10"/>
      <c r="O97" s="10"/>
      <c r="P97" s="10"/>
      <c r="Q97" s="10"/>
      <c r="R97" s="10"/>
      <c r="S97" s="10"/>
      <c r="T97" s="10"/>
      <c r="U97" s="10"/>
      <c r="V97" s="10"/>
      <c r="W97" s="10"/>
      <c r="X97" s="10"/>
      <c r="Y97" s="10"/>
    </row>
    <row r="98" spans="1:25" ht="45" x14ac:dyDescent="0.25">
      <c r="A98" s="17">
        <v>22</v>
      </c>
      <c r="B98" s="39" t="s">
        <v>30</v>
      </c>
      <c r="C98" s="19"/>
      <c r="D98" s="21" t="s">
        <v>27</v>
      </c>
      <c r="E98" s="21" t="s">
        <v>31</v>
      </c>
      <c r="F98" s="21" t="s">
        <v>32</v>
      </c>
      <c r="G98" s="19"/>
      <c r="H98" s="19"/>
      <c r="I98" s="19"/>
      <c r="J98" s="16"/>
      <c r="K98" s="19"/>
    </row>
    <row r="99" spans="1:25" s="10" customFormat="1" x14ac:dyDescent="0.25">
      <c r="A99" s="17"/>
      <c r="B99" s="40" t="s">
        <v>56</v>
      </c>
      <c r="C99" s="22">
        <f>C90</f>
        <v>1</v>
      </c>
      <c r="D99" s="31">
        <f>D90</f>
        <v>150</v>
      </c>
      <c r="E99" s="22">
        <v>0.13500000000000001</v>
      </c>
      <c r="F99" s="22">
        <f>C99*D99*E99</f>
        <v>20.25</v>
      </c>
      <c r="G99" s="31">
        <f>F99</f>
        <v>20.25</v>
      </c>
      <c r="H99" s="22"/>
      <c r="I99" s="22"/>
      <c r="J99" s="15"/>
      <c r="K99" s="22"/>
      <c r="M99" s="9"/>
      <c r="N99" s="9"/>
      <c r="O99" s="9"/>
      <c r="P99" s="9"/>
      <c r="Q99" s="9"/>
      <c r="R99" s="9"/>
      <c r="S99" s="9"/>
      <c r="T99" s="9"/>
      <c r="U99" s="9"/>
      <c r="V99" s="9"/>
      <c r="W99" s="9"/>
      <c r="X99" s="9"/>
      <c r="Y99" s="9"/>
    </row>
    <row r="100" spans="1:25" s="10" customFormat="1" x14ac:dyDescent="0.25">
      <c r="A100" s="17"/>
      <c r="B100" s="40" t="s">
        <v>58</v>
      </c>
      <c r="C100" s="22">
        <v>1</v>
      </c>
      <c r="D100" s="31">
        <f>D94</f>
        <v>600</v>
      </c>
      <c r="E100" s="22">
        <v>0.20799999999999999</v>
      </c>
      <c r="F100" s="22">
        <f>C100*D100*E100</f>
        <v>124.8</v>
      </c>
      <c r="G100" s="31">
        <f>F100</f>
        <v>124.8</v>
      </c>
      <c r="H100" s="22"/>
      <c r="I100" s="22"/>
      <c r="J100" s="15"/>
      <c r="K100" s="22"/>
      <c r="M100" s="9"/>
      <c r="N100" s="9"/>
      <c r="O100" s="9"/>
      <c r="P100" s="9"/>
      <c r="Q100" s="9"/>
      <c r="R100" s="9"/>
      <c r="S100" s="9"/>
      <c r="T100" s="9"/>
      <c r="U100" s="9"/>
      <c r="V100" s="9"/>
      <c r="W100" s="9"/>
      <c r="X100" s="9"/>
      <c r="Y100" s="9"/>
    </row>
    <row r="101" spans="1:25" s="10" customFormat="1" x14ac:dyDescent="0.25">
      <c r="A101" s="17"/>
      <c r="B101" s="40" t="s">
        <v>44</v>
      </c>
      <c r="C101" s="22">
        <v>1</v>
      </c>
      <c r="D101" s="31">
        <f>D95</f>
        <v>150</v>
      </c>
      <c r="E101" s="22">
        <v>0.13500000000000001</v>
      </c>
      <c r="F101" s="22">
        <f>C101*D101*E101</f>
        <v>20.25</v>
      </c>
      <c r="G101" s="31">
        <f>F101</f>
        <v>20.25</v>
      </c>
      <c r="H101" s="22"/>
      <c r="I101" s="22"/>
      <c r="J101" s="15"/>
      <c r="K101" s="22"/>
      <c r="M101" s="9"/>
      <c r="N101" s="9"/>
      <c r="O101" s="9"/>
      <c r="P101" s="9"/>
      <c r="Q101" s="9"/>
      <c r="R101" s="9"/>
      <c r="S101" s="9"/>
      <c r="T101" s="9"/>
      <c r="U101" s="9"/>
      <c r="V101" s="9"/>
      <c r="W101" s="9"/>
      <c r="X101" s="9"/>
      <c r="Y101" s="9"/>
    </row>
    <row r="102" spans="1:25" ht="15" customHeight="1" x14ac:dyDescent="0.25">
      <c r="A102" s="11"/>
      <c r="B102" s="12" t="s">
        <v>16</v>
      </c>
      <c r="C102" s="13"/>
      <c r="D102" s="1"/>
      <c r="E102" s="14"/>
      <c r="F102" s="14"/>
      <c r="G102" s="2">
        <f>SUM(G99:G101)</f>
        <v>165.3</v>
      </c>
      <c r="H102" s="15" t="s">
        <v>33</v>
      </c>
      <c r="I102" s="2">
        <v>287</v>
      </c>
      <c r="J102" s="16">
        <f>G102*I102</f>
        <v>47441.100000000006</v>
      </c>
      <c r="K102" s="14"/>
    </row>
    <row r="103" spans="1:25" x14ac:dyDescent="0.25">
      <c r="A103" s="17"/>
      <c r="B103" s="18" t="s">
        <v>35</v>
      </c>
      <c r="C103" s="19"/>
      <c r="D103" s="19"/>
      <c r="E103" s="19"/>
      <c r="F103" s="19"/>
      <c r="G103" s="19"/>
      <c r="H103" s="19"/>
      <c r="I103" s="19"/>
      <c r="J103" s="16">
        <f>0.13*J102</f>
        <v>6167.3430000000008</v>
      </c>
      <c r="K103" s="19"/>
    </row>
    <row r="104" spans="1:25" x14ac:dyDescent="0.25">
      <c r="A104" s="17"/>
      <c r="B104" s="19"/>
      <c r="C104" s="19"/>
      <c r="D104" s="19"/>
      <c r="E104" s="19"/>
      <c r="F104" s="19"/>
      <c r="G104" s="19"/>
      <c r="H104" s="19"/>
      <c r="I104" s="19"/>
      <c r="J104" s="19"/>
      <c r="K104" s="19"/>
    </row>
    <row r="105" spans="1:25" ht="15" customHeight="1" x14ac:dyDescent="0.25">
      <c r="A105" s="11">
        <v>23</v>
      </c>
      <c r="B105" s="23" t="s">
        <v>17</v>
      </c>
      <c r="C105" s="13">
        <v>1</v>
      </c>
      <c r="D105" s="1"/>
      <c r="E105" s="14"/>
      <c r="F105" s="14"/>
      <c r="G105" s="15">
        <f t="shared" ref="G105" si="11">PRODUCT(C105:F105)</f>
        <v>1</v>
      </c>
      <c r="H105" s="15" t="s">
        <v>18</v>
      </c>
      <c r="I105" s="2">
        <v>500</v>
      </c>
      <c r="J105" s="15">
        <f>G105*I105</f>
        <v>500</v>
      </c>
      <c r="K105" s="14"/>
    </row>
    <row r="106" spans="1:25" x14ac:dyDescent="0.25">
      <c r="A106" s="11"/>
      <c r="B106" s="24"/>
      <c r="C106" s="13"/>
      <c r="D106" s="1"/>
      <c r="E106" s="14"/>
      <c r="F106" s="14"/>
      <c r="G106" s="2"/>
      <c r="H106" s="15"/>
      <c r="I106" s="2"/>
      <c r="J106" s="16"/>
      <c r="K106" s="14"/>
    </row>
    <row r="107" spans="1:25" x14ac:dyDescent="0.25">
      <c r="A107" s="25"/>
      <c r="B107" s="26" t="s">
        <v>20</v>
      </c>
      <c r="C107" s="27"/>
      <c r="D107" s="28"/>
      <c r="E107" s="28"/>
      <c r="F107" s="28"/>
      <c r="G107" s="16"/>
      <c r="H107" s="16"/>
      <c r="I107" s="16"/>
      <c r="J107" s="16">
        <f>SUM(J10:J105)</f>
        <v>163971.83987500001</v>
      </c>
      <c r="K107" s="29"/>
      <c r="M107" s="10"/>
      <c r="N107" s="10"/>
      <c r="O107" s="10"/>
      <c r="P107" s="10"/>
      <c r="Q107" s="10"/>
      <c r="R107" s="10"/>
      <c r="S107" s="10"/>
      <c r="T107" s="10"/>
      <c r="U107" s="10"/>
      <c r="V107" s="10"/>
      <c r="W107" s="10"/>
      <c r="X107" s="10"/>
      <c r="Y107" s="10"/>
    </row>
    <row r="109" spans="1:25" s="10" customFormat="1" x14ac:dyDescent="0.25">
      <c r="A109" s="30"/>
      <c r="B109" s="22" t="s">
        <v>19</v>
      </c>
      <c r="C109" s="51">
        <f>J107</f>
        <v>163971.83987500001</v>
      </c>
      <c r="D109" s="52"/>
      <c r="E109" s="31">
        <v>100</v>
      </c>
      <c r="F109" s="30"/>
      <c r="G109" s="32"/>
      <c r="H109" s="30"/>
      <c r="I109" s="33"/>
      <c r="J109" s="34"/>
      <c r="K109" s="35"/>
      <c r="M109" s="9"/>
      <c r="N109" s="9"/>
      <c r="O109" s="9"/>
      <c r="P109" s="9"/>
      <c r="Q109" s="9"/>
      <c r="R109" s="9"/>
      <c r="S109" s="9"/>
      <c r="T109" s="9"/>
      <c r="U109" s="9"/>
      <c r="V109" s="9"/>
      <c r="W109" s="9"/>
      <c r="X109" s="9"/>
      <c r="Y109" s="9"/>
    </row>
    <row r="110" spans="1:25" x14ac:dyDescent="0.25">
      <c r="B110" s="22" t="s">
        <v>21</v>
      </c>
      <c r="C110" s="53">
        <v>145000</v>
      </c>
      <c r="D110" s="54"/>
      <c r="E110" s="31"/>
    </row>
    <row r="111" spans="1:25" x14ac:dyDescent="0.25">
      <c r="B111" s="22" t="s">
        <v>22</v>
      </c>
      <c r="C111" s="53">
        <f>C110-C113-C114</f>
        <v>137750</v>
      </c>
      <c r="D111" s="54"/>
      <c r="E111" s="31">
        <f>C111/C109*100</f>
        <v>84.008327347555777</v>
      </c>
    </row>
    <row r="112" spans="1:25" x14ac:dyDescent="0.25">
      <c r="B112" s="22" t="s">
        <v>26</v>
      </c>
      <c r="C112" s="55">
        <f>C109-C111</f>
        <v>26221.839875000005</v>
      </c>
      <c r="D112" s="55"/>
      <c r="E112" s="31">
        <f>100-E111</f>
        <v>15.991672652444223</v>
      </c>
    </row>
    <row r="113" spans="2:5" x14ac:dyDescent="0.25">
      <c r="B113" s="22" t="s">
        <v>23</v>
      </c>
      <c r="C113" s="51">
        <f>C110*0.03</f>
        <v>4350</v>
      </c>
      <c r="D113" s="52"/>
      <c r="E113" s="31">
        <v>3</v>
      </c>
    </row>
    <row r="114" spans="2:5" x14ac:dyDescent="0.25">
      <c r="B114" s="22" t="s">
        <v>24</v>
      </c>
      <c r="C114" s="51">
        <f>C110*0.02</f>
        <v>2900</v>
      </c>
      <c r="D114" s="52"/>
      <c r="E114" s="31">
        <v>2</v>
      </c>
    </row>
  </sheetData>
  <mergeCells count="15">
    <mergeCell ref="C114:D114"/>
    <mergeCell ref="C109:D109"/>
    <mergeCell ref="C110:D110"/>
    <mergeCell ref="C111:D111"/>
    <mergeCell ref="C112:D112"/>
    <mergeCell ref="C113:D113"/>
    <mergeCell ref="A7:F7"/>
    <mergeCell ref="H7:K7"/>
    <mergeCell ref="A1:K1"/>
    <mergeCell ref="A2:K2"/>
    <mergeCell ref="A3:K3"/>
    <mergeCell ref="A4:K4"/>
    <mergeCell ref="A5:K5"/>
    <mergeCell ref="A6:F6"/>
    <mergeCell ref="H6:K6"/>
  </mergeCells>
  <pageMargins left="0.7" right="0.7" top="0.75" bottom="0.75" header="0.3" footer="0.3"/>
  <pageSetup scale="8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estimate</vt:lpstr>
      <vt:lpstr>estimate!Print_Area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2026-03-29T08:59:54Z</dcterms:modified>
</cp:coreProperties>
</file>