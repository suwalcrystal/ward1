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94001EC0-2C95-4359-8CED-E62ADAA07361}"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7" i="13" l="1"/>
  <c r="D158" i="13"/>
  <c r="F158" i="13" s="1"/>
  <c r="G158" i="13" s="1"/>
  <c r="D157" i="13"/>
  <c r="F157" i="13" s="1"/>
  <c r="G157" i="13" s="1"/>
  <c r="C156" i="13"/>
  <c r="I153" i="13"/>
  <c r="G152" i="13"/>
  <c r="G151" i="13"/>
  <c r="G153" i="13" s="1"/>
  <c r="J153" i="13" s="1"/>
  <c r="I148" i="13"/>
  <c r="F143" i="13"/>
  <c r="C143" i="13"/>
  <c r="G143" i="13" s="1"/>
  <c r="D142" i="13"/>
  <c r="G142" i="13" s="1"/>
  <c r="D141" i="13"/>
  <c r="G141" i="13" s="1"/>
  <c r="D140" i="13"/>
  <c r="G134" i="13"/>
  <c r="G135" i="13" s="1"/>
  <c r="J135" i="13" s="1"/>
  <c r="J136" i="13" s="1"/>
  <c r="G130" i="13"/>
  <c r="G131" i="13" s="1"/>
  <c r="J131" i="13" s="1"/>
  <c r="J132" i="13" s="1"/>
  <c r="G126" i="13"/>
  <c r="G127" i="13" s="1"/>
  <c r="J127" i="13" s="1"/>
  <c r="J128" i="13" s="1"/>
  <c r="G162" i="13"/>
  <c r="G163" i="13" s="1"/>
  <c r="J163" i="13" s="1"/>
  <c r="G122" i="13"/>
  <c r="G123" i="13" s="1"/>
  <c r="J123" i="13" s="1"/>
  <c r="J124" i="13" s="1"/>
  <c r="G118" i="13"/>
  <c r="G119" i="13" s="1"/>
  <c r="J119" i="13" s="1"/>
  <c r="J120" i="13" s="1"/>
  <c r="G114" i="13"/>
  <c r="G115" i="13" s="1"/>
  <c r="J115" i="13" s="1"/>
  <c r="J116" i="13" s="1"/>
  <c r="G110" i="13"/>
  <c r="G111" i="13" s="1"/>
  <c r="J111" i="13" s="1"/>
  <c r="J112" i="13" s="1"/>
  <c r="G106" i="13"/>
  <c r="G107" i="13" s="1"/>
  <c r="J107" i="13" s="1"/>
  <c r="J108" i="13" s="1"/>
  <c r="G102" i="13"/>
  <c r="G103" i="13" s="1"/>
  <c r="J103" i="13" s="1"/>
  <c r="J104" i="13" s="1"/>
  <c r="G98" i="13"/>
  <c r="G99" i="13" s="1"/>
  <c r="J99" i="13" s="1"/>
  <c r="J100" i="13" s="1"/>
  <c r="G94" i="13"/>
  <c r="G95" i="13" s="1"/>
  <c r="J95" i="13" s="1"/>
  <c r="J96" i="13" s="1"/>
  <c r="G90" i="13"/>
  <c r="G91" i="13" s="1"/>
  <c r="J91" i="13" s="1"/>
  <c r="J92" i="13" s="1"/>
  <c r="G86" i="13"/>
  <c r="G87" i="13" s="1"/>
  <c r="J87" i="13" s="1"/>
  <c r="J88" i="13" s="1"/>
  <c r="G82" i="13"/>
  <c r="G83" i="13" s="1"/>
  <c r="J83" i="13" s="1"/>
  <c r="J84" i="13" s="1"/>
  <c r="G78" i="13"/>
  <c r="G79" i="13" s="1"/>
  <c r="J79" i="13" s="1"/>
  <c r="J80" i="13" s="1"/>
  <c r="G74" i="13"/>
  <c r="G75" i="13" s="1"/>
  <c r="J75" i="13" s="1"/>
  <c r="J76" i="13" s="1"/>
  <c r="C70" i="13"/>
  <c r="G70" i="13" s="1"/>
  <c r="G71" i="13" s="1"/>
  <c r="J71" i="13" s="1"/>
  <c r="J72" i="13" s="1"/>
  <c r="C10" i="14"/>
  <c r="B10" i="14"/>
  <c r="C62" i="13"/>
  <c r="D62" i="13"/>
  <c r="C61" i="13"/>
  <c r="D61" i="13"/>
  <c r="E62" i="13"/>
  <c r="E43" i="13"/>
  <c r="B35" i="13"/>
  <c r="A10" i="14"/>
  <c r="D64" i="13"/>
  <c r="C63" i="13" s="1"/>
  <c r="B34" i="13"/>
  <c r="F28" i="13"/>
  <c r="F34" i="13" s="1"/>
  <c r="F27" i="13"/>
  <c r="F35" i="13" s="1"/>
  <c r="E64" i="13"/>
  <c r="E63" i="13"/>
  <c r="E61" i="13"/>
  <c r="E59" i="13"/>
  <c r="E60" i="13"/>
  <c r="B52" i="13"/>
  <c r="B63" i="13" s="1"/>
  <c r="F51" i="13"/>
  <c r="F50" i="13"/>
  <c r="E51" i="13"/>
  <c r="E50" i="13"/>
  <c r="F42" i="13"/>
  <c r="F41" i="13"/>
  <c r="B20" i="13"/>
  <c r="C20" i="13"/>
  <c r="C15" i="13"/>
  <c r="B15" i="13"/>
  <c r="B49" i="13" s="1"/>
  <c r="B59" i="13" s="1"/>
  <c r="F11" i="13"/>
  <c r="D147" i="13" l="1"/>
  <c r="G140" i="13"/>
  <c r="G144" i="13" s="1"/>
  <c r="J144" i="13" s="1"/>
  <c r="F62" i="13"/>
  <c r="G62" i="13" s="1"/>
  <c r="F61" i="13"/>
  <c r="G61" i="13" s="1"/>
  <c r="C28" i="13"/>
  <c r="C27" i="13"/>
  <c r="C35" i="13" s="1"/>
  <c r="E36" i="13"/>
  <c r="E52" i="13"/>
  <c r="E20" i="13"/>
  <c r="D51" i="13"/>
  <c r="G51" i="13" s="1"/>
  <c r="C60" i="13"/>
  <c r="E49" i="13"/>
  <c r="D59" i="13"/>
  <c r="E11" i="13"/>
  <c r="E15" i="13"/>
  <c r="D27" i="13"/>
  <c r="D35" i="13" s="1"/>
  <c r="C59" i="13"/>
  <c r="D60" i="13"/>
  <c r="D52" i="13"/>
  <c r="D50" i="13"/>
  <c r="G50" i="13" s="1"/>
  <c r="D49" i="13"/>
  <c r="D43" i="13"/>
  <c r="G43" i="13" s="1"/>
  <c r="D42" i="13"/>
  <c r="G42" i="13" s="1"/>
  <c r="D41" i="13"/>
  <c r="G41" i="13" s="1"/>
  <c r="D20" i="13"/>
  <c r="D63" i="13"/>
  <c r="D11" i="13"/>
  <c r="D15" i="13"/>
  <c r="D36" i="13"/>
  <c r="D28" i="13"/>
  <c r="D34" i="13" s="1"/>
  <c r="I16" i="13"/>
  <c r="D156" i="13" l="1"/>
  <c r="F156" i="13" s="1"/>
  <c r="G156" i="13" s="1"/>
  <c r="G159" i="13" s="1"/>
  <c r="J159" i="13" s="1"/>
  <c r="J160" i="13" s="1"/>
  <c r="G147" i="13"/>
  <c r="G148" i="13" s="1"/>
  <c r="J148" i="13" s="1"/>
  <c r="G35" i="13"/>
  <c r="F59" i="13"/>
  <c r="G59" i="13" s="1"/>
  <c r="G20" i="13"/>
  <c r="G21" i="13" s="1"/>
  <c r="G11" i="13"/>
  <c r="G52" i="13"/>
  <c r="G49" i="13"/>
  <c r="G15" i="13"/>
  <c r="G16" i="13" s="1"/>
  <c r="G27" i="13"/>
  <c r="F63" i="13"/>
  <c r="G63" i="13" s="1"/>
  <c r="C64" i="13"/>
  <c r="F64" i="13" s="1"/>
  <c r="G64" i="13" s="1"/>
  <c r="F60" i="13"/>
  <c r="G60" i="13" s="1"/>
  <c r="C34" i="13"/>
  <c r="G28" i="13"/>
  <c r="I44" i="13"/>
  <c r="I65" i="13"/>
  <c r="G65" i="13" l="1"/>
  <c r="G34" i="13"/>
  <c r="C36" i="13"/>
  <c r="G36" i="13" s="1"/>
  <c r="G44" i="13"/>
  <c r="G53" i="13"/>
  <c r="J65" i="13" l="1"/>
  <c r="J54" i="13"/>
  <c r="J46" i="13"/>
  <c r="J56" i="13" l="1"/>
  <c r="J55" i="13"/>
  <c r="J53" i="13"/>
  <c r="J44" i="13"/>
  <c r="J45" i="13"/>
  <c r="J67" i="13"/>
  <c r="J66" i="13"/>
  <c r="G37" i="13"/>
  <c r="G29" i="13"/>
  <c r="G12" i="13"/>
  <c r="J17" i="13" l="1"/>
  <c r="J16" i="13"/>
  <c r="C174" i="13" l="1"/>
  <c r="C173" i="13"/>
  <c r="G165" i="13"/>
  <c r="J165" i="13" s="1"/>
  <c r="I37" i="13"/>
  <c r="I29" i="13"/>
  <c r="C171" i="13" l="1"/>
  <c r="J12" i="13"/>
  <c r="J24" i="13" l="1"/>
  <c r="J21" i="13"/>
  <c r="J23" i="13"/>
  <c r="J22" i="13"/>
  <c r="J31" i="13" l="1"/>
  <c r="J30" i="13"/>
  <c r="J29" i="13"/>
  <c r="J38" i="13"/>
  <c r="J37" i="13"/>
  <c r="C169" i="13" l="1"/>
  <c r="C172" i="13" s="1"/>
  <c r="E171" i="13" l="1"/>
  <c r="E172" i="13" s="1"/>
</calcChain>
</file>

<file path=xl/sharedStrings.xml><?xml version="1.0" encoding="utf-8"?>
<sst xmlns="http://schemas.openxmlformats.org/spreadsheetml/2006/main" count="197" uniqueCount="109">
  <si>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</si>
  <si>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</si>
  <si>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</si>
  <si>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</si>
  <si>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</si>
  <si>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</si>
  <si>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</si>
  <si>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</si>
  <si>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</si>
  <si>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</si>
  <si>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</si>
  <si>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</si>
  <si>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</si>
  <si>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</si>
  <si>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</si>
  <si>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</si>
  <si>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</si>
  <si>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</si>
  <si>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</si>
  <si>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</si>
  <si>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</si>
  <si>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</si>
  <si>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</si>
  <si>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</si>
  <si>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</si>
  <si>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</si>
  <si>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</si>
  <si>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</si>
  <si>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</si>
  <si>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</si>
  <si>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Provisional sum for other unforseen works</t>
  </si>
  <si>
    <t>-13% VAT for sand</t>
  </si>
  <si>
    <t>Plain cement concrete (1:2:4)</t>
  </si>
  <si>
    <t>-13% VAT for cement</t>
  </si>
  <si>
    <t>-13% VAT for aggregate</t>
  </si>
  <si>
    <t>sqm</t>
  </si>
  <si>
    <t>length</t>
  </si>
  <si>
    <t>20mm thick cement plaster (1:6)</t>
  </si>
  <si>
    <t>3 mm thick  cement punning</t>
  </si>
  <si>
    <t>-13% VAT for block stone</t>
  </si>
  <si>
    <t>Date:2082</t>
  </si>
  <si>
    <t>Unit Weight (Kg/m)</t>
  </si>
  <si>
    <t>Total Weight (Kg)</t>
  </si>
  <si>
    <t>-13% VAT for nails</t>
  </si>
  <si>
    <t>Earthwork in Excavation in ordinary soil</t>
  </si>
  <si>
    <t>Plain cement concrete (1:1.5:3)</t>
  </si>
  <si>
    <t>Mild steel reinforcement</t>
  </si>
  <si>
    <t>Kg</t>
  </si>
  <si>
    <t>-13% VAT for MS bars</t>
  </si>
  <si>
    <t>-13% VAT for Bind wire</t>
  </si>
  <si>
    <t>Form work for concrete work</t>
  </si>
  <si>
    <t>-13% VAT for local wood</t>
  </si>
  <si>
    <t>Intake size</t>
  </si>
  <si>
    <t>breadth</t>
  </si>
  <si>
    <t>height</t>
  </si>
  <si>
    <t>wall thickness</t>
  </si>
  <si>
    <t>Dry boulder packing work</t>
  </si>
  <si>
    <t>-for intake 2 cover</t>
  </si>
  <si>
    <t>-for shear wall outer face of intake 2</t>
  </si>
  <si>
    <t>-for shear wall inner face of intake 2</t>
  </si>
  <si>
    <t>- for floor area of intake 2</t>
  </si>
  <si>
    <t>-for intake</t>
  </si>
  <si>
    <t>-for outer face wall of intake</t>
  </si>
  <si>
    <t>-for inner face wall of intake</t>
  </si>
  <si>
    <t>-for shear wall shorter side of intake</t>
  </si>
  <si>
    <t>-for shear wall longer side of intake</t>
  </si>
  <si>
    <t>-for binding shear wall of intake</t>
  </si>
  <si>
    <r>
      <t>Project:-</t>
    </r>
    <r>
      <rPr>
        <sz val="12"/>
        <rFont val="Preeti"/>
      </rPr>
      <t xml:space="preserve"> </t>
    </r>
    <r>
      <rPr>
        <sz val="14"/>
        <rFont val="Preeti"/>
      </rPr>
      <t>nfdf6f]n vfg]kfgL 6\ofª\sL</t>
    </r>
  </si>
  <si>
    <t>A</t>
  </si>
  <si>
    <t>-Fittings for HPDE pipeline maintainance</t>
  </si>
  <si>
    <t>-G.I. Union 20mm</t>
  </si>
  <si>
    <t>pcs.</t>
  </si>
  <si>
    <t>-13% VAT for material</t>
  </si>
  <si>
    <t>B</t>
  </si>
  <si>
    <t>Pipe works</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</si>
  <si>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</si>
  <si>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sub-total</t>
  </si>
  <si>
    <t>Laying and joining of 20,25 mmØ HDPE pipe with butt-weld joints</t>
  </si>
  <si>
    <t>-for pipe laying</t>
  </si>
  <si>
    <t>rm</t>
  </si>
  <si>
    <t>-High Density Polythene Pipe NS 40 pipe material PE 100, PN 16</t>
  </si>
  <si>
    <t>Weight (Kg/m)</t>
  </si>
  <si>
    <t>Total weight (Kg)</t>
  </si>
  <si>
    <t>-for 20mm pipe laying</t>
  </si>
  <si>
    <t>kg</t>
  </si>
  <si>
    <t>Intake works</t>
  </si>
  <si>
    <t>-G.I. Union 40mm</t>
  </si>
  <si>
    <t>-G.I. Socket 40mm</t>
  </si>
  <si>
    <t>-G.I. Tee 40mm</t>
  </si>
  <si>
    <t>-G.I. elbow 40mm</t>
  </si>
  <si>
    <t>-G.I. nipple medium class- 2" long  40mm</t>
  </si>
  <si>
    <t>-Reducing Socket 32mm(1-1/2")</t>
  </si>
  <si>
    <t>-tank nipple 32mm</t>
  </si>
  <si>
    <t>-G.I. Union 32mm</t>
  </si>
  <si>
    <t>-Reducing Socket 20mm(3/4")</t>
  </si>
  <si>
    <t>-Reducing Socket 15mm(1/2")</t>
  </si>
  <si>
    <t>-G.I. nipple medium class- 2" long  15mm</t>
  </si>
  <si>
    <t>-G.I. Union 15mm</t>
  </si>
  <si>
    <t>-Roof top PVC water tank 5000ltr</t>
  </si>
  <si>
    <t>ltr</t>
  </si>
  <si>
    <t>-Ball Valve 15mm</t>
  </si>
  <si>
    <t>-tank nipple 15mm</t>
  </si>
  <si>
    <t>-G.I. Tee 15mm</t>
  </si>
  <si>
    <t>-base preparation for tank</t>
  </si>
  <si>
    <t>Laying and joining of 32 mmØ HDPE pipe with butt-weld joints</t>
  </si>
  <si>
    <t>-for 25mm dia. pipe laying</t>
  </si>
  <si>
    <t>-for 20mm dia. pipe laying</t>
  </si>
  <si>
    <t>-for 32mm pipe laying</t>
  </si>
  <si>
    <t>-for 25mm pipe laying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</si>
</sst>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sz val="11"/>
      <color rgb="FFFF0000"/>
      <name val="Calibri"/>
      <family val="2"/>
      <scheme val="minor"/>
    </font>
    <font>
      <b/>
      <sz val="14"/>
      <name val="Preeti"/>
    </font>
    <font>
      <sz val="11"/>
      <color rgb="FFFF0000"/>
      <name val="Times New Roman"/>
      <family val="1"/>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4">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4" fillId="0" borderId="0" xfId="0" applyNumberFormat="1" applyFont="1"/>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applyAlignment="1">
      <alignment vertical="center"/>
    </xf>
    <xf numFmtId="0" fontId="9" fillId="0" borderId="2" xfId="0" applyFont="1" applyBorder="1" applyAlignment="1">
      <alignment vertical="center"/>
    </xf>
    <xf numFmtId="0" fontId="4" fillId="0" borderId="2" xfId="0" quotePrefix="1" applyFont="1" applyBorder="1" applyAlignment="1">
      <alignment wrapText="1"/>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0" xfId="0" applyFont="1" applyAlignment="1">
      <alignment wrapText="1"/>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2" fontId="6" fillId="0" borderId="2" xfId="0" applyNumberFormat="1" applyFont="1" applyBorder="1" applyAlignment="1">
      <alignment vertical="center"/>
    </xf>
    <xf numFmtId="0" fontId="4" fillId="0" borderId="2" xfId="0" applyFont="1" applyBorder="1" applyAlignment="1">
      <alignment vertical="center"/>
    </xf>
    <xf numFmtId="0" fontId="4" fillId="0" borderId="2" xfId="0" applyFont="1" applyBorder="1" applyAlignment="1">
      <alignment vertical="center" wrapText="1"/>
    </xf>
    <xf numFmtId="2" fontId="4" fillId="0" borderId="2" xfId="0" applyNumberFormat="1"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wrapText="1"/>
    </xf>
    <xf numFmtId="0" fontId="2" fillId="0" borderId="2" xfId="0" quotePrefix="1" applyFont="1" applyBorder="1" applyAlignment="1">
      <alignment horizontal="righ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14" fillId="0" borderId="2" xfId="0" quotePrefix="1" applyFont="1" applyBorder="1" applyAlignment="1">
      <alignment horizontal="right"/>
    </xf>
    <xf numFmtId="0" fontId="16" fillId="0" borderId="2" xfId="0" quotePrefix="1" applyFont="1" applyBorder="1" applyAlignment="1">
      <alignment horizontal="right" wrapText="1"/>
    </xf>
    <xf numFmtId="0" fontId="14" fillId="0" borderId="2" xfId="0" quotePrefix="1" applyFont="1" applyBorder="1" applyAlignment="1">
      <alignment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74"/>
  <sheetViews>
    <sheetView tabSelected="1" topLeftCell="A158" workbookViewId="0">
      <selection activeCell="C171" sqref="C171:D171"/>
    </sheetView>
  </sheetViews>
  <sheetFormatPr defaultColWidth="9.140625" defaultRowHeight="15" x14ac:dyDescent="0.25"/>
  <cols>
    <col min="1" max="1" width="4.7109375" style="4" customWidth="1"/>
    <col min="2" max="2" width="30.85546875" style="4" customWidth="1"/>
    <col min="3" max="3" width="4.42578125" style="4" bestFit="1" customWidth="1"/>
    <col min="4" max="4" width="8.42578125" style="4" customWidth="1"/>
    <col min="5" max="5" width="8.5703125" style="4" customWidth="1"/>
    <col min="6" max="6" width="7.28515625" style="4" customWidth="1"/>
    <col min="7" max="7" width="9.140625" style="4"/>
    <col min="8" max="8" width="5" style="4" bestFit="1" customWidth="1"/>
    <col min="9" max="9" width="9.5703125" style="4" customWidth="1"/>
    <col min="10" max="10" width="10.7109375" style="4" bestFit="1" customWidth="1"/>
    <col min="11" max="12" width="9.140625" style="4"/>
    <col min="27" max="16384" width="9.140625" style="4"/>
  </cols>
  <sheetData>
    <row r="1" spans="1:27" x14ac:dyDescent="0.25">
      <c r="A1" s="55" t="s">
        <v>0</v>
      </c>
      <c r="B1" s="55"/>
      <c r="C1" s="55"/>
      <c r="D1" s="55"/>
      <c r="E1" s="55"/>
      <c r="F1" s="55"/>
      <c r="G1" s="55"/>
      <c r="H1" s="55"/>
      <c r="I1" s="55"/>
      <c r="J1" s="55"/>
      <c r="K1" s="55"/>
    </row>
    <row r="2" spans="1:27" ht="22.5" x14ac:dyDescent="0.25">
      <c r="A2" s="56" t="s">
        <v>1</v>
      </c>
      <c r="B2" s="56"/>
      <c r="C2" s="56"/>
      <c r="D2" s="56"/>
      <c r="E2" s="56"/>
      <c r="F2" s="56"/>
      <c r="G2" s="56"/>
      <c r="H2" s="56"/>
      <c r="I2" s="56"/>
      <c r="J2" s="56"/>
      <c r="K2" s="56"/>
    </row>
    <row r="3" spans="1:27" x14ac:dyDescent="0.25">
      <c r="A3" s="57" t="s">
        <v>2</v>
      </c>
      <c r="B3" s="57"/>
      <c r="C3" s="57"/>
      <c r="D3" s="57"/>
      <c r="E3" s="57"/>
      <c r="F3" s="57"/>
      <c r="G3" s="57"/>
      <c r="H3" s="57"/>
      <c r="I3" s="57"/>
      <c r="J3" s="57"/>
      <c r="K3" s="57"/>
    </row>
    <row r="4" spans="1:27" x14ac:dyDescent="0.25">
      <c r="A4" s="57" t="s">
        <v>3</v>
      </c>
      <c r="B4" s="57"/>
      <c r="C4" s="57"/>
      <c r="D4" s="57"/>
      <c r="E4" s="57"/>
      <c r="F4" s="57"/>
      <c r="G4" s="57"/>
      <c r="H4" s="57"/>
      <c r="I4" s="57"/>
      <c r="J4" s="57"/>
      <c r="K4" s="57"/>
    </row>
    <row r="5" spans="1:27" ht="18.75" x14ac:dyDescent="0.3">
      <c r="A5" s="58" t="s">
        <v>4</v>
      </c>
      <c r="B5" s="58"/>
      <c r="C5" s="58"/>
      <c r="D5" s="58"/>
      <c r="E5" s="58"/>
      <c r="F5" s="58"/>
      <c r="G5" s="58"/>
      <c r="H5" s="58"/>
      <c r="I5" s="58"/>
      <c r="J5" s="58"/>
      <c r="K5" s="58"/>
    </row>
    <row r="6" spans="1:27" ht="18" x14ac:dyDescent="0.25">
      <c r="A6" s="59" t="s">
        <v>67</v>
      </c>
      <c r="B6" s="59"/>
      <c r="C6" s="59"/>
      <c r="D6" s="59"/>
      <c r="E6" s="59"/>
      <c r="F6" s="59"/>
      <c r="G6" s="5"/>
      <c r="H6" s="60" t="s">
        <v>25</v>
      </c>
      <c r="I6" s="60"/>
      <c r="J6" s="60"/>
      <c r="K6" s="60"/>
    </row>
    <row r="7" spans="1:27" ht="15.75" x14ac:dyDescent="0.25">
      <c r="A7" s="53" t="s">
        <v>29</v>
      </c>
      <c r="B7" s="53"/>
      <c r="C7" s="53"/>
      <c r="D7" s="53"/>
      <c r="E7" s="53"/>
      <c r="F7" s="53"/>
      <c r="G7" s="6"/>
      <c r="H7" s="54" t="s">
        <v>40</v>
      </c>
      <c r="I7" s="54"/>
      <c r="J7" s="54"/>
      <c r="K7" s="54"/>
    </row>
    <row r="8" spans="1:27" ht="15.75" x14ac:dyDescent="0.25">
      <c r="A8" s="7" t="s">
        <v>5</v>
      </c>
      <c r="B8" s="8" t="s">
        <v>6</v>
      </c>
      <c r="C8" s="7" t="s">
        <v>7</v>
      </c>
      <c r="D8" s="9" t="s">
        <v>8</v>
      </c>
      <c r="E8" s="9" t="s">
        <v>9</v>
      </c>
      <c r="F8" s="9" t="s">
        <v>10</v>
      </c>
      <c r="G8" s="9" t="s">
        <v>11</v>
      </c>
      <c r="H8" s="7" t="s">
        <v>12</v>
      </c>
      <c r="I8" s="9" t="s">
        <v>13</v>
      </c>
      <c r="J8" s="9" t="s">
        <v>14</v>
      </c>
      <c r="K8" s="10" t="s">
        <v>15</v>
      </c>
      <c r="AA8" s="11"/>
    </row>
    <row r="9" spans="1:27" x14ac:dyDescent="0.25">
      <c r="A9" s="17" t="s">
        <v>68</v>
      </c>
      <c r="B9" s="13" t="s">
        <v>85</v>
      </c>
      <c r="C9" s="19"/>
      <c r="D9" s="19"/>
      <c r="E9" s="19"/>
      <c r="F9" s="19"/>
      <c r="G9" s="19"/>
      <c r="H9" s="19"/>
      <c r="I9" s="19"/>
      <c r="J9" s="26"/>
      <c r="K9" s="19"/>
      <c r="M9" s="11"/>
      <c r="N9" s="11"/>
      <c r="O9" s="11"/>
      <c r="P9" s="11"/>
      <c r="Q9" s="11"/>
      <c r="R9" s="11"/>
      <c r="S9" s="11"/>
      <c r="T9" s="11"/>
      <c r="U9" s="11"/>
      <c r="V9" s="11"/>
      <c r="W9" s="11"/>
      <c r="X9" s="11"/>
      <c r="Y9" s="11"/>
      <c r="Z9" s="4"/>
    </row>
    <row r="10" spans="1:27" s="11" customFormat="1" ht="30" x14ac:dyDescent="0.25">
      <c r="A10" s="12">
        <v>1</v>
      </c>
      <c r="B10" s="13" t="s">
        <v>44</v>
      </c>
      <c r="C10" s="12"/>
      <c r="D10" s="14"/>
      <c r="E10" s="14"/>
      <c r="F10" s="14"/>
      <c r="G10" s="14"/>
      <c r="H10" s="12"/>
      <c r="I10" s="14"/>
      <c r="J10" s="14"/>
      <c r="K10" s="15"/>
      <c r="AA10" s="4"/>
    </row>
    <row r="11" spans="1:27" x14ac:dyDescent="0.25">
      <c r="A11" s="17"/>
      <c r="B11" s="18" t="s">
        <v>61</v>
      </c>
      <c r="C11" s="19">
        <v>1</v>
      </c>
      <c r="D11" s="20">
        <f>Sheet1!A10</f>
        <v>1.4999999999999998</v>
      </c>
      <c r="E11" s="20">
        <f>Sheet1!B10</f>
        <v>1.4999999999999998</v>
      </c>
      <c r="F11" s="20">
        <f>0.15+0.075+Sheet1!C10</f>
        <v>1.2917479427003959</v>
      </c>
      <c r="G11" s="20">
        <f>PRODUCT(C11:F11)</f>
        <v>2.9064328710758898</v>
      </c>
      <c r="H11" s="19"/>
      <c r="I11" s="19"/>
      <c r="J11" s="19"/>
      <c r="K11" s="19"/>
    </row>
    <row r="12" spans="1:27" ht="15" customHeight="1" x14ac:dyDescent="0.25">
      <c r="A12" s="21"/>
      <c r="B12" s="22" t="s">
        <v>16</v>
      </c>
      <c r="C12" s="23"/>
      <c r="D12" s="1"/>
      <c r="E12" s="24"/>
      <c r="F12" s="24"/>
      <c r="G12" s="2">
        <f>SUM(G11:G11)</f>
        <v>2.9064328710758898</v>
      </c>
      <c r="H12" s="25" t="s">
        <v>28</v>
      </c>
      <c r="I12" s="2">
        <v>963.05</v>
      </c>
      <c r="J12" s="26">
        <f>G12*I12</f>
        <v>2799.0401764896355</v>
      </c>
      <c r="K12" s="24"/>
    </row>
    <row r="13" spans="1:27" ht="15.75" x14ac:dyDescent="0.25">
      <c r="A13" s="7"/>
      <c r="B13" s="8"/>
      <c r="C13" s="7"/>
      <c r="D13" s="9"/>
      <c r="E13" s="9"/>
      <c r="F13" s="9"/>
      <c r="G13" s="9"/>
      <c r="H13" s="7"/>
      <c r="I13" s="9"/>
      <c r="J13" s="9"/>
      <c r="K13" s="10"/>
    </row>
    <row r="14" spans="1:27" x14ac:dyDescent="0.25">
      <c r="A14" s="17">
        <v>2</v>
      </c>
      <c r="B14" s="19" t="s">
        <v>56</v>
      </c>
      <c r="C14" s="19"/>
      <c r="D14" s="19"/>
      <c r="E14" s="19"/>
      <c r="F14" s="19"/>
      <c r="G14" s="19"/>
      <c r="H14" s="19"/>
      <c r="I14" s="19"/>
      <c r="J14" s="19"/>
      <c r="K14" s="19"/>
    </row>
    <row r="15" spans="1:27" x14ac:dyDescent="0.25">
      <c r="A15" s="17"/>
      <c r="B15" s="18" t="str">
        <f>B11</f>
        <v>-for intake</v>
      </c>
      <c r="C15" s="19">
        <f>C11</f>
        <v>1</v>
      </c>
      <c r="D15" s="20">
        <f>Sheet1!A10</f>
        <v>1.4999999999999998</v>
      </c>
      <c r="E15" s="20">
        <f>Sheet1!B10</f>
        <v>1.4999999999999998</v>
      </c>
      <c r="F15" s="19">
        <v>0.15</v>
      </c>
      <c r="G15" s="20">
        <f>PRODUCT(C15:F15)</f>
        <v>0.33749999999999986</v>
      </c>
      <c r="H15" s="19"/>
      <c r="I15" s="19"/>
      <c r="J15" s="19"/>
      <c r="K15" s="19"/>
    </row>
    <row r="16" spans="1:27" ht="15" customHeight="1" x14ac:dyDescent="0.25">
      <c r="A16" s="21"/>
      <c r="B16" s="22" t="s">
        <v>16</v>
      </c>
      <c r="C16" s="23"/>
      <c r="D16" s="1"/>
      <c r="E16" s="24"/>
      <c r="F16" s="24"/>
      <c r="G16" s="2">
        <f>SUM(G15:G15)</f>
        <v>0.33749999999999986</v>
      </c>
      <c r="H16" s="25" t="s">
        <v>28</v>
      </c>
      <c r="I16" s="2">
        <f>4493.69</f>
        <v>4493.6899999999996</v>
      </c>
      <c r="J16" s="26">
        <f>G16*I16</f>
        <v>1516.6203749999993</v>
      </c>
      <c r="K16" s="24"/>
    </row>
    <row r="17" spans="1:11" x14ac:dyDescent="0.25">
      <c r="A17" s="17"/>
      <c r="B17" s="18" t="s">
        <v>39</v>
      </c>
      <c r="C17" s="19"/>
      <c r="D17" s="19"/>
      <c r="E17" s="19"/>
      <c r="F17" s="19"/>
      <c r="G17" s="19"/>
      <c r="H17" s="19"/>
      <c r="I17" s="19"/>
      <c r="J17" s="26">
        <f>0.13*G16*3091.19</f>
        <v>135.62596124999996</v>
      </c>
      <c r="K17" s="19"/>
    </row>
    <row r="18" spans="1:11" x14ac:dyDescent="0.25">
      <c r="A18" s="17"/>
      <c r="B18" s="19"/>
      <c r="C18" s="19"/>
      <c r="D18" s="19"/>
      <c r="E18" s="19"/>
      <c r="F18" s="19"/>
      <c r="G18" s="19"/>
      <c r="H18" s="19"/>
      <c r="I18" s="19"/>
      <c r="J18" s="19"/>
      <c r="K18" s="19"/>
    </row>
    <row r="19" spans="1:11" x14ac:dyDescent="0.25">
      <c r="A19" s="17">
        <v>3</v>
      </c>
      <c r="B19" s="19" t="s">
        <v>32</v>
      </c>
      <c r="C19" s="19"/>
      <c r="D19" s="19"/>
      <c r="E19" s="19"/>
      <c r="F19" s="19"/>
      <c r="G19" s="19"/>
      <c r="H19" s="19"/>
      <c r="I19" s="19"/>
      <c r="J19" s="19"/>
      <c r="K19" s="19"/>
    </row>
    <row r="20" spans="1:11" x14ac:dyDescent="0.25">
      <c r="A20" s="17"/>
      <c r="B20" s="18" t="str">
        <f>B11</f>
        <v>-for intake</v>
      </c>
      <c r="C20" s="19">
        <f>C11</f>
        <v>1</v>
      </c>
      <c r="D20" s="20">
        <f>Sheet1!A10</f>
        <v>1.4999999999999998</v>
      </c>
      <c r="E20" s="20">
        <f>Sheet1!B10</f>
        <v>1.4999999999999998</v>
      </c>
      <c r="F20" s="20">
        <v>0.05</v>
      </c>
      <c r="G20" s="20">
        <f>PRODUCT(C20:F20)</f>
        <v>0.11249999999999996</v>
      </c>
      <c r="H20" s="19"/>
      <c r="I20" s="19"/>
      <c r="J20" s="19"/>
      <c r="K20" s="19"/>
    </row>
    <row r="21" spans="1:11" ht="15" customHeight="1" x14ac:dyDescent="0.25">
      <c r="A21" s="21"/>
      <c r="B21" s="22" t="s">
        <v>16</v>
      </c>
      <c r="C21" s="23"/>
      <c r="D21" s="1"/>
      <c r="E21" s="24"/>
      <c r="F21" s="24"/>
      <c r="G21" s="2">
        <f>SUM(G20:G20)</f>
        <v>0.11249999999999996</v>
      </c>
      <c r="H21" s="25" t="s">
        <v>28</v>
      </c>
      <c r="I21" s="2">
        <v>13343.7</v>
      </c>
      <c r="J21" s="26">
        <f>G21*I21</f>
        <v>1501.1662499999995</v>
      </c>
      <c r="K21" s="24"/>
    </row>
    <row r="22" spans="1:11" x14ac:dyDescent="0.25">
      <c r="A22" s="17"/>
      <c r="B22" s="18" t="s">
        <v>31</v>
      </c>
      <c r="C22" s="19"/>
      <c r="D22" s="19"/>
      <c r="E22" s="19"/>
      <c r="F22" s="19"/>
      <c r="G22" s="19"/>
      <c r="H22" s="19"/>
      <c r="I22" s="19"/>
      <c r="J22" s="26">
        <f>0.13*G21*1413.27</f>
        <v>20.669073749999992</v>
      </c>
      <c r="K22" s="19"/>
    </row>
    <row r="23" spans="1:11" x14ac:dyDescent="0.25">
      <c r="A23" s="17"/>
      <c r="B23" s="18" t="s">
        <v>33</v>
      </c>
      <c r="C23" s="19"/>
      <c r="D23" s="19"/>
      <c r="E23" s="19"/>
      <c r="F23" s="19"/>
      <c r="G23" s="19"/>
      <c r="H23" s="19"/>
      <c r="I23" s="19"/>
      <c r="J23" s="26">
        <f>0.13*G21*4096</f>
        <v>59.903999999999982</v>
      </c>
      <c r="K23" s="19"/>
    </row>
    <row r="24" spans="1:11" x14ac:dyDescent="0.25">
      <c r="A24" s="17"/>
      <c r="B24" s="18" t="s">
        <v>34</v>
      </c>
      <c r="C24" s="19"/>
      <c r="D24" s="19"/>
      <c r="E24" s="19"/>
      <c r="F24" s="19"/>
      <c r="G24" s="19"/>
      <c r="H24" s="19"/>
      <c r="I24" s="19"/>
      <c r="J24" s="26">
        <f>0.13*G21*(368.76+737.51+1743.21)</f>
        <v>41.673644999999986</v>
      </c>
      <c r="K24" s="19"/>
    </row>
    <row r="25" spans="1:11" x14ac:dyDescent="0.25">
      <c r="A25" s="17"/>
      <c r="B25" s="19"/>
      <c r="C25" s="19"/>
      <c r="D25" s="19"/>
      <c r="E25" s="19"/>
      <c r="F25" s="19"/>
      <c r="G25" s="19"/>
      <c r="H25" s="19"/>
      <c r="I25" s="19"/>
      <c r="J25" s="19"/>
      <c r="K25" s="19"/>
    </row>
    <row r="26" spans="1:11" x14ac:dyDescent="0.25">
      <c r="A26" s="17">
        <v>4</v>
      </c>
      <c r="B26" s="27" t="s">
        <v>37</v>
      </c>
      <c r="C26" s="19"/>
      <c r="D26" s="19"/>
      <c r="E26" s="19"/>
      <c r="F26" s="19"/>
      <c r="G26" s="19"/>
      <c r="H26" s="19"/>
      <c r="I26" s="19"/>
      <c r="J26" s="19"/>
      <c r="K26" s="19"/>
    </row>
    <row r="27" spans="1:11" x14ac:dyDescent="0.25">
      <c r="A27" s="17"/>
      <c r="B27" s="18" t="s">
        <v>62</v>
      </c>
      <c r="C27" s="19">
        <f>C20</f>
        <v>1</v>
      </c>
      <c r="D27" s="20">
        <f>Sheet1!A10*2+Sheet1!B10*2</f>
        <v>5.9999999999999991</v>
      </c>
      <c r="E27" s="20"/>
      <c r="F27" s="20">
        <f>Sheet1!C10</f>
        <v>1.0667479427003961</v>
      </c>
      <c r="G27" s="20">
        <f>PRODUCT(C27:F27)</f>
        <v>6.4004876562023751</v>
      </c>
      <c r="H27" s="19"/>
      <c r="I27" s="19"/>
      <c r="J27" s="19"/>
      <c r="K27" s="19"/>
    </row>
    <row r="28" spans="1:11" x14ac:dyDescent="0.25">
      <c r="A28" s="17"/>
      <c r="B28" s="18" t="s">
        <v>63</v>
      </c>
      <c r="C28" s="19">
        <f>C20</f>
        <v>1</v>
      </c>
      <c r="D28" s="20">
        <f>2*(Sheet1!A10-Sheet1!D10-Sheet1!D10)+2*(Sheet1!B10-Sheet1!D10-Sheet1!D10)</f>
        <v>4.8</v>
      </c>
      <c r="E28" s="20"/>
      <c r="F28" s="20">
        <f>Sheet1!C10</f>
        <v>1.0667479427003961</v>
      </c>
      <c r="G28" s="20">
        <f>PRODUCT(C28:F28)</f>
        <v>5.1203901249619008</v>
      </c>
      <c r="H28" s="19"/>
      <c r="I28" s="19"/>
      <c r="J28" s="19"/>
      <c r="K28" s="19"/>
    </row>
    <row r="29" spans="1:11" ht="15" customHeight="1" x14ac:dyDescent="0.25">
      <c r="A29" s="21"/>
      <c r="B29" s="22" t="s">
        <v>16</v>
      </c>
      <c r="C29" s="23"/>
      <c r="D29" s="1"/>
      <c r="E29" s="24"/>
      <c r="F29" s="24"/>
      <c r="G29" s="2">
        <f>SUM(G27:G28)</f>
        <v>11.520877781164277</v>
      </c>
      <c r="H29" s="25" t="s">
        <v>35</v>
      </c>
      <c r="I29" s="2">
        <f>49954.32/100</f>
        <v>499.54320000000001</v>
      </c>
      <c r="J29" s="26">
        <f>G29*I29</f>
        <v>5755.1761536117028</v>
      </c>
      <c r="K29" s="24"/>
    </row>
    <row r="30" spans="1:11" x14ac:dyDescent="0.25">
      <c r="A30" s="17"/>
      <c r="B30" s="18" t="s">
        <v>31</v>
      </c>
      <c r="C30" s="19"/>
      <c r="D30" s="19"/>
      <c r="E30" s="19"/>
      <c r="F30" s="19"/>
      <c r="G30" s="19"/>
      <c r="H30" s="19"/>
      <c r="I30" s="19"/>
      <c r="J30" s="26">
        <f>0.13*G29*7463.32/100</f>
        <v>111.77919683023467</v>
      </c>
      <c r="K30" s="19"/>
    </row>
    <row r="31" spans="1:11" x14ac:dyDescent="0.25">
      <c r="A31" s="17"/>
      <c r="B31" s="18" t="s">
        <v>33</v>
      </c>
      <c r="C31" s="19"/>
      <c r="D31" s="19"/>
      <c r="E31" s="19"/>
      <c r="F31" s="19"/>
      <c r="G31" s="19"/>
      <c r="H31" s="19"/>
      <c r="I31" s="19"/>
      <c r="J31" s="26">
        <f>0.13*G29*7296/100</f>
        <v>109.27322157878694</v>
      </c>
      <c r="K31" s="19"/>
    </row>
    <row r="32" spans="1:11" x14ac:dyDescent="0.25">
      <c r="A32" s="17"/>
      <c r="B32" s="19"/>
      <c r="C32" s="19"/>
      <c r="D32" s="19"/>
      <c r="E32" s="19"/>
      <c r="F32" s="19"/>
      <c r="G32" s="19"/>
      <c r="H32" s="19"/>
      <c r="I32" s="19"/>
      <c r="J32" s="19"/>
      <c r="K32" s="19"/>
    </row>
    <row r="33" spans="1:11" x14ac:dyDescent="0.25">
      <c r="A33" s="17">
        <v>5</v>
      </c>
      <c r="B33" s="27" t="s">
        <v>38</v>
      </c>
      <c r="C33" s="19"/>
      <c r="D33" s="19"/>
      <c r="E33" s="19"/>
      <c r="F33" s="19"/>
      <c r="G33" s="19"/>
      <c r="H33" s="19"/>
      <c r="I33" s="19"/>
      <c r="J33" s="19"/>
      <c r="K33" s="19"/>
    </row>
    <row r="34" spans="1:11" x14ac:dyDescent="0.25">
      <c r="A34" s="17"/>
      <c r="B34" s="18" t="str">
        <f>B28</f>
        <v>-for inner face wall of intake</v>
      </c>
      <c r="C34" s="19">
        <f>C28</f>
        <v>1</v>
      </c>
      <c r="D34" s="20">
        <f>D28</f>
        <v>4.8</v>
      </c>
      <c r="E34" s="20"/>
      <c r="F34" s="20">
        <f>F28</f>
        <v>1.0667479427003961</v>
      </c>
      <c r="G34" s="20">
        <f>PRODUCT(C34:F34)</f>
        <v>5.1203901249619008</v>
      </c>
      <c r="H34" s="19"/>
      <c r="I34" s="19"/>
      <c r="J34" s="19"/>
      <c r="K34" s="19"/>
    </row>
    <row r="35" spans="1:11" x14ac:dyDescent="0.25">
      <c r="A35" s="17"/>
      <c r="B35" s="18" t="str">
        <f>B27</f>
        <v>-for outer face wall of intake</v>
      </c>
      <c r="C35" s="19">
        <f>C27</f>
        <v>1</v>
      </c>
      <c r="D35" s="20">
        <f>D27</f>
        <v>5.9999999999999991</v>
      </c>
      <c r="E35" s="20"/>
      <c r="F35" s="20">
        <f>F27</f>
        <v>1.0667479427003961</v>
      </c>
      <c r="G35" s="20">
        <f>PRODUCT(C35:F35)</f>
        <v>6.4004876562023751</v>
      </c>
      <c r="H35" s="19"/>
      <c r="I35" s="19"/>
      <c r="J35" s="19"/>
      <c r="K35" s="19"/>
    </row>
    <row r="36" spans="1:11" x14ac:dyDescent="0.25">
      <c r="A36" s="17"/>
      <c r="B36" s="18" t="s">
        <v>60</v>
      </c>
      <c r="C36" s="19">
        <f>C34</f>
        <v>1</v>
      </c>
      <c r="D36" s="20">
        <f>Sheet1!A10-Sheet1!D10-Sheet1!D10</f>
        <v>1.2</v>
      </c>
      <c r="E36" s="20">
        <f>Sheet1!B10-Sheet1!D10-Sheet1!D10</f>
        <v>1.2</v>
      </c>
      <c r="F36" s="20"/>
      <c r="G36" s="20">
        <f>PRODUCT(C36:F36)</f>
        <v>1.44</v>
      </c>
      <c r="H36" s="19"/>
      <c r="I36" s="19"/>
      <c r="J36" s="19"/>
      <c r="K36" s="19"/>
    </row>
    <row r="37" spans="1:11" ht="15" customHeight="1" x14ac:dyDescent="0.25">
      <c r="A37" s="21"/>
      <c r="B37" s="22" t="s">
        <v>16</v>
      </c>
      <c r="C37" s="23"/>
      <c r="D37" s="1"/>
      <c r="E37" s="24"/>
      <c r="F37" s="24"/>
      <c r="G37" s="2">
        <f>SUM(G34:G36)</f>
        <v>12.960877781164276</v>
      </c>
      <c r="H37" s="25" t="s">
        <v>35</v>
      </c>
      <c r="I37" s="2">
        <f>28609.6/100</f>
        <v>286.096</v>
      </c>
      <c r="J37" s="26">
        <f>G37*I37</f>
        <v>3708.055289679975</v>
      </c>
      <c r="K37" s="24"/>
    </row>
    <row r="38" spans="1:11" x14ac:dyDescent="0.25">
      <c r="A38" s="17"/>
      <c r="B38" s="18" t="s">
        <v>33</v>
      </c>
      <c r="C38" s="19"/>
      <c r="D38" s="19"/>
      <c r="E38" s="19"/>
      <c r="F38" s="19"/>
      <c r="G38" s="19"/>
      <c r="H38" s="19"/>
      <c r="I38" s="19"/>
      <c r="J38" s="26">
        <f>0.13*G37*6809.6/100</f>
        <v>114.73591134020114</v>
      </c>
      <c r="K38" s="19"/>
    </row>
    <row r="39" spans="1:11" x14ac:dyDescent="0.25">
      <c r="A39" s="17"/>
      <c r="B39" s="19"/>
      <c r="C39" s="19"/>
      <c r="D39" s="19"/>
      <c r="E39" s="19"/>
      <c r="F39" s="19"/>
      <c r="G39" s="19"/>
      <c r="H39" s="19"/>
      <c r="I39" s="19"/>
      <c r="J39" s="19"/>
      <c r="K39" s="19"/>
    </row>
    <row r="40" spans="1:11" x14ac:dyDescent="0.25">
      <c r="A40" s="17">
        <v>6</v>
      </c>
      <c r="B40" s="19" t="s">
        <v>50</v>
      </c>
      <c r="C40" s="19"/>
      <c r="D40" s="19"/>
      <c r="E40" s="19"/>
      <c r="F40" s="19"/>
      <c r="G40" s="19"/>
      <c r="H40" s="19"/>
      <c r="I40" s="19"/>
      <c r="J40" s="19"/>
      <c r="K40" s="19"/>
    </row>
    <row r="41" spans="1:11" x14ac:dyDescent="0.25">
      <c r="A41" s="17"/>
      <c r="B41" s="18" t="s">
        <v>58</v>
      </c>
      <c r="C41" s="19">
        <v>1</v>
      </c>
      <c r="D41" s="20">
        <f>Sheet1!A10*2+Sheet1!B10*2</f>
        <v>5.9999999999999991</v>
      </c>
      <c r="E41" s="20"/>
      <c r="F41" s="20">
        <f>Sheet1!C10</f>
        <v>1.0667479427003961</v>
      </c>
      <c r="G41" s="20">
        <f t="shared" ref="G41:G43" si="0">PRODUCT(C41:F41)</f>
        <v>6.4004876562023751</v>
      </c>
      <c r="H41" s="19"/>
      <c r="I41" s="19"/>
      <c r="J41" s="19"/>
      <c r="K41" s="19"/>
    </row>
    <row r="42" spans="1:11" x14ac:dyDescent="0.25">
      <c r="A42" s="17"/>
      <c r="B42" s="18" t="s">
        <v>59</v>
      </c>
      <c r="C42" s="19">
        <v>1</v>
      </c>
      <c r="D42" s="20">
        <f>2*(Sheet1!A10-Sheet1!D10-Sheet1!D10)+2*(Sheet1!B10-Sheet1!D10-Sheet1!D10)</f>
        <v>4.8</v>
      </c>
      <c r="E42" s="20"/>
      <c r="F42" s="20">
        <f>Sheet1!C10</f>
        <v>1.0667479427003961</v>
      </c>
      <c r="G42" s="20">
        <f t="shared" si="0"/>
        <v>5.1203901249619008</v>
      </c>
      <c r="H42" s="19"/>
      <c r="I42" s="19"/>
      <c r="J42" s="19"/>
      <c r="K42" s="19"/>
    </row>
    <row r="43" spans="1:11" x14ac:dyDescent="0.25">
      <c r="A43" s="17"/>
      <c r="B43" s="18" t="s">
        <v>57</v>
      </c>
      <c r="C43" s="19">
        <v>1</v>
      </c>
      <c r="D43" s="20">
        <f>(Sheet1!A10-Sheet1!D10-Sheet1!D10)</f>
        <v>1.2</v>
      </c>
      <c r="E43" s="20">
        <f>(Sheet1!B10-Sheet1!D10-Sheet1!D10)</f>
        <v>1.2</v>
      </c>
      <c r="F43" s="20"/>
      <c r="G43" s="20">
        <f t="shared" si="0"/>
        <v>1.44</v>
      </c>
      <c r="H43" s="19"/>
      <c r="I43" s="19"/>
      <c r="J43" s="19"/>
      <c r="K43" s="19"/>
    </row>
    <row r="44" spans="1:11" ht="15" customHeight="1" x14ac:dyDescent="0.25">
      <c r="A44" s="21"/>
      <c r="B44" s="22" t="s">
        <v>16</v>
      </c>
      <c r="C44" s="23"/>
      <c r="D44" s="1"/>
      <c r="E44" s="24"/>
      <c r="F44" s="24"/>
      <c r="G44" s="2">
        <f>SUM(G41:G43)</f>
        <v>12.960877781164276</v>
      </c>
      <c r="H44" s="25" t="s">
        <v>35</v>
      </c>
      <c r="I44" s="2">
        <f>11188.35/10</f>
        <v>1118.835</v>
      </c>
      <c r="J44" s="26">
        <f>G44*I44</f>
        <v>14501.083692288934</v>
      </c>
      <c r="K44" s="24"/>
    </row>
    <row r="45" spans="1:11" x14ac:dyDescent="0.25">
      <c r="A45" s="17"/>
      <c r="B45" s="18" t="s">
        <v>51</v>
      </c>
      <c r="C45" s="19"/>
      <c r="D45" s="19"/>
      <c r="E45" s="19"/>
      <c r="F45" s="19"/>
      <c r="G45" s="19"/>
      <c r="H45" s="19"/>
      <c r="I45" s="19"/>
      <c r="J45" s="26">
        <f>0.13*G44*6314/10</f>
        <v>1063.8547700335262</v>
      </c>
      <c r="K45" s="19"/>
    </row>
    <row r="46" spans="1:11" x14ac:dyDescent="0.25">
      <c r="A46" s="17"/>
      <c r="B46" s="18" t="s">
        <v>43</v>
      </c>
      <c r="C46" s="19"/>
      <c r="D46" s="19"/>
      <c r="E46" s="19"/>
      <c r="F46" s="19"/>
      <c r="G46" s="19"/>
      <c r="H46" s="19"/>
      <c r="I46" s="19"/>
      <c r="J46" s="26">
        <f>0.13*G44*330/10</f>
        <v>55.602165681194741</v>
      </c>
      <c r="K46" s="19"/>
    </row>
    <row r="47" spans="1:11" x14ac:dyDescent="0.25">
      <c r="A47" s="17"/>
      <c r="B47" s="19"/>
      <c r="C47" s="19"/>
      <c r="D47" s="19"/>
      <c r="E47" s="19"/>
      <c r="F47" s="19"/>
      <c r="G47" s="19"/>
      <c r="H47" s="19"/>
      <c r="I47" s="19"/>
      <c r="J47" s="19"/>
      <c r="K47" s="19"/>
    </row>
    <row r="48" spans="1:11" x14ac:dyDescent="0.25">
      <c r="A48" s="17">
        <v>7</v>
      </c>
      <c r="B48" s="19" t="s">
        <v>45</v>
      </c>
      <c r="C48" s="19"/>
      <c r="D48" s="19"/>
      <c r="E48" s="19"/>
      <c r="F48" s="19"/>
      <c r="G48" s="19"/>
      <c r="H48" s="19"/>
      <c r="I48" s="19"/>
      <c r="J48" s="19"/>
      <c r="K48" s="19"/>
    </row>
    <row r="49" spans="1:11" x14ac:dyDescent="0.25">
      <c r="A49" s="17"/>
      <c r="B49" s="18" t="str">
        <f>B15</f>
        <v>-for intake</v>
      </c>
      <c r="C49" s="19">
        <v>1</v>
      </c>
      <c r="D49" s="20">
        <f>Sheet1!A10</f>
        <v>1.4999999999999998</v>
      </c>
      <c r="E49" s="20">
        <f>Sheet1!B10</f>
        <v>1.4999999999999998</v>
      </c>
      <c r="F49" s="20">
        <v>0.125</v>
      </c>
      <c r="G49" s="20">
        <f t="shared" ref="G49:G52" si="1">PRODUCT(C49:F49)</f>
        <v>0.28124999999999989</v>
      </c>
      <c r="H49" s="19"/>
      <c r="I49" s="19"/>
      <c r="J49" s="19"/>
      <c r="K49" s="19"/>
    </row>
    <row r="50" spans="1:11" x14ac:dyDescent="0.25">
      <c r="A50" s="17"/>
      <c r="B50" s="18" t="s">
        <v>64</v>
      </c>
      <c r="C50" s="19">
        <v>2</v>
      </c>
      <c r="D50" s="20">
        <f>Sheet1!A10</f>
        <v>1.4999999999999998</v>
      </c>
      <c r="E50" s="20">
        <f>Sheet1!D10</f>
        <v>0.15</v>
      </c>
      <c r="F50" s="20">
        <f>Sheet1!C10</f>
        <v>1.0667479427003961</v>
      </c>
      <c r="G50" s="20">
        <f t="shared" si="1"/>
        <v>0.48003657421517815</v>
      </c>
      <c r="H50" s="19"/>
      <c r="I50" s="19"/>
      <c r="J50" s="19"/>
      <c r="K50" s="19"/>
    </row>
    <row r="51" spans="1:11" x14ac:dyDescent="0.25">
      <c r="A51" s="17"/>
      <c r="B51" s="18" t="s">
        <v>65</v>
      </c>
      <c r="C51" s="19">
        <v>2</v>
      </c>
      <c r="D51" s="20">
        <f>Sheet1!B10-Sheet1!D10-Sheet1!D10</f>
        <v>1.2</v>
      </c>
      <c r="E51" s="20">
        <f>Sheet1!D10</f>
        <v>0.15</v>
      </c>
      <c r="F51" s="20">
        <f>Sheet1!C10</f>
        <v>1.0667479427003961</v>
      </c>
      <c r="G51" s="20">
        <f t="shared" si="1"/>
        <v>0.38402925937214255</v>
      </c>
      <c r="H51" s="19"/>
      <c r="I51" s="19"/>
      <c r="J51" s="19"/>
      <c r="K51" s="19"/>
    </row>
    <row r="52" spans="1:11" x14ac:dyDescent="0.25">
      <c r="A52" s="17"/>
      <c r="B52" s="18" t="str">
        <f>B43</f>
        <v>-for intake 2 cover</v>
      </c>
      <c r="C52" s="19">
        <v>1</v>
      </c>
      <c r="D52" s="20">
        <f>Sheet1!A10</f>
        <v>1.4999999999999998</v>
      </c>
      <c r="E52" s="20">
        <f>Sheet1!B10</f>
        <v>1.4999999999999998</v>
      </c>
      <c r="F52" s="20">
        <v>0.125</v>
      </c>
      <c r="G52" s="20">
        <f t="shared" si="1"/>
        <v>0.28124999999999989</v>
      </c>
      <c r="H52" s="19"/>
      <c r="I52" s="19"/>
      <c r="J52" s="19"/>
      <c r="K52" s="19"/>
    </row>
    <row r="53" spans="1:11" ht="15" customHeight="1" x14ac:dyDescent="0.25">
      <c r="A53" s="21"/>
      <c r="B53" s="22" t="s">
        <v>16</v>
      </c>
      <c r="C53" s="23"/>
      <c r="D53" s="1"/>
      <c r="E53" s="24"/>
      <c r="F53" s="24"/>
      <c r="G53" s="2">
        <f>SUM(G49:G52)</f>
        <v>1.4265658335873206</v>
      </c>
      <c r="H53" s="25" t="s">
        <v>28</v>
      </c>
      <c r="I53" s="2">
        <v>14337.7</v>
      </c>
      <c r="J53" s="26">
        <f>G53*I53</f>
        <v>20453.672952224926</v>
      </c>
      <c r="K53" s="24"/>
    </row>
    <row r="54" spans="1:11" x14ac:dyDescent="0.25">
      <c r="A54" s="17"/>
      <c r="B54" s="18" t="s">
        <v>33</v>
      </c>
      <c r="C54" s="19"/>
      <c r="D54" s="19"/>
      <c r="E54" s="19"/>
      <c r="F54" s="19"/>
      <c r="G54" s="19"/>
      <c r="H54" s="19"/>
      <c r="I54" s="19"/>
      <c r="J54" s="26">
        <f>0.13*G53*5120</f>
        <v>949.52221883572065</v>
      </c>
      <c r="K54" s="19"/>
    </row>
    <row r="55" spans="1:11" x14ac:dyDescent="0.25">
      <c r="A55" s="17"/>
      <c r="B55" s="18" t="s">
        <v>31</v>
      </c>
      <c r="C55" s="19"/>
      <c r="D55" s="19"/>
      <c r="E55" s="19"/>
      <c r="F55" s="19"/>
      <c r="G55" s="19"/>
      <c r="H55" s="19"/>
      <c r="I55" s="19"/>
      <c r="J55" s="26">
        <f>0.13*G53*1349.75</f>
        <v>250.31594040498319</v>
      </c>
      <c r="K55" s="19"/>
    </row>
    <row r="56" spans="1:11" x14ac:dyDescent="0.25">
      <c r="A56" s="17"/>
      <c r="B56" s="18" t="s">
        <v>34</v>
      </c>
      <c r="C56" s="19"/>
      <c r="D56" s="19"/>
      <c r="E56" s="19"/>
      <c r="F56" s="19"/>
      <c r="G56" s="19"/>
      <c r="H56" s="19"/>
      <c r="I56" s="19"/>
      <c r="J56" s="26">
        <f>0.13*G53*(972.17+1910.82)</f>
        <v>534.66075423460825</v>
      </c>
      <c r="K56" s="19"/>
    </row>
    <row r="57" spans="1:11" x14ac:dyDescent="0.25">
      <c r="A57" s="17"/>
      <c r="B57" s="19"/>
      <c r="C57" s="19"/>
      <c r="D57" s="19"/>
      <c r="E57" s="19"/>
      <c r="F57" s="19"/>
      <c r="G57" s="19"/>
      <c r="H57" s="19"/>
      <c r="I57" s="19"/>
      <c r="J57" s="19"/>
      <c r="K57" s="19"/>
    </row>
    <row r="58" spans="1:11" s="11" customFormat="1" ht="45" x14ac:dyDescent="0.25">
      <c r="A58" s="17">
        <v>8</v>
      </c>
      <c r="B58" s="29" t="s">
        <v>46</v>
      </c>
      <c r="C58" s="29" t="s">
        <v>7</v>
      </c>
      <c r="D58" s="30" t="s">
        <v>27</v>
      </c>
      <c r="E58" s="30" t="s">
        <v>41</v>
      </c>
      <c r="F58" s="30" t="s">
        <v>42</v>
      </c>
      <c r="G58" s="29"/>
      <c r="H58" s="29"/>
      <c r="I58" s="29"/>
      <c r="J58" s="29"/>
      <c r="K58" s="29"/>
    </row>
    <row r="59" spans="1:11" x14ac:dyDescent="0.25">
      <c r="A59" s="17"/>
      <c r="B59" s="18" t="str">
        <f>B49</f>
        <v>-for intake</v>
      </c>
      <c r="C59" s="19">
        <f>TRUNC((Sheet1!A10-0.1)/0.15,0)+1</f>
        <v>10</v>
      </c>
      <c r="D59" s="20">
        <f>(Sheet1!B10-Sheet1!D10)+(Sheet1!C10-0.05+Sheet1!D10/2)*2</f>
        <v>3.5334958854007921</v>
      </c>
      <c r="E59" s="20">
        <f t="shared" ref="E59:E64" si="2">10*10/162</f>
        <v>0.61728395061728392</v>
      </c>
      <c r="F59" s="20">
        <f t="shared" ref="F59:F64" si="3">PRODUCT(C59:E59)</f>
        <v>21.811702996301186</v>
      </c>
      <c r="G59" s="20">
        <f t="shared" ref="G59:G64" si="4">F59</f>
        <v>21.811702996301186</v>
      </c>
      <c r="H59" s="19"/>
      <c r="I59" s="19"/>
      <c r="J59" s="19"/>
      <c r="K59" s="19"/>
    </row>
    <row r="60" spans="1:11" x14ac:dyDescent="0.25">
      <c r="A60" s="17"/>
      <c r="B60" s="18"/>
      <c r="C60" s="19">
        <f>TRUNC((Sheet1!B10-0.1)/0.15,0)+1</f>
        <v>10</v>
      </c>
      <c r="D60" s="20">
        <f>(Sheet1!A10-Sheet1!D10)+(Sheet1!C10-0.05+Sheet1!D10/2)*2</f>
        <v>3.5334958854007921</v>
      </c>
      <c r="E60" s="20">
        <f t="shared" si="2"/>
        <v>0.61728395061728392</v>
      </c>
      <c r="F60" s="20">
        <f t="shared" si="3"/>
        <v>21.811702996301186</v>
      </c>
      <c r="G60" s="20">
        <f t="shared" si="4"/>
        <v>21.811702996301186</v>
      </c>
      <c r="H60" s="19"/>
      <c r="I60" s="19"/>
      <c r="J60" s="19"/>
      <c r="K60" s="19"/>
    </row>
    <row r="61" spans="1:11" x14ac:dyDescent="0.25">
      <c r="A61" s="17"/>
      <c r="B61" s="18" t="s">
        <v>66</v>
      </c>
      <c r="C61" s="19">
        <f>(TRUNC((Sheet1!C10+Sheet1!D10-0.05-0.05)/0.15,0)+1)</f>
        <v>8</v>
      </c>
      <c r="D61" s="20">
        <f>(Sheet1!A10-0.05-0.05)*2</f>
        <v>2.7999999999999994</v>
      </c>
      <c r="E61" s="20">
        <f t="shared" si="2"/>
        <v>0.61728395061728392</v>
      </c>
      <c r="F61" s="20">
        <f t="shared" si="3"/>
        <v>13.827160493827156</v>
      </c>
      <c r="G61" s="20">
        <f t="shared" si="4"/>
        <v>13.827160493827156</v>
      </c>
      <c r="H61" s="19"/>
      <c r="I61" s="19"/>
      <c r="J61" s="19"/>
      <c r="K61" s="19"/>
    </row>
    <row r="62" spans="1:11" x14ac:dyDescent="0.25">
      <c r="A62" s="17"/>
      <c r="B62" s="18"/>
      <c r="C62" s="19">
        <f>(TRUNC((Sheet1!C10+Sheet1!D10-0.05-0.05)/0.15,0)+1)</f>
        <v>8</v>
      </c>
      <c r="D62" s="20">
        <f>(Sheet1!B10-0.05-0.05)*2</f>
        <v>2.7999999999999994</v>
      </c>
      <c r="E62" s="20">
        <f t="shared" si="2"/>
        <v>0.61728395061728392</v>
      </c>
      <c r="F62" s="20">
        <f t="shared" ref="F62" si="5">PRODUCT(C62:E62)</f>
        <v>13.827160493827156</v>
      </c>
      <c r="G62" s="20">
        <f t="shared" si="4"/>
        <v>13.827160493827156</v>
      </c>
      <c r="H62" s="19"/>
      <c r="I62" s="19"/>
      <c r="J62" s="19"/>
      <c r="K62" s="19"/>
    </row>
    <row r="63" spans="1:11" x14ac:dyDescent="0.25">
      <c r="A63" s="17"/>
      <c r="B63" s="18" t="str">
        <f>B52</f>
        <v>-for intake 2 cover</v>
      </c>
      <c r="C63" s="19">
        <f>TRUNC((D64)/0.15,0)+1</f>
        <v>10</v>
      </c>
      <c r="D63" s="20">
        <f>Sheet1!A10-0.1</f>
        <v>1.3999999999999997</v>
      </c>
      <c r="E63" s="20">
        <f t="shared" si="2"/>
        <v>0.61728395061728392</v>
      </c>
      <c r="F63" s="20">
        <f t="shared" si="3"/>
        <v>8.6419753086419728</v>
      </c>
      <c r="G63" s="20">
        <f t="shared" si="4"/>
        <v>8.6419753086419728</v>
      </c>
      <c r="H63" s="19"/>
      <c r="I63" s="19"/>
      <c r="J63" s="19"/>
      <c r="K63" s="19"/>
    </row>
    <row r="64" spans="1:11" x14ac:dyDescent="0.25">
      <c r="A64" s="17"/>
      <c r="B64" s="18"/>
      <c r="C64" s="19">
        <f>TRUNC((D63)/0.15,0)+1</f>
        <v>10</v>
      </c>
      <c r="D64" s="20">
        <f>Sheet1!B10-0.1</f>
        <v>1.3999999999999997</v>
      </c>
      <c r="E64" s="20">
        <f t="shared" si="2"/>
        <v>0.61728395061728392</v>
      </c>
      <c r="F64" s="20">
        <f t="shared" si="3"/>
        <v>8.6419753086419728</v>
      </c>
      <c r="G64" s="20">
        <f t="shared" si="4"/>
        <v>8.6419753086419728</v>
      </c>
      <c r="H64" s="19"/>
      <c r="I64" s="19"/>
      <c r="J64" s="19"/>
      <c r="K64" s="19"/>
    </row>
    <row r="65" spans="1:26" ht="15" customHeight="1" x14ac:dyDescent="0.25">
      <c r="A65" s="21"/>
      <c r="B65" s="22" t="s">
        <v>16</v>
      </c>
      <c r="C65" s="23"/>
      <c r="D65" s="1"/>
      <c r="E65" s="24"/>
      <c r="F65" s="24"/>
      <c r="G65" s="2">
        <f>SUM(G59:G64)</f>
        <v>88.561677597540637</v>
      </c>
      <c r="H65" s="25" t="s">
        <v>47</v>
      </c>
      <c r="I65" s="2">
        <f>9831.6/100</f>
        <v>98.316000000000003</v>
      </c>
      <c r="J65" s="26">
        <f>G65*I65</f>
        <v>8707.0298946798048</v>
      </c>
      <c r="K65" s="24"/>
    </row>
    <row r="66" spans="1:26" x14ac:dyDescent="0.25">
      <c r="A66" s="17"/>
      <c r="B66" s="18" t="s">
        <v>48</v>
      </c>
      <c r="C66" s="19"/>
      <c r="D66" s="19"/>
      <c r="E66" s="19"/>
      <c r="F66" s="19"/>
      <c r="G66" s="19"/>
      <c r="H66" s="19"/>
      <c r="I66" s="19"/>
      <c r="J66" s="26">
        <f>0.13*G65*9450/100</f>
        <v>1087.9802092857867</v>
      </c>
      <c r="K66" s="19"/>
    </row>
    <row r="67" spans="1:26" x14ac:dyDescent="0.25">
      <c r="A67" s="17"/>
      <c r="B67" s="18" t="s">
        <v>49</v>
      </c>
      <c r="C67" s="19"/>
      <c r="D67" s="19"/>
      <c r="E67" s="19"/>
      <c r="F67" s="19"/>
      <c r="G67" s="19"/>
      <c r="H67" s="19"/>
      <c r="I67" s="19"/>
      <c r="J67" s="26">
        <f>0.13*G65*120/100</f>
        <v>13.815621705216341</v>
      </c>
      <c r="K67" s="19"/>
    </row>
    <row r="68" spans="1:26" x14ac:dyDescent="0.25">
      <c r="A68" s="17"/>
      <c r="B68" s="19"/>
      <c r="C68" s="19"/>
      <c r="D68" s="19"/>
      <c r="E68" s="19"/>
      <c r="F68" s="19"/>
      <c r="G68" s="19"/>
      <c r="H68" s="19"/>
      <c r="I68" s="19"/>
      <c r="J68" s="19"/>
      <c r="K68" s="19"/>
    </row>
    <row r="69" spans="1:26" ht="30" x14ac:dyDescent="0.25">
      <c r="A69" s="17" t="s">
        <v>68</v>
      </c>
      <c r="B69" s="13" t="s">
        <v>69</v>
      </c>
      <c r="C69" s="19"/>
      <c r="D69" s="19"/>
      <c r="E69" s="19"/>
      <c r="F69" s="19"/>
      <c r="G69" s="19"/>
      <c r="H69" s="19"/>
      <c r="I69" s="19"/>
      <c r="J69" s="26"/>
      <c r="K69" s="19"/>
      <c r="M69" s="11"/>
      <c r="N69" s="11"/>
      <c r="O69" s="11"/>
      <c r="P69" s="11"/>
      <c r="Q69" s="11"/>
      <c r="R69" s="11"/>
      <c r="S69" s="11"/>
      <c r="T69" s="11"/>
      <c r="U69" s="11"/>
      <c r="V69" s="11"/>
      <c r="W69" s="11"/>
      <c r="X69" s="11"/>
      <c r="Y69" s="11"/>
      <c r="Z69" s="4"/>
    </row>
    <row r="70" spans="1:26" x14ac:dyDescent="0.25">
      <c r="A70" s="17">
        <v>9</v>
      </c>
      <c r="B70" s="18" t="s">
        <v>86</v>
      </c>
      <c r="C70" s="19">
        <f>7</f>
        <v>7</v>
      </c>
      <c r="D70" s="20"/>
      <c r="E70" s="19"/>
      <c r="F70" s="19"/>
      <c r="G70" s="20">
        <f>PRODUCT(C70:F70)</f>
        <v>7</v>
      </c>
      <c r="H70" s="19"/>
      <c r="I70" s="28"/>
      <c r="J70" s="28"/>
      <c r="K70" s="19"/>
      <c r="M70" s="4"/>
      <c r="N70" s="4"/>
      <c r="O70" s="4"/>
      <c r="P70" s="4"/>
      <c r="Q70" s="4"/>
      <c r="R70" s="4"/>
      <c r="S70" s="4"/>
      <c r="T70" s="4"/>
      <c r="U70" s="4"/>
      <c r="V70" s="4"/>
      <c r="W70" s="4"/>
      <c r="X70" s="4"/>
      <c r="Y70" s="4"/>
      <c r="Z70" s="4"/>
    </row>
    <row r="71" spans="1:26" ht="15" customHeight="1" x14ac:dyDescent="0.25">
      <c r="A71" s="21"/>
      <c r="B71" s="22" t="s">
        <v>16</v>
      </c>
      <c r="C71" s="23"/>
      <c r="D71" s="1"/>
      <c r="E71" s="24"/>
      <c r="F71" s="24"/>
      <c r="G71" s="2">
        <f>SUM(G70:G70)</f>
        <v>7</v>
      </c>
      <c r="H71" s="25" t="s">
        <v>71</v>
      </c>
      <c r="I71" s="2">
        <v>401</v>
      </c>
      <c r="J71" s="26">
        <f>G71*I71</f>
        <v>2807</v>
      </c>
      <c r="K71" s="24"/>
      <c r="M71" s="4"/>
      <c r="N71" s="4"/>
      <c r="O71" s="4"/>
      <c r="P71" s="4"/>
      <c r="Q71" s="4"/>
      <c r="R71" s="4"/>
      <c r="S71" s="4"/>
      <c r="T71" s="4"/>
      <c r="U71" s="4"/>
      <c r="V71" s="4"/>
      <c r="W71" s="4"/>
      <c r="X71" s="4"/>
      <c r="Y71" s="4"/>
      <c r="Z71" s="4"/>
    </row>
    <row r="72" spans="1:26" x14ac:dyDescent="0.25">
      <c r="A72" s="17"/>
      <c r="B72" s="18" t="s">
        <v>72</v>
      </c>
      <c r="C72" s="19"/>
      <c r="D72" s="19"/>
      <c r="E72" s="19"/>
      <c r="F72" s="19"/>
      <c r="G72" s="19"/>
      <c r="H72" s="19"/>
      <c r="I72" s="19"/>
      <c r="J72" s="26">
        <f>0.13*J71</f>
        <v>364.91</v>
      </c>
      <c r="K72" s="19"/>
      <c r="M72" s="4"/>
      <c r="N72" s="4"/>
      <c r="O72" s="4"/>
      <c r="P72" s="4"/>
      <c r="Q72" s="4"/>
      <c r="R72" s="4"/>
      <c r="S72" s="4"/>
      <c r="T72" s="4"/>
      <c r="U72" s="4"/>
      <c r="V72" s="4"/>
      <c r="W72" s="4"/>
      <c r="X72" s="4"/>
      <c r="Y72" s="4"/>
      <c r="Z72" s="4"/>
    </row>
    <row r="73" spans="1:26" x14ac:dyDescent="0.25">
      <c r="A73" s="17"/>
      <c r="B73" s="18"/>
      <c r="C73" s="19"/>
      <c r="D73" s="19"/>
      <c r="E73" s="19"/>
      <c r="F73" s="19"/>
      <c r="G73" s="19"/>
      <c r="H73" s="19"/>
      <c r="I73" s="19"/>
      <c r="J73" s="26"/>
      <c r="K73" s="19"/>
      <c r="M73" s="4"/>
      <c r="N73" s="4"/>
      <c r="O73" s="4"/>
      <c r="P73" s="4"/>
      <c r="Q73" s="4"/>
      <c r="R73" s="4"/>
      <c r="S73" s="4"/>
      <c r="T73" s="4"/>
      <c r="U73" s="4"/>
      <c r="V73" s="4"/>
      <c r="W73" s="4"/>
      <c r="X73" s="4"/>
      <c r="Y73" s="4"/>
      <c r="Z73" s="4"/>
    </row>
    <row r="74" spans="1:26" x14ac:dyDescent="0.25">
      <c r="A74" s="17">
        <v>10</v>
      </c>
      <c r="B74" s="18" t="s">
        <v>87</v>
      </c>
      <c r="C74" s="19">
        <v>5</v>
      </c>
      <c r="D74" s="20"/>
      <c r="E74" s="19"/>
      <c r="F74" s="19"/>
      <c r="G74" s="20">
        <f t="shared" ref="G74:G82" si="6">PRODUCT(C74:F74)</f>
        <v>5</v>
      </c>
      <c r="H74" s="19" t="s">
        <v>71</v>
      </c>
      <c r="I74" s="28"/>
      <c r="J74" s="28"/>
      <c r="K74" s="19"/>
      <c r="M74" s="4"/>
      <c r="N74" s="4"/>
      <c r="O74" s="4"/>
      <c r="P74" s="4"/>
      <c r="Q74" s="4"/>
      <c r="R74" s="4"/>
      <c r="S74" s="4"/>
      <c r="T74" s="4"/>
      <c r="U74" s="4"/>
      <c r="V74" s="4"/>
      <c r="W74" s="4"/>
      <c r="X74" s="4"/>
      <c r="Y74" s="4"/>
      <c r="Z74" s="4"/>
    </row>
    <row r="75" spans="1:26" ht="15" customHeight="1" x14ac:dyDescent="0.25">
      <c r="A75" s="21"/>
      <c r="B75" s="22" t="s">
        <v>16</v>
      </c>
      <c r="C75" s="23"/>
      <c r="D75" s="1"/>
      <c r="E75" s="24"/>
      <c r="F75" s="24"/>
      <c r="G75" s="2">
        <f>SUM(G74:G74)</f>
        <v>5</v>
      </c>
      <c r="H75" s="25" t="s">
        <v>71</v>
      </c>
      <c r="I75" s="2">
        <v>144</v>
      </c>
      <c r="J75" s="26">
        <f>G75*I75</f>
        <v>720</v>
      </c>
      <c r="K75" s="24"/>
      <c r="M75" s="4"/>
      <c r="N75" s="4"/>
      <c r="O75" s="4"/>
      <c r="P75" s="4"/>
      <c r="Q75" s="4"/>
      <c r="R75" s="4"/>
      <c r="S75" s="4"/>
      <c r="T75" s="4"/>
      <c r="U75" s="4"/>
      <c r="V75" s="4"/>
      <c r="W75" s="4"/>
      <c r="X75" s="4"/>
      <c r="Y75" s="4"/>
      <c r="Z75" s="4"/>
    </row>
    <row r="76" spans="1:26" x14ac:dyDescent="0.25">
      <c r="A76" s="17"/>
      <c r="B76" s="18" t="s">
        <v>72</v>
      </c>
      <c r="C76" s="19"/>
      <c r="D76" s="19"/>
      <c r="E76" s="19"/>
      <c r="F76" s="19"/>
      <c r="G76" s="19"/>
      <c r="H76" s="19"/>
      <c r="I76" s="19"/>
      <c r="J76" s="26">
        <f>0.13*J75</f>
        <v>93.600000000000009</v>
      </c>
      <c r="K76" s="19"/>
      <c r="M76" s="4"/>
      <c r="N76" s="4"/>
      <c r="O76" s="4"/>
      <c r="P76" s="4"/>
      <c r="Q76" s="4"/>
      <c r="R76" s="4"/>
      <c r="S76" s="4"/>
      <c r="T76" s="4"/>
      <c r="U76" s="4"/>
      <c r="V76" s="4"/>
      <c r="W76" s="4"/>
      <c r="X76" s="4"/>
      <c r="Y76" s="4"/>
      <c r="Z76" s="4"/>
    </row>
    <row r="77" spans="1:26" x14ac:dyDescent="0.25">
      <c r="A77" s="17"/>
      <c r="B77" s="18"/>
      <c r="C77" s="19"/>
      <c r="D77" s="19"/>
      <c r="E77" s="19"/>
      <c r="F77" s="19"/>
      <c r="G77" s="19"/>
      <c r="H77" s="19"/>
      <c r="I77" s="19"/>
      <c r="J77" s="26"/>
      <c r="K77" s="19"/>
      <c r="M77" s="4"/>
      <c r="N77" s="4"/>
      <c r="O77" s="4"/>
      <c r="P77" s="4"/>
      <c r="Q77" s="4"/>
      <c r="R77" s="4"/>
      <c r="S77" s="4"/>
      <c r="T77" s="4"/>
      <c r="U77" s="4"/>
      <c r="V77" s="4"/>
      <c r="W77" s="4"/>
      <c r="X77" s="4"/>
      <c r="Y77" s="4"/>
      <c r="Z77" s="4"/>
    </row>
    <row r="78" spans="1:26" x14ac:dyDescent="0.25">
      <c r="A78" s="17">
        <v>11</v>
      </c>
      <c r="B78" s="18" t="s">
        <v>88</v>
      </c>
      <c r="C78" s="19">
        <v>1</v>
      </c>
      <c r="D78" s="20"/>
      <c r="E78" s="19"/>
      <c r="F78" s="19"/>
      <c r="G78" s="20">
        <f t="shared" ref="G78" si="7">PRODUCT(C78:F78)</f>
        <v>1</v>
      </c>
      <c r="H78" s="19" t="s">
        <v>71</v>
      </c>
      <c r="I78" s="28"/>
      <c r="J78" s="28"/>
      <c r="K78" s="19"/>
      <c r="M78" s="4"/>
      <c r="N78" s="4"/>
      <c r="O78" s="4"/>
      <c r="P78" s="4"/>
      <c r="Q78" s="4"/>
      <c r="R78" s="4"/>
      <c r="S78" s="4"/>
      <c r="T78" s="4"/>
      <c r="U78" s="4"/>
      <c r="V78" s="4"/>
      <c r="W78" s="4"/>
      <c r="X78" s="4"/>
      <c r="Y78" s="4"/>
      <c r="Z78" s="4"/>
    </row>
    <row r="79" spans="1:26" ht="15" customHeight="1" x14ac:dyDescent="0.25">
      <c r="A79" s="21"/>
      <c r="B79" s="22" t="s">
        <v>16</v>
      </c>
      <c r="C79" s="23"/>
      <c r="D79" s="1"/>
      <c r="E79" s="24"/>
      <c r="F79" s="24"/>
      <c r="G79" s="2">
        <f>SUM(G78:G78)</f>
        <v>1</v>
      </c>
      <c r="H79" s="25" t="s">
        <v>71</v>
      </c>
      <c r="I79" s="2">
        <v>282</v>
      </c>
      <c r="J79" s="26">
        <f>G79*I79</f>
        <v>282</v>
      </c>
      <c r="K79" s="24"/>
      <c r="M79" s="4"/>
      <c r="N79" s="4"/>
      <c r="O79" s="4"/>
      <c r="P79" s="4"/>
      <c r="Q79" s="4"/>
      <c r="R79" s="4"/>
      <c r="S79" s="4"/>
      <c r="T79" s="4"/>
      <c r="U79" s="4"/>
      <c r="V79" s="4"/>
      <c r="W79" s="4"/>
      <c r="X79" s="4"/>
      <c r="Y79" s="4"/>
      <c r="Z79" s="4"/>
    </row>
    <row r="80" spans="1:26" x14ac:dyDescent="0.25">
      <c r="A80" s="17"/>
      <c r="B80" s="18" t="s">
        <v>72</v>
      </c>
      <c r="C80" s="19"/>
      <c r="D80" s="19"/>
      <c r="E80" s="19"/>
      <c r="F80" s="19"/>
      <c r="G80" s="19"/>
      <c r="H80" s="19"/>
      <c r="I80" s="19"/>
      <c r="J80" s="26">
        <f>0.13*J79</f>
        <v>36.660000000000004</v>
      </c>
      <c r="K80" s="19"/>
      <c r="M80" s="4"/>
      <c r="N80" s="4"/>
      <c r="O80" s="4"/>
      <c r="P80" s="4"/>
      <c r="Q80" s="4"/>
      <c r="R80" s="4"/>
      <c r="S80" s="4"/>
      <c r="T80" s="4"/>
      <c r="U80" s="4"/>
      <c r="V80" s="4"/>
      <c r="W80" s="4"/>
      <c r="X80" s="4"/>
      <c r="Y80" s="4"/>
      <c r="Z80" s="4"/>
    </row>
    <row r="81" spans="1:26" x14ac:dyDescent="0.25">
      <c r="A81" s="17"/>
      <c r="B81" s="18"/>
      <c r="C81" s="19"/>
      <c r="D81" s="19"/>
      <c r="E81" s="19"/>
      <c r="F81" s="19"/>
      <c r="G81" s="19"/>
      <c r="H81" s="19"/>
      <c r="I81" s="19"/>
      <c r="J81" s="26"/>
      <c r="K81" s="19"/>
      <c r="M81" s="4"/>
      <c r="N81" s="4"/>
      <c r="O81" s="4"/>
      <c r="P81" s="4"/>
      <c r="Q81" s="4"/>
      <c r="R81" s="4"/>
      <c r="S81" s="4"/>
      <c r="T81" s="4"/>
      <c r="U81" s="4"/>
      <c r="V81" s="4"/>
      <c r="W81" s="4"/>
      <c r="X81" s="4"/>
      <c r="Y81" s="4"/>
      <c r="Z81" s="4"/>
    </row>
    <row r="82" spans="1:26" x14ac:dyDescent="0.25">
      <c r="A82" s="17">
        <v>12</v>
      </c>
      <c r="B82" s="18" t="s">
        <v>89</v>
      </c>
      <c r="C82" s="19">
        <v>2</v>
      </c>
      <c r="D82" s="20"/>
      <c r="E82" s="19"/>
      <c r="F82" s="19"/>
      <c r="G82" s="20">
        <f t="shared" si="6"/>
        <v>2</v>
      </c>
      <c r="H82" s="19" t="s">
        <v>71</v>
      </c>
      <c r="I82" s="28"/>
      <c r="J82" s="28"/>
      <c r="K82" s="19"/>
      <c r="M82" s="4"/>
      <c r="N82" s="4"/>
      <c r="O82" s="4"/>
      <c r="P82" s="4"/>
      <c r="Q82" s="4"/>
      <c r="R82" s="4"/>
      <c r="S82" s="4"/>
      <c r="T82" s="4"/>
      <c r="U82" s="4"/>
      <c r="V82" s="4"/>
      <c r="W82" s="4"/>
      <c r="X82" s="4"/>
      <c r="Y82" s="4"/>
      <c r="Z82" s="4"/>
    </row>
    <row r="83" spans="1:26" ht="15" customHeight="1" x14ac:dyDescent="0.25">
      <c r="A83" s="21"/>
      <c r="B83" s="22" t="s">
        <v>16</v>
      </c>
      <c r="C83" s="23"/>
      <c r="D83" s="1"/>
      <c r="E83" s="24"/>
      <c r="F83" s="24"/>
      <c r="G83" s="2">
        <f>SUM(G82:G82)</f>
        <v>2</v>
      </c>
      <c r="H83" s="25" t="s">
        <v>71</v>
      </c>
      <c r="I83" s="2">
        <v>223</v>
      </c>
      <c r="J83" s="26">
        <f>G83*I83</f>
        <v>446</v>
      </c>
      <c r="K83" s="24"/>
      <c r="M83" s="4"/>
      <c r="N83" s="4"/>
      <c r="O83" s="4"/>
      <c r="P83" s="4"/>
      <c r="Q83" s="4"/>
      <c r="R83" s="4"/>
      <c r="S83" s="4"/>
      <c r="T83" s="4"/>
      <c r="U83" s="4"/>
      <c r="V83" s="4"/>
      <c r="W83" s="4"/>
      <c r="X83" s="4"/>
      <c r="Y83" s="4"/>
      <c r="Z83" s="4"/>
    </row>
    <row r="84" spans="1:26" x14ac:dyDescent="0.25">
      <c r="A84" s="17"/>
      <c r="B84" s="18" t="s">
        <v>72</v>
      </c>
      <c r="C84" s="19"/>
      <c r="D84" s="19"/>
      <c r="E84" s="19"/>
      <c r="F84" s="19"/>
      <c r="G84" s="19"/>
      <c r="H84" s="19"/>
      <c r="I84" s="19"/>
      <c r="J84" s="26">
        <f>0.13*J83</f>
        <v>57.980000000000004</v>
      </c>
      <c r="K84" s="19"/>
      <c r="M84" s="4"/>
      <c r="N84" s="4"/>
      <c r="O84" s="4"/>
      <c r="P84" s="4"/>
      <c r="Q84" s="4"/>
      <c r="R84" s="4"/>
      <c r="S84" s="4"/>
      <c r="T84" s="4"/>
      <c r="U84" s="4"/>
      <c r="V84" s="4"/>
      <c r="W84" s="4"/>
      <c r="X84" s="4"/>
      <c r="Y84" s="4"/>
      <c r="Z84" s="4"/>
    </row>
    <row r="85" spans="1:26" x14ac:dyDescent="0.25">
      <c r="A85" s="17"/>
      <c r="B85" s="18"/>
      <c r="C85" s="19"/>
      <c r="D85" s="19"/>
      <c r="E85" s="19"/>
      <c r="F85" s="19"/>
      <c r="G85" s="19"/>
      <c r="H85" s="19"/>
      <c r="I85" s="19"/>
      <c r="J85" s="26"/>
      <c r="K85" s="19"/>
      <c r="M85" s="4"/>
      <c r="N85" s="4"/>
      <c r="O85" s="4"/>
      <c r="P85" s="4"/>
      <c r="Q85" s="4"/>
      <c r="R85" s="4"/>
      <c r="S85" s="4"/>
      <c r="T85" s="4"/>
      <c r="U85" s="4"/>
      <c r="V85" s="4"/>
      <c r="W85" s="4"/>
      <c r="X85" s="4"/>
      <c r="Y85" s="4"/>
      <c r="Z85" s="4"/>
    </row>
    <row r="86" spans="1:26" ht="30" x14ac:dyDescent="0.25">
      <c r="A86" s="17">
        <v>13</v>
      </c>
      <c r="B86" s="44" t="s">
        <v>90</v>
      </c>
      <c r="C86" s="19">
        <v>4</v>
      </c>
      <c r="D86" s="20"/>
      <c r="E86" s="19"/>
      <c r="F86" s="19"/>
      <c r="G86" s="20">
        <f t="shared" ref="G86:G122" si="8">PRODUCT(C86:F86)</f>
        <v>4</v>
      </c>
      <c r="H86" s="19" t="s">
        <v>71</v>
      </c>
      <c r="I86" s="28"/>
      <c r="J86" s="28"/>
      <c r="K86" s="19"/>
      <c r="M86" s="4"/>
      <c r="N86" s="4"/>
      <c r="O86" s="4"/>
      <c r="P86" s="4"/>
      <c r="Q86" s="4"/>
      <c r="R86" s="4"/>
      <c r="S86" s="4"/>
      <c r="T86" s="4"/>
      <c r="U86" s="4"/>
      <c r="V86" s="4"/>
      <c r="W86" s="4"/>
      <c r="X86" s="4"/>
      <c r="Y86" s="4"/>
      <c r="Z86" s="4"/>
    </row>
    <row r="87" spans="1:26" ht="15" customHeight="1" x14ac:dyDescent="0.25">
      <c r="A87" s="21"/>
      <c r="B87" s="22" t="s">
        <v>16</v>
      </c>
      <c r="C87" s="23"/>
      <c r="D87" s="1"/>
      <c r="E87" s="24"/>
      <c r="F87" s="24"/>
      <c r="G87" s="2">
        <f>SUM(G86:G86)</f>
        <v>4</v>
      </c>
      <c r="H87" s="25" t="s">
        <v>71</v>
      </c>
      <c r="I87" s="2">
        <v>71</v>
      </c>
      <c r="J87" s="26">
        <f>G87*I87</f>
        <v>284</v>
      </c>
      <c r="K87" s="24"/>
      <c r="M87" s="4"/>
      <c r="N87" s="4"/>
      <c r="O87" s="4"/>
      <c r="P87" s="4"/>
      <c r="Q87" s="4"/>
      <c r="R87" s="4"/>
      <c r="S87" s="4"/>
      <c r="T87" s="4"/>
      <c r="U87" s="4"/>
      <c r="V87" s="4"/>
      <c r="W87" s="4"/>
      <c r="X87" s="4"/>
      <c r="Y87" s="4"/>
      <c r="Z87" s="4"/>
    </row>
    <row r="88" spans="1:26" x14ac:dyDescent="0.25">
      <c r="A88" s="17"/>
      <c r="B88" s="18" t="s">
        <v>72</v>
      </c>
      <c r="C88" s="19"/>
      <c r="D88" s="19"/>
      <c r="E88" s="19"/>
      <c r="F88" s="19"/>
      <c r="G88" s="19"/>
      <c r="H88" s="19"/>
      <c r="I88" s="19"/>
      <c r="J88" s="26">
        <f>0.13*J87</f>
        <v>36.92</v>
      </c>
      <c r="K88" s="19"/>
      <c r="M88" s="4"/>
      <c r="N88" s="4"/>
      <c r="O88" s="4"/>
      <c r="P88" s="4"/>
      <c r="Q88" s="4"/>
      <c r="R88" s="4"/>
      <c r="S88" s="4"/>
      <c r="T88" s="4"/>
      <c r="U88" s="4"/>
      <c r="V88" s="4"/>
      <c r="W88" s="4"/>
      <c r="X88" s="4"/>
      <c r="Y88" s="4"/>
      <c r="Z88" s="4"/>
    </row>
    <row r="89" spans="1:26" x14ac:dyDescent="0.25">
      <c r="A89" s="17"/>
      <c r="B89" s="18"/>
      <c r="C89" s="19"/>
      <c r="D89" s="19"/>
      <c r="E89" s="19"/>
      <c r="F89" s="19"/>
      <c r="G89" s="19"/>
      <c r="H89" s="19"/>
      <c r="I89" s="19"/>
      <c r="J89" s="26"/>
      <c r="K89" s="19"/>
      <c r="M89" s="4"/>
      <c r="N89" s="4"/>
      <c r="O89" s="4"/>
      <c r="P89" s="4"/>
      <c r="Q89" s="4"/>
      <c r="R89" s="4"/>
      <c r="S89" s="4"/>
      <c r="T89" s="4"/>
      <c r="U89" s="4"/>
      <c r="V89" s="4"/>
      <c r="W89" s="4"/>
      <c r="X89" s="4"/>
      <c r="Y89" s="4"/>
      <c r="Z89" s="4"/>
    </row>
    <row r="90" spans="1:26" x14ac:dyDescent="0.25">
      <c r="A90" s="17">
        <v>14</v>
      </c>
      <c r="B90" s="18" t="s">
        <v>91</v>
      </c>
      <c r="C90" s="19">
        <v>2</v>
      </c>
      <c r="D90" s="20"/>
      <c r="E90" s="19"/>
      <c r="F90" s="19"/>
      <c r="G90" s="20">
        <f t="shared" ref="G90" si="9">PRODUCT(C90:F90)</f>
        <v>2</v>
      </c>
      <c r="H90" s="19" t="s">
        <v>71</v>
      </c>
      <c r="I90" s="28"/>
      <c r="J90" s="28"/>
      <c r="K90" s="19"/>
      <c r="M90" s="4"/>
      <c r="N90" s="4"/>
      <c r="O90" s="4"/>
      <c r="P90" s="4"/>
      <c r="Q90" s="4"/>
      <c r="R90" s="4"/>
      <c r="S90" s="4"/>
      <c r="T90" s="4"/>
      <c r="U90" s="4"/>
      <c r="V90" s="4"/>
      <c r="W90" s="4"/>
      <c r="X90" s="4"/>
      <c r="Y90" s="4"/>
      <c r="Z90" s="4"/>
    </row>
    <row r="91" spans="1:26" ht="15" customHeight="1" x14ac:dyDescent="0.25">
      <c r="A91" s="21"/>
      <c r="B91" s="22" t="s">
        <v>16</v>
      </c>
      <c r="C91" s="23"/>
      <c r="D91" s="1"/>
      <c r="E91" s="24"/>
      <c r="F91" s="24"/>
      <c r="G91" s="2">
        <f>SUM(G90:G90)</f>
        <v>2</v>
      </c>
      <c r="H91" s="25" t="s">
        <v>71</v>
      </c>
      <c r="I91" s="2">
        <v>150</v>
      </c>
      <c r="J91" s="26">
        <f>G91*I91</f>
        <v>300</v>
      </c>
      <c r="K91" s="24"/>
      <c r="M91" s="4"/>
      <c r="N91" s="4"/>
      <c r="O91" s="4"/>
      <c r="P91" s="4"/>
      <c r="Q91" s="4"/>
      <c r="R91" s="4"/>
      <c r="S91" s="4"/>
      <c r="T91" s="4"/>
      <c r="U91" s="4"/>
      <c r="V91" s="4"/>
      <c r="W91" s="4"/>
      <c r="X91" s="4"/>
      <c r="Y91" s="4"/>
      <c r="Z91" s="4"/>
    </row>
    <row r="92" spans="1:26" x14ac:dyDescent="0.25">
      <c r="A92" s="17"/>
      <c r="B92" s="18" t="s">
        <v>72</v>
      </c>
      <c r="C92" s="19"/>
      <c r="D92" s="19"/>
      <c r="E92" s="19"/>
      <c r="F92" s="19"/>
      <c r="G92" s="19"/>
      <c r="H92" s="19"/>
      <c r="I92" s="19"/>
      <c r="J92" s="26">
        <f>0.13*J91</f>
        <v>39</v>
      </c>
      <c r="K92" s="19"/>
      <c r="M92" s="4"/>
      <c r="N92" s="4"/>
      <c r="O92" s="4"/>
      <c r="P92" s="4"/>
      <c r="Q92" s="4"/>
      <c r="R92" s="4"/>
      <c r="S92" s="4"/>
      <c r="T92" s="4"/>
      <c r="U92" s="4"/>
      <c r="V92" s="4"/>
      <c r="W92" s="4"/>
      <c r="X92" s="4"/>
      <c r="Y92" s="4"/>
      <c r="Z92" s="4"/>
    </row>
    <row r="93" spans="1:26" x14ac:dyDescent="0.25">
      <c r="A93" s="17"/>
      <c r="B93" s="18"/>
      <c r="C93" s="19"/>
      <c r="D93" s="19"/>
      <c r="E93" s="19"/>
      <c r="F93" s="19"/>
      <c r="G93" s="19"/>
      <c r="H93" s="19"/>
      <c r="I93" s="19"/>
      <c r="J93" s="26"/>
      <c r="K93" s="19"/>
      <c r="M93" s="4"/>
      <c r="N93" s="4"/>
      <c r="O93" s="4"/>
      <c r="P93" s="4"/>
      <c r="Q93" s="4"/>
      <c r="R93" s="4"/>
      <c r="S93" s="4"/>
      <c r="T93" s="4"/>
      <c r="U93" s="4"/>
      <c r="V93" s="4"/>
      <c r="W93" s="4"/>
      <c r="X93" s="4"/>
      <c r="Y93" s="4"/>
      <c r="Z93" s="4"/>
    </row>
    <row r="94" spans="1:26" x14ac:dyDescent="0.25">
      <c r="A94" s="17">
        <v>15</v>
      </c>
      <c r="B94" s="44" t="s">
        <v>92</v>
      </c>
      <c r="C94" s="19">
        <v>2</v>
      </c>
      <c r="D94" s="20"/>
      <c r="E94" s="19"/>
      <c r="F94" s="19"/>
      <c r="G94" s="20">
        <f t="shared" ref="G94" si="10">PRODUCT(C94:F94)</f>
        <v>2</v>
      </c>
      <c r="H94" s="19" t="s">
        <v>71</v>
      </c>
      <c r="I94" s="28"/>
      <c r="J94" s="28"/>
      <c r="K94" s="19"/>
      <c r="M94" s="4"/>
      <c r="N94" s="4"/>
      <c r="O94" s="4"/>
      <c r="P94" s="4"/>
      <c r="Q94" s="4"/>
      <c r="R94" s="4"/>
      <c r="S94" s="4"/>
      <c r="T94" s="4"/>
      <c r="U94" s="4"/>
      <c r="V94" s="4"/>
      <c r="W94" s="4"/>
      <c r="X94" s="4"/>
      <c r="Y94" s="4"/>
      <c r="Z94" s="4"/>
    </row>
    <row r="95" spans="1:26" ht="15" customHeight="1" x14ac:dyDescent="0.25">
      <c r="A95" s="21"/>
      <c r="B95" s="22" t="s">
        <v>16</v>
      </c>
      <c r="C95" s="23"/>
      <c r="D95" s="1"/>
      <c r="E95" s="24"/>
      <c r="F95" s="24"/>
      <c r="G95" s="2">
        <f>SUM(G94:G94)</f>
        <v>2</v>
      </c>
      <c r="H95" s="25" t="s">
        <v>71</v>
      </c>
      <c r="I95" s="2">
        <v>480</v>
      </c>
      <c r="J95" s="26">
        <f>G95*I95</f>
        <v>960</v>
      </c>
      <c r="K95" s="24"/>
      <c r="M95" s="4"/>
      <c r="N95" s="4"/>
      <c r="O95" s="4"/>
      <c r="P95" s="4"/>
      <c r="Q95" s="4"/>
      <c r="R95" s="4"/>
      <c r="S95" s="4"/>
      <c r="T95" s="4"/>
      <c r="U95" s="4"/>
      <c r="V95" s="4"/>
      <c r="W95" s="4"/>
      <c r="X95" s="4"/>
      <c r="Y95" s="4"/>
      <c r="Z95" s="4"/>
    </row>
    <row r="96" spans="1:26" x14ac:dyDescent="0.25">
      <c r="A96" s="17"/>
      <c r="B96" s="18" t="s">
        <v>72</v>
      </c>
      <c r="C96" s="19"/>
      <c r="D96" s="19"/>
      <c r="E96" s="19"/>
      <c r="F96" s="19"/>
      <c r="G96" s="19"/>
      <c r="H96" s="19"/>
      <c r="I96" s="19"/>
      <c r="J96" s="26">
        <f>0.13*J95</f>
        <v>124.80000000000001</v>
      </c>
      <c r="K96" s="19"/>
      <c r="M96" s="4"/>
      <c r="N96" s="4"/>
      <c r="O96" s="4"/>
      <c r="P96" s="4"/>
      <c r="Q96" s="4"/>
      <c r="R96" s="4"/>
      <c r="S96" s="4"/>
      <c r="T96" s="4"/>
      <c r="U96" s="4"/>
      <c r="V96" s="4"/>
      <c r="W96" s="4"/>
      <c r="X96" s="4"/>
      <c r="Y96" s="4"/>
      <c r="Z96" s="4"/>
    </row>
    <row r="97" spans="1:26" x14ac:dyDescent="0.25">
      <c r="A97" s="17"/>
      <c r="B97" s="18"/>
      <c r="C97" s="19"/>
      <c r="D97" s="19"/>
      <c r="E97" s="19"/>
      <c r="F97" s="19"/>
      <c r="G97" s="19"/>
      <c r="H97" s="19"/>
      <c r="I97" s="19"/>
      <c r="J97" s="26"/>
      <c r="K97" s="19"/>
      <c r="M97" s="4"/>
      <c r="N97" s="4"/>
      <c r="O97" s="4"/>
      <c r="P97" s="4"/>
      <c r="Q97" s="4"/>
      <c r="R97" s="4"/>
      <c r="S97" s="4"/>
      <c r="T97" s="4"/>
      <c r="U97" s="4"/>
      <c r="V97" s="4"/>
      <c r="W97" s="4"/>
      <c r="X97" s="4"/>
      <c r="Y97" s="4"/>
      <c r="Z97" s="4"/>
    </row>
    <row r="98" spans="1:26" x14ac:dyDescent="0.25">
      <c r="A98" s="17">
        <v>16</v>
      </c>
      <c r="B98" s="18" t="s">
        <v>93</v>
      </c>
      <c r="C98" s="19">
        <v>4</v>
      </c>
      <c r="D98" s="20"/>
      <c r="E98" s="19"/>
      <c r="F98" s="19"/>
      <c r="G98" s="20">
        <f>PRODUCT(C98:F98)</f>
        <v>4</v>
      </c>
      <c r="H98" s="19"/>
      <c r="I98" s="28"/>
      <c r="J98" s="28"/>
      <c r="K98" s="19"/>
      <c r="M98" s="4"/>
      <c r="N98" s="4"/>
      <c r="O98" s="4"/>
      <c r="P98" s="4"/>
      <c r="Q98" s="4"/>
      <c r="R98" s="4"/>
      <c r="S98" s="4"/>
      <c r="T98" s="4"/>
      <c r="U98" s="4"/>
      <c r="V98" s="4"/>
      <c r="W98" s="4"/>
      <c r="X98" s="4"/>
      <c r="Y98" s="4"/>
      <c r="Z98" s="4"/>
    </row>
    <row r="99" spans="1:26" ht="15" customHeight="1" x14ac:dyDescent="0.25">
      <c r="A99" s="21"/>
      <c r="B99" s="22" t="s">
        <v>16</v>
      </c>
      <c r="C99" s="23"/>
      <c r="D99" s="1"/>
      <c r="E99" s="24"/>
      <c r="F99" s="24"/>
      <c r="G99" s="2">
        <f>SUM(G98:G98)</f>
        <v>4</v>
      </c>
      <c r="H99" s="25" t="s">
        <v>71</v>
      </c>
      <c r="I99" s="2">
        <v>329</v>
      </c>
      <c r="J99" s="26">
        <f>G99*I99</f>
        <v>1316</v>
      </c>
      <c r="K99" s="24"/>
      <c r="M99" s="4"/>
      <c r="N99" s="4"/>
      <c r="O99" s="4"/>
      <c r="P99" s="4"/>
      <c r="Q99" s="4"/>
      <c r="R99" s="4"/>
      <c r="S99" s="4"/>
      <c r="T99" s="4"/>
      <c r="U99" s="4"/>
      <c r="V99" s="4"/>
      <c r="W99" s="4"/>
      <c r="X99" s="4"/>
      <c r="Y99" s="4"/>
      <c r="Z99" s="4"/>
    </row>
    <row r="100" spans="1:26" x14ac:dyDescent="0.25">
      <c r="A100" s="17"/>
      <c r="B100" s="18" t="s">
        <v>72</v>
      </c>
      <c r="C100" s="19"/>
      <c r="D100" s="19"/>
      <c r="E100" s="19"/>
      <c r="F100" s="19"/>
      <c r="G100" s="19"/>
      <c r="H100" s="19"/>
      <c r="I100" s="19"/>
      <c r="J100" s="26">
        <f>0.13*J99</f>
        <v>171.08</v>
      </c>
      <c r="K100" s="19"/>
      <c r="M100" s="4"/>
      <c r="N100" s="4"/>
      <c r="O100" s="4"/>
      <c r="P100" s="4"/>
      <c r="Q100" s="4"/>
      <c r="R100" s="4"/>
      <c r="S100" s="4"/>
      <c r="T100" s="4"/>
      <c r="U100" s="4"/>
      <c r="V100" s="4"/>
      <c r="W100" s="4"/>
      <c r="X100" s="4"/>
      <c r="Y100" s="4"/>
      <c r="Z100" s="4"/>
    </row>
    <row r="101" spans="1:26" x14ac:dyDescent="0.25">
      <c r="A101" s="17"/>
      <c r="B101" s="18"/>
      <c r="C101" s="19"/>
      <c r="D101" s="19"/>
      <c r="E101" s="19"/>
      <c r="F101" s="19"/>
      <c r="G101" s="19"/>
      <c r="H101" s="19"/>
      <c r="I101" s="19"/>
      <c r="J101" s="26"/>
      <c r="K101" s="19"/>
      <c r="M101" s="4"/>
      <c r="N101" s="4"/>
      <c r="O101" s="4"/>
      <c r="P101" s="4"/>
      <c r="Q101" s="4"/>
      <c r="R101" s="4"/>
      <c r="S101" s="4"/>
      <c r="T101" s="4"/>
      <c r="U101" s="4"/>
      <c r="V101" s="4"/>
      <c r="W101" s="4"/>
      <c r="X101" s="4"/>
      <c r="Y101" s="4"/>
      <c r="Z101" s="4"/>
    </row>
    <row r="102" spans="1:26" x14ac:dyDescent="0.25">
      <c r="A102" s="17">
        <v>17</v>
      </c>
      <c r="B102" s="61" t="s">
        <v>94</v>
      </c>
      <c r="C102" s="19">
        <v>1</v>
      </c>
      <c r="D102" s="20"/>
      <c r="E102" s="19"/>
      <c r="F102" s="19"/>
      <c r="G102" s="20">
        <f t="shared" ref="G102" si="11">PRODUCT(C102:F102)</f>
        <v>1</v>
      </c>
      <c r="H102" s="19" t="s">
        <v>71</v>
      </c>
      <c r="I102" s="28"/>
      <c r="J102" s="28"/>
      <c r="K102" s="19"/>
      <c r="M102" s="4"/>
      <c r="N102" s="4"/>
      <c r="O102" s="4"/>
      <c r="P102" s="4"/>
      <c r="Q102" s="4"/>
      <c r="R102" s="4"/>
      <c r="S102" s="4"/>
      <c r="T102" s="4"/>
      <c r="U102" s="4"/>
      <c r="V102" s="4"/>
      <c r="W102" s="4"/>
      <c r="X102" s="4"/>
      <c r="Y102" s="4"/>
      <c r="Z102" s="4"/>
    </row>
    <row r="103" spans="1:26" ht="15" customHeight="1" x14ac:dyDescent="0.25">
      <c r="A103" s="21"/>
      <c r="B103" s="62" t="s">
        <v>16</v>
      </c>
      <c r="C103" s="23"/>
      <c r="D103" s="1"/>
      <c r="E103" s="24"/>
      <c r="F103" s="24"/>
      <c r="G103" s="2">
        <f>SUM(G102:G102)</f>
        <v>1</v>
      </c>
      <c r="H103" s="25" t="s">
        <v>71</v>
      </c>
      <c r="I103" s="2">
        <v>80</v>
      </c>
      <c r="J103" s="26">
        <f>G103*I103</f>
        <v>80</v>
      </c>
      <c r="K103" s="24"/>
      <c r="M103" s="4"/>
      <c r="N103" s="4"/>
      <c r="O103" s="4"/>
      <c r="P103" s="4"/>
      <c r="Q103" s="4"/>
      <c r="R103" s="4"/>
      <c r="S103" s="4"/>
      <c r="T103" s="4"/>
      <c r="U103" s="4"/>
      <c r="V103" s="4"/>
      <c r="W103" s="4"/>
      <c r="X103" s="4"/>
      <c r="Y103" s="4"/>
      <c r="Z103" s="4"/>
    </row>
    <row r="104" spans="1:26" x14ac:dyDescent="0.25">
      <c r="A104" s="17"/>
      <c r="B104" s="61" t="s">
        <v>72</v>
      </c>
      <c r="C104" s="19"/>
      <c r="D104" s="19"/>
      <c r="E104" s="19"/>
      <c r="F104" s="19"/>
      <c r="G104" s="19"/>
      <c r="H104" s="19"/>
      <c r="I104" s="19"/>
      <c r="J104" s="26">
        <f>0.13*J103</f>
        <v>10.4</v>
      </c>
      <c r="K104" s="19"/>
      <c r="M104" s="4"/>
      <c r="N104" s="4"/>
      <c r="O104" s="4"/>
      <c r="P104" s="4"/>
      <c r="Q104" s="4"/>
      <c r="R104" s="4"/>
      <c r="S104" s="4"/>
      <c r="T104" s="4"/>
      <c r="U104" s="4"/>
      <c r="V104" s="4"/>
      <c r="W104" s="4"/>
      <c r="X104" s="4"/>
      <c r="Y104" s="4"/>
      <c r="Z104" s="4"/>
    </row>
    <row r="105" spans="1:26" x14ac:dyDescent="0.25">
      <c r="A105" s="17"/>
      <c r="B105" s="61"/>
      <c r="C105" s="19"/>
      <c r="D105" s="19"/>
      <c r="E105" s="19"/>
      <c r="F105" s="19"/>
      <c r="G105" s="19"/>
      <c r="H105" s="19"/>
      <c r="I105" s="19"/>
      <c r="J105" s="26"/>
      <c r="K105" s="19"/>
      <c r="M105" s="4"/>
      <c r="N105" s="4"/>
      <c r="O105" s="4"/>
      <c r="P105" s="4"/>
      <c r="Q105" s="4"/>
      <c r="R105" s="4"/>
      <c r="S105" s="4"/>
      <c r="T105" s="4"/>
      <c r="U105" s="4"/>
      <c r="V105" s="4"/>
      <c r="W105" s="4"/>
      <c r="X105" s="4"/>
      <c r="Y105" s="4"/>
      <c r="Z105" s="4"/>
    </row>
    <row r="106" spans="1:26" x14ac:dyDescent="0.25">
      <c r="A106" s="17">
        <v>18</v>
      </c>
      <c r="B106" s="61" t="s">
        <v>95</v>
      </c>
      <c r="C106" s="19">
        <v>4</v>
      </c>
      <c r="D106" s="20"/>
      <c r="E106" s="19"/>
      <c r="F106" s="19"/>
      <c r="G106" s="20">
        <f t="shared" ref="G106" si="12">PRODUCT(C106:F106)</f>
        <v>4</v>
      </c>
      <c r="H106" s="19" t="s">
        <v>71</v>
      </c>
      <c r="I106" s="28"/>
      <c r="J106" s="28"/>
      <c r="K106" s="19"/>
      <c r="M106" s="4"/>
      <c r="N106" s="4"/>
      <c r="O106" s="4"/>
      <c r="P106" s="4"/>
      <c r="Q106" s="4"/>
      <c r="R106" s="4"/>
      <c r="S106" s="4"/>
      <c r="T106" s="4"/>
      <c r="U106" s="4"/>
      <c r="V106" s="4"/>
      <c r="W106" s="4"/>
      <c r="X106" s="4"/>
      <c r="Y106" s="4"/>
      <c r="Z106" s="4"/>
    </row>
    <row r="107" spans="1:26" ht="15" customHeight="1" x14ac:dyDescent="0.25">
      <c r="A107" s="21"/>
      <c r="B107" s="62" t="s">
        <v>16</v>
      </c>
      <c r="C107" s="23"/>
      <c r="D107" s="1"/>
      <c r="E107" s="24"/>
      <c r="F107" s="24"/>
      <c r="G107" s="2">
        <f>SUM(G106:G106)</f>
        <v>4</v>
      </c>
      <c r="H107" s="25" t="s">
        <v>71</v>
      </c>
      <c r="I107" s="2">
        <v>50</v>
      </c>
      <c r="J107" s="26">
        <f>G107*I107</f>
        <v>200</v>
      </c>
      <c r="K107" s="24"/>
      <c r="M107" s="4"/>
      <c r="N107" s="4"/>
      <c r="O107" s="4"/>
      <c r="P107" s="4"/>
      <c r="Q107" s="4"/>
      <c r="R107" s="4"/>
      <c r="S107" s="4"/>
      <c r="T107" s="4"/>
      <c r="U107" s="4"/>
      <c r="V107" s="4"/>
      <c r="W107" s="4"/>
      <c r="X107" s="4"/>
      <c r="Y107" s="4"/>
      <c r="Z107" s="4"/>
    </row>
    <row r="108" spans="1:26" x14ac:dyDescent="0.25">
      <c r="A108" s="17"/>
      <c r="B108" s="61" t="s">
        <v>72</v>
      </c>
      <c r="C108" s="19"/>
      <c r="D108" s="19"/>
      <c r="E108" s="19"/>
      <c r="F108" s="19"/>
      <c r="G108" s="19"/>
      <c r="H108" s="19"/>
      <c r="I108" s="19"/>
      <c r="J108" s="26">
        <f>0.13*J107</f>
        <v>26</v>
      </c>
      <c r="K108" s="19"/>
      <c r="M108" s="4"/>
      <c r="N108" s="4"/>
      <c r="O108" s="4"/>
      <c r="P108" s="4"/>
      <c r="Q108" s="4"/>
      <c r="R108" s="4"/>
      <c r="S108" s="4"/>
      <c r="T108" s="4"/>
      <c r="U108" s="4"/>
      <c r="V108" s="4"/>
      <c r="W108" s="4"/>
      <c r="X108" s="4"/>
      <c r="Y108" s="4"/>
      <c r="Z108" s="4"/>
    </row>
    <row r="109" spans="1:26" x14ac:dyDescent="0.25">
      <c r="A109" s="17"/>
      <c r="B109" s="18"/>
      <c r="C109" s="19"/>
      <c r="D109" s="19"/>
      <c r="E109" s="19"/>
      <c r="F109" s="19"/>
      <c r="G109" s="19"/>
      <c r="H109" s="19"/>
      <c r="I109" s="19"/>
      <c r="J109" s="26"/>
      <c r="K109" s="19"/>
      <c r="M109" s="4"/>
      <c r="N109" s="4"/>
      <c r="O109" s="4"/>
      <c r="P109" s="4"/>
      <c r="Q109" s="4"/>
      <c r="R109" s="4"/>
      <c r="S109" s="4"/>
      <c r="T109" s="4"/>
      <c r="U109" s="4"/>
      <c r="V109" s="4"/>
      <c r="W109" s="4"/>
      <c r="X109" s="4"/>
      <c r="Y109" s="4"/>
      <c r="Z109" s="4"/>
    </row>
    <row r="110" spans="1:26" ht="30" x14ac:dyDescent="0.25">
      <c r="A110" s="17">
        <v>19</v>
      </c>
      <c r="B110" s="44" t="s">
        <v>96</v>
      </c>
      <c r="C110" s="19">
        <v>4</v>
      </c>
      <c r="D110" s="20"/>
      <c r="E110" s="19"/>
      <c r="F110" s="19"/>
      <c r="G110" s="20">
        <f t="shared" ref="G110" si="13">PRODUCT(C110:F110)</f>
        <v>4</v>
      </c>
      <c r="H110" s="19" t="s">
        <v>71</v>
      </c>
      <c r="I110" s="28"/>
      <c r="J110" s="28"/>
      <c r="K110" s="19"/>
      <c r="M110" s="4"/>
      <c r="N110" s="4"/>
      <c r="O110" s="4"/>
      <c r="P110" s="4"/>
      <c r="Q110" s="4"/>
      <c r="R110" s="4"/>
      <c r="S110" s="4"/>
      <c r="T110" s="4"/>
      <c r="U110" s="4"/>
      <c r="V110" s="4"/>
      <c r="W110" s="4"/>
      <c r="X110" s="4"/>
      <c r="Y110" s="4"/>
      <c r="Z110" s="4"/>
    </row>
    <row r="111" spans="1:26" ht="15" customHeight="1" x14ac:dyDescent="0.25">
      <c r="A111" s="21"/>
      <c r="B111" s="22" t="s">
        <v>16</v>
      </c>
      <c r="C111" s="23"/>
      <c r="D111" s="1"/>
      <c r="E111" s="24"/>
      <c r="F111" s="24"/>
      <c r="G111" s="2">
        <f>SUM(G110:G110)</f>
        <v>4</v>
      </c>
      <c r="H111" s="25" t="s">
        <v>71</v>
      </c>
      <c r="I111" s="2">
        <v>22</v>
      </c>
      <c r="J111" s="26">
        <f>G111*I111</f>
        <v>88</v>
      </c>
      <c r="K111" s="24"/>
      <c r="M111" s="4"/>
      <c r="N111" s="4"/>
      <c r="O111" s="4"/>
      <c r="P111" s="4"/>
      <c r="Q111" s="4"/>
      <c r="R111" s="4"/>
      <c r="S111" s="4"/>
      <c r="T111" s="4"/>
      <c r="U111" s="4"/>
      <c r="V111" s="4"/>
      <c r="W111" s="4"/>
      <c r="X111" s="4"/>
      <c r="Y111" s="4"/>
      <c r="Z111" s="4"/>
    </row>
    <row r="112" spans="1:26" x14ac:dyDescent="0.25">
      <c r="A112" s="17"/>
      <c r="B112" s="18" t="s">
        <v>72</v>
      </c>
      <c r="C112" s="19"/>
      <c r="D112" s="19"/>
      <c r="E112" s="19"/>
      <c r="F112" s="19"/>
      <c r="G112" s="19"/>
      <c r="H112" s="19"/>
      <c r="I112" s="19"/>
      <c r="J112" s="26">
        <f>0.13*J111</f>
        <v>11.440000000000001</v>
      </c>
      <c r="K112" s="19"/>
      <c r="M112" s="4"/>
      <c r="N112" s="4"/>
      <c r="O112" s="4"/>
      <c r="P112" s="4"/>
      <c r="Q112" s="4"/>
      <c r="R112" s="4"/>
      <c r="S112" s="4"/>
      <c r="T112" s="4"/>
      <c r="U112" s="4"/>
      <c r="V112" s="4"/>
      <c r="W112" s="4"/>
      <c r="X112" s="4"/>
      <c r="Y112" s="4"/>
      <c r="Z112" s="4"/>
    </row>
    <row r="113" spans="1:26" x14ac:dyDescent="0.25">
      <c r="A113" s="17"/>
      <c r="B113" s="18"/>
      <c r="C113" s="19"/>
      <c r="D113" s="19"/>
      <c r="E113" s="19"/>
      <c r="F113" s="19"/>
      <c r="G113" s="19"/>
      <c r="H113" s="19"/>
      <c r="I113" s="19"/>
      <c r="J113" s="26"/>
      <c r="K113" s="19"/>
      <c r="M113" s="4"/>
      <c r="N113" s="4"/>
      <c r="O113" s="4"/>
      <c r="P113" s="4"/>
      <c r="Q113" s="4"/>
      <c r="R113" s="4"/>
      <c r="S113" s="4"/>
      <c r="T113" s="4"/>
      <c r="U113" s="4"/>
      <c r="V113" s="4"/>
      <c r="W113" s="4"/>
      <c r="X113" s="4"/>
      <c r="Y113" s="4"/>
      <c r="Z113" s="4"/>
    </row>
    <row r="114" spans="1:26" x14ac:dyDescent="0.25">
      <c r="A114" s="17">
        <v>20</v>
      </c>
      <c r="B114" s="18" t="s">
        <v>97</v>
      </c>
      <c r="C114" s="19">
        <v>4</v>
      </c>
      <c r="D114" s="20"/>
      <c r="E114" s="19"/>
      <c r="F114" s="19"/>
      <c r="G114" s="20">
        <f>PRODUCT(C114:F114)</f>
        <v>4</v>
      </c>
      <c r="H114" s="19"/>
      <c r="I114" s="28"/>
      <c r="J114" s="28"/>
      <c r="K114" s="19"/>
      <c r="M114" s="4"/>
      <c r="N114" s="4"/>
      <c r="O114" s="4"/>
      <c r="P114" s="4"/>
      <c r="Q114" s="4"/>
      <c r="R114" s="4"/>
      <c r="S114" s="4"/>
      <c r="T114" s="4"/>
      <c r="U114" s="4"/>
      <c r="V114" s="4"/>
      <c r="W114" s="4"/>
      <c r="X114" s="4"/>
      <c r="Y114" s="4"/>
      <c r="Z114" s="4"/>
    </row>
    <row r="115" spans="1:26" ht="15" customHeight="1" x14ac:dyDescent="0.25">
      <c r="A115" s="21"/>
      <c r="B115" s="22" t="s">
        <v>16</v>
      </c>
      <c r="C115" s="23"/>
      <c r="D115" s="1"/>
      <c r="E115" s="24"/>
      <c r="F115" s="24"/>
      <c r="G115" s="2">
        <f>SUM(G114:G114)</f>
        <v>4</v>
      </c>
      <c r="H115" s="25" t="s">
        <v>71</v>
      </c>
      <c r="I115" s="2">
        <v>113</v>
      </c>
      <c r="J115" s="26">
        <f>G115*I115</f>
        <v>452</v>
      </c>
      <c r="K115" s="24"/>
      <c r="M115" s="4"/>
      <c r="N115" s="4"/>
      <c r="O115" s="4"/>
      <c r="P115" s="4"/>
      <c r="Q115" s="4"/>
      <c r="R115" s="4"/>
      <c r="S115" s="4"/>
      <c r="T115" s="4"/>
      <c r="U115" s="4"/>
      <c r="V115" s="4"/>
      <c r="W115" s="4"/>
      <c r="X115" s="4"/>
      <c r="Y115" s="4"/>
      <c r="Z115" s="4"/>
    </row>
    <row r="116" spans="1:26" x14ac:dyDescent="0.25">
      <c r="A116" s="17"/>
      <c r="B116" s="18" t="s">
        <v>72</v>
      </c>
      <c r="C116" s="19"/>
      <c r="D116" s="19"/>
      <c r="E116" s="19"/>
      <c r="F116" s="19"/>
      <c r="G116" s="19"/>
      <c r="H116" s="19"/>
      <c r="I116" s="19"/>
      <c r="J116" s="26">
        <f>0.13*J115</f>
        <v>58.760000000000005</v>
      </c>
      <c r="K116" s="19"/>
      <c r="M116" s="4"/>
      <c r="N116" s="4"/>
      <c r="O116" s="4"/>
      <c r="P116" s="4"/>
      <c r="Q116" s="4"/>
      <c r="R116" s="4"/>
      <c r="S116" s="4"/>
      <c r="T116" s="4"/>
      <c r="U116" s="4"/>
      <c r="V116" s="4"/>
      <c r="W116" s="4"/>
      <c r="X116" s="4"/>
      <c r="Y116" s="4"/>
      <c r="Z116" s="4"/>
    </row>
    <row r="117" spans="1:26" x14ac:dyDescent="0.25">
      <c r="A117" s="17"/>
      <c r="B117" s="18"/>
      <c r="C117" s="19"/>
      <c r="D117" s="19"/>
      <c r="E117" s="19"/>
      <c r="F117" s="19"/>
      <c r="G117" s="19"/>
      <c r="H117" s="19"/>
      <c r="I117" s="19"/>
      <c r="J117" s="26"/>
      <c r="K117" s="19"/>
      <c r="M117" s="4"/>
      <c r="N117" s="4"/>
      <c r="O117" s="4"/>
      <c r="P117" s="4"/>
      <c r="Q117" s="4"/>
      <c r="R117" s="4"/>
      <c r="S117" s="4"/>
      <c r="T117" s="4"/>
      <c r="U117" s="4"/>
      <c r="V117" s="4"/>
      <c r="W117" s="4"/>
      <c r="X117" s="4"/>
      <c r="Y117" s="4"/>
      <c r="Z117" s="4"/>
    </row>
    <row r="118" spans="1:26" x14ac:dyDescent="0.25">
      <c r="A118" s="17">
        <v>21</v>
      </c>
      <c r="B118" s="18" t="s">
        <v>70</v>
      </c>
      <c r="C118" s="19">
        <v>4</v>
      </c>
      <c r="D118" s="20"/>
      <c r="E118" s="19"/>
      <c r="F118" s="19"/>
      <c r="G118" s="20">
        <f>PRODUCT(C118:F118)</f>
        <v>4</v>
      </c>
      <c r="H118" s="19"/>
      <c r="I118" s="28"/>
      <c r="J118" s="28"/>
      <c r="K118" s="19"/>
      <c r="M118" s="4"/>
      <c r="N118" s="4"/>
      <c r="O118" s="4"/>
      <c r="P118" s="4"/>
      <c r="Q118" s="4"/>
      <c r="R118" s="4"/>
      <c r="S118" s="4"/>
      <c r="T118" s="4"/>
      <c r="U118" s="4"/>
      <c r="V118" s="4"/>
      <c r="W118" s="4"/>
      <c r="X118" s="4"/>
      <c r="Y118" s="4"/>
      <c r="Z118" s="4"/>
    </row>
    <row r="119" spans="1:26" ht="15" customHeight="1" x14ac:dyDescent="0.25">
      <c r="A119" s="21"/>
      <c r="B119" s="22" t="s">
        <v>16</v>
      </c>
      <c r="C119" s="23"/>
      <c r="D119" s="1"/>
      <c r="E119" s="24"/>
      <c r="F119" s="24"/>
      <c r="G119" s="2">
        <f>SUM(G118:G118)</f>
        <v>4</v>
      </c>
      <c r="H119" s="25" t="s">
        <v>71</v>
      </c>
      <c r="I119" s="2">
        <v>153</v>
      </c>
      <c r="J119" s="26">
        <f>G119*I119</f>
        <v>612</v>
      </c>
      <c r="K119" s="24"/>
      <c r="M119" s="4"/>
      <c r="N119" s="4"/>
      <c r="O119" s="4"/>
      <c r="P119" s="4"/>
      <c r="Q119" s="4"/>
      <c r="R119" s="4"/>
      <c r="S119" s="4"/>
      <c r="T119" s="4"/>
      <c r="U119" s="4"/>
      <c r="V119" s="4"/>
      <c r="W119" s="4"/>
      <c r="X119" s="4"/>
      <c r="Y119" s="4"/>
      <c r="Z119" s="4"/>
    </row>
    <row r="120" spans="1:26" x14ac:dyDescent="0.25">
      <c r="A120" s="17"/>
      <c r="B120" s="18" t="s">
        <v>72</v>
      </c>
      <c r="C120" s="19"/>
      <c r="D120" s="19"/>
      <c r="E120" s="19"/>
      <c r="F120" s="19"/>
      <c r="G120" s="19"/>
      <c r="H120" s="19"/>
      <c r="I120" s="19"/>
      <c r="J120" s="26">
        <f>0.13*J119</f>
        <v>79.56</v>
      </c>
      <c r="K120" s="19"/>
      <c r="M120" s="4"/>
      <c r="N120" s="4"/>
      <c r="O120" s="4"/>
      <c r="P120" s="4"/>
      <c r="Q120" s="4"/>
      <c r="R120" s="4"/>
      <c r="S120" s="4"/>
      <c r="T120" s="4"/>
      <c r="U120" s="4"/>
      <c r="V120" s="4"/>
      <c r="W120" s="4"/>
      <c r="X120" s="4"/>
      <c r="Y120" s="4"/>
      <c r="Z120" s="4"/>
    </row>
    <row r="121" spans="1:26" x14ac:dyDescent="0.25">
      <c r="A121" s="17"/>
      <c r="B121" s="18"/>
      <c r="C121" s="19"/>
      <c r="D121" s="19"/>
      <c r="E121" s="19"/>
      <c r="F121" s="19"/>
      <c r="G121" s="19"/>
      <c r="H121" s="19"/>
      <c r="I121" s="19"/>
      <c r="J121" s="26"/>
      <c r="K121" s="19"/>
      <c r="M121" s="4"/>
      <c r="N121" s="4"/>
      <c r="O121" s="4"/>
      <c r="P121" s="4"/>
      <c r="Q121" s="4"/>
      <c r="R121" s="4"/>
      <c r="S121" s="4"/>
      <c r="T121" s="4"/>
      <c r="U121" s="4"/>
      <c r="V121" s="4"/>
      <c r="W121" s="4"/>
      <c r="X121" s="4"/>
      <c r="Y121" s="4"/>
      <c r="Z121" s="4"/>
    </row>
    <row r="122" spans="1:26" x14ac:dyDescent="0.25">
      <c r="A122" s="17">
        <v>22</v>
      </c>
      <c r="B122" s="18" t="s">
        <v>98</v>
      </c>
      <c r="C122" s="19">
        <v>1</v>
      </c>
      <c r="D122" s="20">
        <v>5000</v>
      </c>
      <c r="E122" s="19"/>
      <c r="F122" s="19"/>
      <c r="G122" s="20">
        <f t="shared" si="8"/>
        <v>5000</v>
      </c>
      <c r="H122" s="19"/>
      <c r="I122" s="28"/>
      <c r="J122" s="28"/>
      <c r="K122" s="19"/>
      <c r="M122" s="4"/>
      <c r="N122" s="4"/>
      <c r="O122" s="4"/>
      <c r="P122" s="4"/>
      <c r="Q122" s="4"/>
      <c r="R122" s="4"/>
      <c r="S122" s="4"/>
      <c r="T122" s="4"/>
      <c r="U122" s="4"/>
      <c r="V122" s="4"/>
      <c r="W122" s="4"/>
      <c r="X122" s="4"/>
      <c r="Y122" s="4"/>
      <c r="Z122" s="4"/>
    </row>
    <row r="123" spans="1:26" ht="15" customHeight="1" x14ac:dyDescent="0.25">
      <c r="A123" s="21"/>
      <c r="B123" s="22" t="s">
        <v>16</v>
      </c>
      <c r="C123" s="23"/>
      <c r="D123" s="1"/>
      <c r="E123" s="24"/>
      <c r="F123" s="24"/>
      <c r="G123" s="2">
        <f>SUM(G122:G122)</f>
        <v>5000</v>
      </c>
      <c r="H123" s="25" t="s">
        <v>99</v>
      </c>
      <c r="I123" s="2">
        <v>10</v>
      </c>
      <c r="J123" s="26">
        <f>G123*I123</f>
        <v>50000</v>
      </c>
      <c r="K123" s="24"/>
      <c r="M123" s="4"/>
      <c r="N123" s="4"/>
      <c r="O123" s="4"/>
      <c r="P123" s="4"/>
      <c r="Q123" s="4"/>
      <c r="R123" s="4"/>
      <c r="S123" s="4"/>
      <c r="T123" s="4"/>
      <c r="U123" s="4"/>
      <c r="V123" s="4"/>
      <c r="W123" s="4"/>
      <c r="X123" s="4"/>
      <c r="Y123" s="4"/>
      <c r="Z123" s="4"/>
    </row>
    <row r="124" spans="1:26" x14ac:dyDescent="0.25">
      <c r="A124" s="17"/>
      <c r="B124" s="18" t="s">
        <v>72</v>
      </c>
      <c r="C124" s="19"/>
      <c r="D124" s="19"/>
      <c r="E124" s="19"/>
      <c r="F124" s="19"/>
      <c r="G124" s="19"/>
      <c r="H124" s="19"/>
      <c r="I124" s="19"/>
      <c r="J124" s="26">
        <f>0.13*J123</f>
        <v>6500</v>
      </c>
      <c r="K124" s="19"/>
      <c r="M124" s="4"/>
      <c r="N124" s="4"/>
      <c r="O124" s="4"/>
      <c r="P124" s="4"/>
      <c r="Q124" s="4"/>
      <c r="R124" s="4"/>
      <c r="S124" s="4"/>
      <c r="T124" s="4"/>
      <c r="U124" s="4"/>
      <c r="V124" s="4"/>
      <c r="W124" s="4"/>
      <c r="X124" s="4"/>
      <c r="Y124" s="4"/>
      <c r="Z124" s="4"/>
    </row>
    <row r="125" spans="1:26" x14ac:dyDescent="0.25">
      <c r="A125" s="17"/>
      <c r="B125" s="18"/>
      <c r="C125" s="19"/>
      <c r="D125" s="19"/>
      <c r="E125" s="19"/>
      <c r="F125" s="19"/>
      <c r="G125" s="19"/>
      <c r="H125" s="19"/>
      <c r="I125" s="19"/>
      <c r="J125" s="26"/>
      <c r="K125" s="19"/>
      <c r="M125" s="4"/>
      <c r="N125" s="4"/>
      <c r="O125" s="4"/>
      <c r="P125" s="4"/>
      <c r="Q125" s="4"/>
      <c r="R125" s="4"/>
      <c r="S125" s="4"/>
      <c r="T125" s="4"/>
      <c r="U125" s="4"/>
      <c r="V125" s="4"/>
      <c r="W125" s="4"/>
      <c r="X125" s="4"/>
      <c r="Y125" s="4"/>
      <c r="Z125" s="4"/>
    </row>
    <row r="126" spans="1:26" x14ac:dyDescent="0.25">
      <c r="A126" s="17">
        <v>23</v>
      </c>
      <c r="B126" s="18" t="s">
        <v>100</v>
      </c>
      <c r="C126" s="19">
        <v>2</v>
      </c>
      <c r="D126" s="20"/>
      <c r="E126" s="19"/>
      <c r="F126" s="19"/>
      <c r="G126" s="20">
        <f>PRODUCT(C126:F126)</f>
        <v>2</v>
      </c>
      <c r="H126" s="19"/>
      <c r="I126" s="28"/>
      <c r="J126" s="28"/>
      <c r="K126" s="19"/>
      <c r="M126" s="4"/>
      <c r="N126" s="4"/>
      <c r="O126" s="4"/>
      <c r="P126" s="4"/>
      <c r="Q126" s="4"/>
      <c r="R126" s="4"/>
      <c r="S126" s="4"/>
      <c r="T126" s="4"/>
      <c r="U126" s="4"/>
      <c r="V126" s="4"/>
      <c r="W126" s="4"/>
      <c r="X126" s="4"/>
      <c r="Y126" s="4"/>
      <c r="Z126" s="4"/>
    </row>
    <row r="127" spans="1:26" ht="15" customHeight="1" x14ac:dyDescent="0.25">
      <c r="A127" s="21"/>
      <c r="B127" s="22" t="s">
        <v>16</v>
      </c>
      <c r="C127" s="23"/>
      <c r="D127" s="1"/>
      <c r="E127" s="24"/>
      <c r="F127" s="24"/>
      <c r="G127" s="2">
        <f>SUM(G126:G126)</f>
        <v>2</v>
      </c>
      <c r="H127" s="25" t="s">
        <v>71</v>
      </c>
      <c r="I127" s="2">
        <v>514</v>
      </c>
      <c r="J127" s="26">
        <f>G127*I127</f>
        <v>1028</v>
      </c>
      <c r="K127" s="24"/>
      <c r="M127" s="4"/>
      <c r="N127" s="4"/>
      <c r="O127" s="4"/>
      <c r="P127" s="4"/>
      <c r="Q127" s="4"/>
      <c r="R127" s="4"/>
      <c r="S127" s="4"/>
      <c r="T127" s="4"/>
      <c r="U127" s="4"/>
      <c r="V127" s="4"/>
      <c r="W127" s="4"/>
      <c r="X127" s="4"/>
      <c r="Y127" s="4"/>
      <c r="Z127" s="4"/>
    </row>
    <row r="128" spans="1:26" x14ac:dyDescent="0.25">
      <c r="A128" s="17"/>
      <c r="B128" s="18" t="s">
        <v>72</v>
      </c>
      <c r="C128" s="19"/>
      <c r="D128" s="19"/>
      <c r="E128" s="19"/>
      <c r="F128" s="19"/>
      <c r="G128" s="19"/>
      <c r="H128" s="19"/>
      <c r="I128" s="19"/>
      <c r="J128" s="26">
        <f>0.13*J127</f>
        <v>133.64000000000001</v>
      </c>
      <c r="K128" s="19"/>
      <c r="M128" s="4"/>
      <c r="N128" s="4"/>
      <c r="O128" s="4"/>
      <c r="P128" s="4"/>
      <c r="Q128" s="4"/>
      <c r="R128" s="4"/>
      <c r="S128" s="4"/>
      <c r="T128" s="4"/>
      <c r="U128" s="4"/>
      <c r="V128" s="4"/>
      <c r="W128" s="4"/>
      <c r="X128" s="4"/>
      <c r="Y128" s="4"/>
      <c r="Z128" s="4"/>
    </row>
    <row r="129" spans="1:26" x14ac:dyDescent="0.25">
      <c r="A129" s="17"/>
      <c r="B129" s="18"/>
      <c r="C129" s="19"/>
      <c r="D129" s="19"/>
      <c r="E129" s="19"/>
      <c r="F129" s="19"/>
      <c r="G129" s="19"/>
      <c r="H129" s="19"/>
      <c r="I129" s="19"/>
      <c r="J129" s="26"/>
      <c r="K129" s="19"/>
      <c r="M129" s="4"/>
      <c r="N129" s="4"/>
      <c r="O129" s="4"/>
      <c r="P129" s="4"/>
      <c r="Q129" s="4"/>
      <c r="R129" s="4"/>
      <c r="S129" s="4"/>
      <c r="T129" s="4"/>
      <c r="U129" s="4"/>
      <c r="V129" s="4"/>
      <c r="W129" s="4"/>
      <c r="X129" s="4"/>
      <c r="Y129" s="4"/>
      <c r="Z129" s="4"/>
    </row>
    <row r="130" spans="1:26" x14ac:dyDescent="0.25">
      <c r="A130" s="17">
        <v>24</v>
      </c>
      <c r="B130" s="18" t="s">
        <v>101</v>
      </c>
      <c r="C130" s="19">
        <v>2</v>
      </c>
      <c r="D130" s="20"/>
      <c r="E130" s="19"/>
      <c r="F130" s="19"/>
      <c r="G130" s="20">
        <f>PRODUCT(C130:F130)</f>
        <v>2</v>
      </c>
      <c r="H130" s="19"/>
      <c r="I130" s="28"/>
      <c r="J130" s="28"/>
      <c r="K130" s="19"/>
      <c r="M130" s="4"/>
      <c r="N130" s="4"/>
      <c r="O130" s="4"/>
      <c r="P130" s="4"/>
      <c r="Q130" s="4"/>
      <c r="R130" s="4"/>
      <c r="S130" s="4"/>
      <c r="T130" s="4"/>
      <c r="U130" s="4"/>
      <c r="V130" s="4"/>
      <c r="W130" s="4"/>
      <c r="X130" s="4"/>
      <c r="Y130" s="4"/>
      <c r="Z130" s="4"/>
    </row>
    <row r="131" spans="1:26" ht="15" customHeight="1" x14ac:dyDescent="0.25">
      <c r="A131" s="21"/>
      <c r="B131" s="22" t="s">
        <v>16</v>
      </c>
      <c r="C131" s="23"/>
      <c r="D131" s="1"/>
      <c r="E131" s="24"/>
      <c r="F131" s="24"/>
      <c r="G131" s="2">
        <f>SUM(G130:G130)</f>
        <v>2</v>
      </c>
      <c r="H131" s="25" t="s">
        <v>71</v>
      </c>
      <c r="I131" s="2">
        <v>154</v>
      </c>
      <c r="J131" s="26">
        <f>G131*I131</f>
        <v>308</v>
      </c>
      <c r="K131" s="24"/>
      <c r="M131" s="4"/>
      <c r="N131" s="4"/>
      <c r="O131" s="4"/>
      <c r="P131" s="4"/>
      <c r="Q131" s="4"/>
      <c r="R131" s="4"/>
      <c r="S131" s="4"/>
      <c r="T131" s="4"/>
      <c r="U131" s="4"/>
      <c r="V131" s="4"/>
      <c r="W131" s="4"/>
      <c r="X131" s="4"/>
      <c r="Y131" s="4"/>
      <c r="Z131" s="4"/>
    </row>
    <row r="132" spans="1:26" x14ac:dyDescent="0.25">
      <c r="A132" s="17"/>
      <c r="B132" s="18" t="s">
        <v>72</v>
      </c>
      <c r="C132" s="19"/>
      <c r="D132" s="19"/>
      <c r="E132" s="19"/>
      <c r="F132" s="19"/>
      <c r="G132" s="19"/>
      <c r="H132" s="19"/>
      <c r="I132" s="19"/>
      <c r="J132" s="26">
        <f>0.13*J131</f>
        <v>40.04</v>
      </c>
      <c r="K132" s="19"/>
      <c r="M132" s="4"/>
      <c r="N132" s="4"/>
      <c r="O132" s="4"/>
      <c r="P132" s="4"/>
      <c r="Q132" s="4"/>
      <c r="R132" s="4"/>
      <c r="S132" s="4"/>
      <c r="T132" s="4"/>
      <c r="U132" s="4"/>
      <c r="V132" s="4"/>
      <c r="W132" s="4"/>
      <c r="X132" s="4"/>
      <c r="Y132" s="4"/>
      <c r="Z132" s="4"/>
    </row>
    <row r="133" spans="1:26" x14ac:dyDescent="0.25">
      <c r="A133" s="17"/>
      <c r="B133" s="18"/>
      <c r="C133" s="19"/>
      <c r="D133" s="19"/>
      <c r="E133" s="19"/>
      <c r="F133" s="19"/>
      <c r="G133" s="19"/>
      <c r="H133" s="19"/>
      <c r="I133" s="19"/>
      <c r="J133" s="26"/>
      <c r="K133" s="19"/>
      <c r="M133" s="4"/>
      <c r="N133" s="4"/>
      <c r="O133" s="4"/>
      <c r="P133" s="4"/>
      <c r="Q133" s="4"/>
      <c r="R133" s="4"/>
      <c r="S133" s="4"/>
      <c r="T133" s="4"/>
      <c r="U133" s="4"/>
      <c r="V133" s="4"/>
      <c r="W133" s="4"/>
      <c r="X133" s="4"/>
      <c r="Y133" s="4"/>
      <c r="Z133" s="4"/>
    </row>
    <row r="134" spans="1:26" x14ac:dyDescent="0.25">
      <c r="A134" s="17">
        <v>25</v>
      </c>
      <c r="B134" s="18" t="s">
        <v>102</v>
      </c>
      <c r="C134" s="19">
        <v>2</v>
      </c>
      <c r="D134" s="20"/>
      <c r="E134" s="19"/>
      <c r="F134" s="19"/>
      <c r="G134" s="20">
        <f>PRODUCT(C134:F134)</f>
        <v>2</v>
      </c>
      <c r="H134" s="19"/>
      <c r="I134" s="28"/>
      <c r="J134" s="28"/>
      <c r="K134" s="19"/>
      <c r="M134" s="4"/>
      <c r="N134" s="4"/>
      <c r="O134" s="4"/>
      <c r="P134" s="4"/>
      <c r="Q134" s="4"/>
      <c r="R134" s="4"/>
      <c r="S134" s="4"/>
      <c r="T134" s="4"/>
      <c r="U134" s="4"/>
      <c r="V134" s="4"/>
      <c r="W134" s="4"/>
      <c r="X134" s="4"/>
      <c r="Y134" s="4"/>
      <c r="Z134" s="4"/>
    </row>
    <row r="135" spans="1:26" ht="15" customHeight="1" x14ac:dyDescent="0.25">
      <c r="A135" s="21"/>
      <c r="B135" s="22" t="s">
        <v>16</v>
      </c>
      <c r="C135" s="23"/>
      <c r="D135" s="1"/>
      <c r="E135" s="24"/>
      <c r="F135" s="24"/>
      <c r="G135" s="2">
        <f>SUM(G134:G134)</f>
        <v>2</v>
      </c>
      <c r="H135" s="25" t="s">
        <v>71</v>
      </c>
      <c r="I135" s="2">
        <v>66</v>
      </c>
      <c r="J135" s="26">
        <f>G135*I135</f>
        <v>132</v>
      </c>
      <c r="K135" s="24"/>
      <c r="M135" s="4"/>
      <c r="N135" s="4"/>
      <c r="O135" s="4"/>
      <c r="P135" s="4"/>
      <c r="Q135" s="4"/>
      <c r="R135" s="4"/>
      <c r="S135" s="4"/>
      <c r="T135" s="4"/>
      <c r="U135" s="4"/>
      <c r="V135" s="4"/>
      <c r="W135" s="4"/>
      <c r="X135" s="4"/>
      <c r="Y135" s="4"/>
      <c r="Z135" s="4"/>
    </row>
    <row r="136" spans="1:26" x14ac:dyDescent="0.25">
      <c r="A136" s="17"/>
      <c r="B136" s="18" t="s">
        <v>72</v>
      </c>
      <c r="C136" s="19"/>
      <c r="D136" s="19"/>
      <c r="E136" s="19"/>
      <c r="F136" s="19"/>
      <c r="G136" s="19"/>
      <c r="H136" s="19"/>
      <c r="I136" s="19"/>
      <c r="J136" s="26">
        <f>0.13*J135</f>
        <v>17.16</v>
      </c>
      <c r="K136" s="19"/>
      <c r="M136" s="4"/>
      <c r="N136" s="4"/>
      <c r="O136" s="4"/>
      <c r="P136" s="4"/>
      <c r="Q136" s="4"/>
      <c r="R136" s="4"/>
      <c r="S136" s="4"/>
      <c r="T136" s="4"/>
      <c r="U136" s="4"/>
      <c r="V136" s="4"/>
      <c r="W136" s="4"/>
      <c r="X136" s="4"/>
      <c r="Y136" s="4"/>
      <c r="Z136" s="4"/>
    </row>
    <row r="137" spans="1:26" ht="15.75" x14ac:dyDescent="0.25">
      <c r="A137" s="7"/>
      <c r="B137" s="8"/>
      <c r="C137" s="7"/>
      <c r="D137" s="9"/>
      <c r="E137" s="9"/>
      <c r="F137" s="9"/>
      <c r="G137" s="9"/>
      <c r="H137" s="7"/>
      <c r="I137" s="9"/>
      <c r="J137" s="9"/>
      <c r="K137" s="10"/>
      <c r="M137" s="11"/>
      <c r="N137" s="11"/>
      <c r="O137" s="11"/>
      <c r="P137" s="11"/>
      <c r="Q137" s="11"/>
      <c r="R137" s="11"/>
      <c r="S137" s="11"/>
      <c r="T137" s="11"/>
      <c r="U137" s="11"/>
      <c r="V137" s="11"/>
      <c r="W137" s="11"/>
      <c r="X137" s="11"/>
      <c r="Y137" s="11"/>
      <c r="Z137" s="4"/>
    </row>
    <row r="138" spans="1:26" ht="15.75" x14ac:dyDescent="0.25">
      <c r="A138" s="7" t="s">
        <v>73</v>
      </c>
      <c r="B138" s="8" t="s">
        <v>74</v>
      </c>
      <c r="C138" s="7"/>
      <c r="D138" s="9"/>
      <c r="E138" s="9"/>
      <c r="F138" s="9"/>
      <c r="G138" s="9"/>
      <c r="H138" s="7"/>
      <c r="I138" s="9"/>
      <c r="J138" s="9"/>
      <c r="K138" s="10"/>
      <c r="M138" s="4"/>
      <c r="N138" s="4"/>
      <c r="O138" s="4"/>
      <c r="P138" s="4"/>
      <c r="Q138" s="4"/>
      <c r="R138" s="4"/>
      <c r="S138" s="4"/>
      <c r="T138" s="4"/>
      <c r="U138" s="4"/>
      <c r="V138" s="4"/>
      <c r="W138" s="4"/>
      <c r="X138" s="4"/>
      <c r="Y138" s="4"/>
      <c r="Z138" s="4"/>
    </row>
    <row r="139" spans="1:26" ht="168" x14ac:dyDescent="0.25">
      <c r="A139" s="17">
        <v>26</v>
      </c>
      <c r="B139" s="13" t="s">
        <v>75</v>
      </c>
      <c r="C139" s="19"/>
      <c r="D139" s="19"/>
      <c r="E139" s="19"/>
      <c r="F139" s="19"/>
      <c r="G139" s="19"/>
      <c r="H139" s="19"/>
      <c r="I139" s="19"/>
      <c r="J139" s="26"/>
      <c r="K139" s="19"/>
      <c r="M139" s="11"/>
      <c r="N139" s="11"/>
      <c r="O139" s="11"/>
      <c r="P139" s="11"/>
      <c r="Q139" s="11"/>
      <c r="R139" s="11"/>
      <c r="S139" s="11"/>
      <c r="T139" s="11"/>
      <c r="U139" s="11"/>
      <c r="V139" s="11"/>
      <c r="W139" s="11"/>
      <c r="X139" s="11"/>
      <c r="Y139" s="11"/>
      <c r="Z139" s="4"/>
    </row>
    <row r="140" spans="1:26" x14ac:dyDescent="0.25">
      <c r="A140" s="17"/>
      <c r="B140" s="18" t="s">
        <v>78</v>
      </c>
      <c r="C140" s="19">
        <v>1</v>
      </c>
      <c r="D140" s="20">
        <f>200*75%</f>
        <v>150</v>
      </c>
      <c r="E140" s="19">
        <v>0.15</v>
      </c>
      <c r="F140" s="19">
        <v>0.45</v>
      </c>
      <c r="G140" s="20">
        <f>PRODUCT(C140:F140)</f>
        <v>10.125</v>
      </c>
      <c r="H140" s="19"/>
      <c r="I140" s="19"/>
      <c r="J140" s="26"/>
      <c r="K140" s="19"/>
      <c r="M140" s="4"/>
      <c r="N140" s="4"/>
      <c r="O140" s="4"/>
      <c r="P140" s="4"/>
      <c r="Q140" s="4"/>
      <c r="R140" s="4"/>
      <c r="S140" s="4"/>
      <c r="T140" s="4"/>
      <c r="U140" s="4"/>
      <c r="V140" s="4"/>
      <c r="W140" s="4"/>
      <c r="X140" s="4"/>
      <c r="Y140" s="4"/>
      <c r="Z140" s="4"/>
    </row>
    <row r="141" spans="1:26" x14ac:dyDescent="0.25">
      <c r="A141" s="17"/>
      <c r="B141" s="18"/>
      <c r="C141" s="19">
        <v>1</v>
      </c>
      <c r="D141" s="20">
        <f>600*75%</f>
        <v>450</v>
      </c>
      <c r="E141" s="19">
        <v>0.15</v>
      </c>
      <c r="F141" s="19">
        <v>0.45</v>
      </c>
      <c r="G141" s="20">
        <f>PRODUCT(C141:F141)</f>
        <v>30.375</v>
      </c>
      <c r="H141" s="19"/>
      <c r="I141" s="19"/>
      <c r="J141" s="26"/>
      <c r="K141" s="19"/>
      <c r="M141" s="4"/>
      <c r="N141" s="4"/>
      <c r="O141" s="4"/>
      <c r="P141" s="4"/>
      <c r="Q141" s="4"/>
      <c r="R141" s="4"/>
      <c r="S141" s="4"/>
      <c r="T141" s="4"/>
      <c r="U141" s="4"/>
      <c r="V141" s="4"/>
      <c r="W141" s="4"/>
      <c r="X141" s="4"/>
      <c r="Y141" s="4"/>
      <c r="Z141" s="4"/>
    </row>
    <row r="142" spans="1:26" x14ac:dyDescent="0.25">
      <c r="A142" s="17"/>
      <c r="B142" s="18"/>
      <c r="C142" s="19">
        <v>1</v>
      </c>
      <c r="D142" s="20">
        <f>150*75%</f>
        <v>112.5</v>
      </c>
      <c r="E142" s="19">
        <v>0.15</v>
      </c>
      <c r="F142" s="19">
        <v>0.45</v>
      </c>
      <c r="G142" s="20">
        <f>PRODUCT(C142:F142)</f>
        <v>7.59375</v>
      </c>
      <c r="H142" s="19"/>
      <c r="I142" s="19"/>
      <c r="J142" s="26"/>
      <c r="K142" s="19"/>
      <c r="M142" s="4"/>
      <c r="N142" s="4"/>
      <c r="O142" s="4"/>
      <c r="P142" s="4"/>
      <c r="Q142" s="4"/>
      <c r="R142" s="4"/>
      <c r="S142" s="4"/>
      <c r="T142" s="4"/>
      <c r="U142" s="4"/>
      <c r="V142" s="4"/>
      <c r="W142" s="4"/>
      <c r="X142" s="4"/>
      <c r="Y142" s="4"/>
      <c r="Z142" s="4"/>
    </row>
    <row r="143" spans="1:26" x14ac:dyDescent="0.25">
      <c r="A143" s="17"/>
      <c r="B143" s="18" t="s">
        <v>103</v>
      </c>
      <c r="C143" s="20">
        <f>TRUNC(1/4,0)</f>
        <v>0</v>
      </c>
      <c r="D143" s="20">
        <v>1.8049999999999999</v>
      </c>
      <c r="E143" s="19">
        <v>1.8049999999999999</v>
      </c>
      <c r="F143" s="19">
        <f>PI()</f>
        <v>3.1415926535897931</v>
      </c>
      <c r="G143" s="20">
        <f>PRODUCT(C143:F143)</f>
        <v>0</v>
      </c>
      <c r="H143" s="19"/>
      <c r="I143" s="19"/>
      <c r="J143" s="26"/>
      <c r="K143" s="19"/>
      <c r="M143" s="4"/>
      <c r="N143" s="4"/>
      <c r="O143" s="4"/>
      <c r="P143" s="4"/>
      <c r="Q143" s="4"/>
      <c r="R143" s="4"/>
      <c r="S143" s="4"/>
      <c r="T143" s="4"/>
      <c r="U143" s="4"/>
      <c r="V143" s="4"/>
      <c r="W143" s="4"/>
      <c r="X143" s="4"/>
      <c r="Y143" s="4"/>
      <c r="Z143" s="4"/>
    </row>
    <row r="144" spans="1:26" s="11" customFormat="1" x14ac:dyDescent="0.25">
      <c r="A144" s="21"/>
      <c r="B144" s="45" t="s">
        <v>76</v>
      </c>
      <c r="C144" s="23"/>
      <c r="D144" s="1"/>
      <c r="E144" s="24"/>
      <c r="F144" s="24"/>
      <c r="G144" s="28">
        <f>SUM(G140:G143)</f>
        <v>48.09375</v>
      </c>
      <c r="H144" s="25" t="s">
        <v>28</v>
      </c>
      <c r="I144" s="2">
        <v>748.9</v>
      </c>
      <c r="J144" s="28">
        <f>G144*I144</f>
        <v>36017.409374999996</v>
      </c>
      <c r="K144" s="24"/>
      <c r="M144" s="4"/>
      <c r="N144" s="4"/>
      <c r="O144" s="4"/>
      <c r="P144" s="4"/>
      <c r="Q144" s="4"/>
      <c r="R144" s="4"/>
      <c r="S144" s="4"/>
      <c r="T144" s="4"/>
      <c r="U144" s="4"/>
      <c r="V144" s="4"/>
      <c r="W144" s="4"/>
      <c r="X144" s="4"/>
      <c r="Y144" s="4"/>
    </row>
    <row r="145" spans="1:26" x14ac:dyDescent="0.25">
      <c r="A145" s="17"/>
      <c r="B145" s="18"/>
      <c r="C145" s="19"/>
      <c r="D145" s="19"/>
      <c r="E145" s="19"/>
      <c r="F145" s="19"/>
      <c r="G145" s="19"/>
      <c r="H145" s="19"/>
      <c r="I145" s="19"/>
      <c r="J145" s="26"/>
      <c r="K145" s="19"/>
      <c r="M145" s="4"/>
      <c r="N145" s="4"/>
      <c r="O145" s="4"/>
      <c r="P145" s="4"/>
      <c r="Q145" s="4"/>
      <c r="R145" s="4"/>
      <c r="S145" s="4"/>
      <c r="T145" s="4"/>
      <c r="U145" s="4"/>
      <c r="V145" s="4"/>
      <c r="W145" s="4"/>
      <c r="X145" s="4"/>
      <c r="Y145" s="4"/>
      <c r="Z145" s="4"/>
    </row>
    <row r="146" spans="1:26" ht="30" x14ac:dyDescent="0.25">
      <c r="A146" s="17">
        <v>27</v>
      </c>
      <c r="B146" s="13" t="s">
        <v>104</v>
      </c>
      <c r="C146" s="19"/>
      <c r="D146" s="19"/>
      <c r="E146" s="19"/>
      <c r="F146" s="19"/>
      <c r="G146" s="19"/>
      <c r="H146" s="19"/>
      <c r="I146" s="19"/>
      <c r="J146" s="19"/>
      <c r="K146" s="19"/>
      <c r="M146" s="11"/>
      <c r="N146" s="11"/>
      <c r="O146" s="11"/>
      <c r="P146" s="11"/>
      <c r="Q146" s="11"/>
      <c r="R146" s="11"/>
      <c r="S146" s="11"/>
      <c r="T146" s="11"/>
      <c r="U146" s="11"/>
      <c r="V146" s="11"/>
      <c r="W146" s="11"/>
      <c r="X146" s="11"/>
      <c r="Y146" s="11"/>
      <c r="Z146" s="4"/>
    </row>
    <row r="147" spans="1:26" x14ac:dyDescent="0.25">
      <c r="A147" s="17"/>
      <c r="B147" s="18" t="s">
        <v>78</v>
      </c>
      <c r="C147" s="19">
        <v>1</v>
      </c>
      <c r="D147" s="20">
        <f>D140</f>
        <v>150</v>
      </c>
      <c r="E147" s="19"/>
      <c r="F147" s="19"/>
      <c r="G147" s="20">
        <f t="shared" ref="G147" si="14">PRODUCT(C147:F147)</f>
        <v>150</v>
      </c>
      <c r="H147" s="19"/>
      <c r="I147" s="19"/>
      <c r="J147" s="26"/>
      <c r="K147" s="19"/>
      <c r="M147" s="4"/>
      <c r="N147" s="4"/>
      <c r="O147" s="4"/>
      <c r="P147" s="4"/>
      <c r="Q147" s="4"/>
      <c r="R147" s="4"/>
      <c r="S147" s="4"/>
      <c r="T147" s="4"/>
      <c r="U147" s="4"/>
      <c r="V147" s="4"/>
      <c r="W147" s="4"/>
      <c r="X147" s="4"/>
      <c r="Y147" s="4"/>
      <c r="Z147" s="4"/>
    </row>
    <row r="148" spans="1:26" s="11" customFormat="1" x14ac:dyDescent="0.25">
      <c r="A148" s="21"/>
      <c r="B148" s="45" t="s">
        <v>76</v>
      </c>
      <c r="C148" s="23"/>
      <c r="D148" s="1"/>
      <c r="E148" s="24"/>
      <c r="F148" s="24"/>
      <c r="G148" s="28">
        <f>SUM(G147:G147)</f>
        <v>150</v>
      </c>
      <c r="H148" s="25" t="s">
        <v>79</v>
      </c>
      <c r="I148" s="2">
        <f>5319.5/1000</f>
        <v>5.3194999999999997</v>
      </c>
      <c r="J148" s="28">
        <f>G148*I148</f>
        <v>797.92499999999995</v>
      </c>
      <c r="K148" s="24"/>
      <c r="M148" s="4"/>
      <c r="N148" s="4"/>
      <c r="O148" s="4"/>
      <c r="P148" s="4"/>
      <c r="Q148" s="4"/>
      <c r="R148" s="4"/>
      <c r="S148" s="4"/>
      <c r="T148" s="4"/>
      <c r="U148" s="4"/>
      <c r="V148" s="4"/>
      <c r="W148" s="4"/>
      <c r="X148" s="4"/>
      <c r="Y148" s="4"/>
    </row>
    <row r="149" spans="1:26" x14ac:dyDescent="0.25">
      <c r="A149" s="17"/>
      <c r="B149" s="13"/>
      <c r="C149" s="19"/>
      <c r="D149" s="19"/>
      <c r="E149" s="19"/>
      <c r="F149" s="19"/>
      <c r="G149" s="19"/>
      <c r="H149" s="19"/>
      <c r="I149" s="19"/>
      <c r="J149" s="19"/>
      <c r="K149" s="19"/>
      <c r="M149" s="11"/>
      <c r="N149" s="11"/>
      <c r="O149" s="11"/>
      <c r="P149" s="11"/>
      <c r="Q149" s="11"/>
      <c r="R149" s="11"/>
      <c r="S149" s="11"/>
      <c r="T149" s="11"/>
      <c r="U149" s="11"/>
      <c r="V149" s="11"/>
      <c r="W149" s="11"/>
      <c r="X149" s="11"/>
      <c r="Y149" s="11"/>
      <c r="Z149" s="4"/>
    </row>
    <row r="150" spans="1:26" ht="30" x14ac:dyDescent="0.25">
      <c r="A150" s="17">
        <v>28</v>
      </c>
      <c r="B150" s="13" t="s">
        <v>77</v>
      </c>
      <c r="C150" s="19"/>
      <c r="D150" s="19"/>
      <c r="E150" s="19"/>
      <c r="F150" s="19"/>
      <c r="G150" s="19"/>
      <c r="H150" s="19"/>
      <c r="I150" s="19"/>
      <c r="J150" s="19"/>
      <c r="K150" s="19"/>
      <c r="M150" s="11"/>
      <c r="N150" s="11"/>
      <c r="O150" s="11"/>
      <c r="P150" s="11"/>
      <c r="Q150" s="11"/>
      <c r="R150" s="11"/>
      <c r="S150" s="11"/>
      <c r="T150" s="11"/>
      <c r="U150" s="11"/>
      <c r="V150" s="11"/>
      <c r="W150" s="11"/>
      <c r="X150" s="11"/>
      <c r="Y150" s="11"/>
      <c r="Z150" s="4"/>
    </row>
    <row r="151" spans="1:26" x14ac:dyDescent="0.25">
      <c r="A151" s="17"/>
      <c r="B151" s="18" t="s">
        <v>105</v>
      </c>
      <c r="C151" s="19">
        <v>1</v>
      </c>
      <c r="D151" s="20">
        <v>600</v>
      </c>
      <c r="E151" s="19"/>
      <c r="F151" s="19"/>
      <c r="G151" s="20">
        <f t="shared" ref="G151:G152" si="15">PRODUCT(C151:F151)</f>
        <v>600</v>
      </c>
      <c r="H151" s="19"/>
      <c r="I151" s="19"/>
      <c r="J151" s="26"/>
      <c r="K151" s="19"/>
      <c r="M151" s="4"/>
      <c r="N151" s="4"/>
      <c r="O151" s="4"/>
      <c r="P151" s="4"/>
      <c r="Q151" s="4"/>
      <c r="R151" s="4"/>
      <c r="S151" s="4"/>
      <c r="T151" s="4"/>
      <c r="U151" s="4"/>
      <c r="V151" s="4"/>
      <c r="W151" s="4"/>
      <c r="X151" s="4"/>
      <c r="Y151" s="4"/>
      <c r="Z151" s="4"/>
    </row>
    <row r="152" spans="1:26" x14ac:dyDescent="0.25">
      <c r="A152" s="17"/>
      <c r="B152" s="18" t="s">
        <v>106</v>
      </c>
      <c r="C152" s="19">
        <v>1</v>
      </c>
      <c r="D152" s="20">
        <v>150</v>
      </c>
      <c r="E152" s="19"/>
      <c r="F152" s="19"/>
      <c r="G152" s="20">
        <f t="shared" si="15"/>
        <v>150</v>
      </c>
      <c r="H152" s="19"/>
      <c r="I152" s="19"/>
      <c r="J152" s="26"/>
      <c r="K152" s="19"/>
      <c r="M152" s="4"/>
      <c r="N152" s="4"/>
      <c r="O152" s="4"/>
      <c r="P152" s="4"/>
      <c r="Q152" s="4"/>
      <c r="R152" s="4"/>
      <c r="S152" s="4"/>
      <c r="T152" s="4"/>
      <c r="U152" s="4"/>
      <c r="V152" s="4"/>
      <c r="W152" s="4"/>
      <c r="X152" s="4"/>
      <c r="Y152" s="4"/>
      <c r="Z152" s="4"/>
    </row>
    <row r="153" spans="1:26" s="11" customFormat="1" x14ac:dyDescent="0.25">
      <c r="A153" s="21"/>
      <c r="B153" s="45" t="s">
        <v>76</v>
      </c>
      <c r="C153" s="23"/>
      <c r="D153" s="1"/>
      <c r="E153" s="24"/>
      <c r="F153" s="24"/>
      <c r="G153" s="28">
        <f>SUM(G151:G152)</f>
        <v>750</v>
      </c>
      <c r="H153" s="25" t="s">
        <v>79</v>
      </c>
      <c r="I153" s="2">
        <f>4308.15/1000</f>
        <v>4.3081499999999995</v>
      </c>
      <c r="J153" s="28">
        <f>G153*I153</f>
        <v>3231.1124999999997</v>
      </c>
      <c r="K153" s="24"/>
      <c r="M153" s="4"/>
      <c r="N153" s="4"/>
      <c r="O153" s="4"/>
      <c r="P153" s="4"/>
      <c r="Q153" s="4"/>
      <c r="R153" s="4"/>
      <c r="S153" s="4"/>
      <c r="T153" s="4"/>
      <c r="U153" s="4"/>
      <c r="V153" s="4"/>
      <c r="W153" s="4"/>
      <c r="X153" s="4"/>
      <c r="Y153" s="4"/>
    </row>
    <row r="154" spans="1:26" x14ac:dyDescent="0.25">
      <c r="A154" s="17"/>
      <c r="B154" s="13"/>
      <c r="C154" s="19"/>
      <c r="D154" s="19"/>
      <c r="E154" s="19"/>
      <c r="F154" s="19"/>
      <c r="G154" s="19"/>
      <c r="H154" s="19"/>
      <c r="I154" s="19"/>
      <c r="J154" s="19"/>
      <c r="K154" s="19"/>
      <c r="M154" s="11"/>
      <c r="N154" s="11"/>
      <c r="O154" s="11"/>
      <c r="P154" s="11"/>
      <c r="Q154" s="11"/>
      <c r="R154" s="11"/>
      <c r="S154" s="11"/>
      <c r="T154" s="11"/>
      <c r="U154" s="11"/>
      <c r="V154" s="11"/>
      <c r="W154" s="11"/>
      <c r="X154" s="11"/>
      <c r="Y154" s="11"/>
      <c r="Z154" s="4"/>
    </row>
    <row r="155" spans="1:26" ht="45" x14ac:dyDescent="0.25">
      <c r="A155" s="17">
        <v>29</v>
      </c>
      <c r="B155" s="46" t="s">
        <v>80</v>
      </c>
      <c r="C155" s="19"/>
      <c r="D155" s="27" t="s">
        <v>27</v>
      </c>
      <c r="E155" s="27" t="s">
        <v>81</v>
      </c>
      <c r="F155" s="27" t="s">
        <v>82</v>
      </c>
      <c r="G155" s="19"/>
      <c r="H155" s="19"/>
      <c r="I155" s="19"/>
      <c r="J155" s="26"/>
      <c r="K155" s="19"/>
      <c r="M155" s="4"/>
      <c r="N155" s="4"/>
      <c r="O155" s="4"/>
      <c r="P155" s="4"/>
      <c r="Q155" s="4"/>
      <c r="R155" s="4"/>
      <c r="S155" s="4"/>
      <c r="T155" s="4"/>
      <c r="U155" s="4"/>
      <c r="V155" s="4"/>
      <c r="W155" s="4"/>
      <c r="X155" s="4"/>
      <c r="Y155" s="4"/>
      <c r="Z155" s="4"/>
    </row>
    <row r="156" spans="1:26" s="11" customFormat="1" x14ac:dyDescent="0.25">
      <c r="A156" s="17"/>
      <c r="B156" s="47" t="s">
        <v>107</v>
      </c>
      <c r="C156" s="29">
        <f>C147</f>
        <v>1</v>
      </c>
      <c r="D156" s="31">
        <f>D147</f>
        <v>150</v>
      </c>
      <c r="E156" s="29">
        <v>0.13500000000000001</v>
      </c>
      <c r="F156" s="29">
        <f>C156*D156*E156</f>
        <v>20.25</v>
      </c>
      <c r="G156" s="31">
        <f>F156</f>
        <v>20.25</v>
      </c>
      <c r="H156" s="29"/>
      <c r="I156" s="29"/>
      <c r="J156" s="25"/>
      <c r="K156" s="29"/>
      <c r="M156" s="4"/>
      <c r="N156" s="4"/>
      <c r="O156" s="4"/>
      <c r="P156" s="4"/>
      <c r="Q156" s="4"/>
      <c r="R156" s="4"/>
      <c r="S156" s="4"/>
      <c r="T156" s="4"/>
      <c r="U156" s="4"/>
      <c r="V156" s="4"/>
      <c r="W156" s="4"/>
      <c r="X156" s="4"/>
      <c r="Y156" s="4"/>
    </row>
    <row r="157" spans="1:26" s="11" customFormat="1" x14ac:dyDescent="0.25">
      <c r="A157" s="17"/>
      <c r="B157" s="47" t="s">
        <v>108</v>
      </c>
      <c r="C157" s="29">
        <v>1</v>
      </c>
      <c r="D157" s="31">
        <f>D151</f>
        <v>600</v>
      </c>
      <c r="E157" s="29">
        <v>0.20799999999999999</v>
      </c>
      <c r="F157" s="29">
        <f>C157*D157*E157</f>
        <v>124.8</v>
      </c>
      <c r="G157" s="31">
        <f>F157</f>
        <v>124.8</v>
      </c>
      <c r="H157" s="29"/>
      <c r="I157" s="29"/>
      <c r="J157" s="25"/>
      <c r="K157" s="29"/>
      <c r="M157" s="4"/>
      <c r="N157" s="4"/>
      <c r="O157" s="4"/>
      <c r="P157" s="4"/>
      <c r="Q157" s="4"/>
      <c r="R157" s="4"/>
      <c r="S157" s="4"/>
      <c r="T157" s="4"/>
      <c r="U157" s="4"/>
      <c r="V157" s="4"/>
      <c r="W157" s="4"/>
      <c r="X157" s="4"/>
      <c r="Y157" s="4"/>
    </row>
    <row r="158" spans="1:26" s="11" customFormat="1" x14ac:dyDescent="0.25">
      <c r="A158" s="17"/>
      <c r="B158" s="47" t="s">
        <v>83</v>
      </c>
      <c r="C158" s="29">
        <v>1</v>
      </c>
      <c r="D158" s="31">
        <f>D152</f>
        <v>150</v>
      </c>
      <c r="E158" s="29">
        <v>0.13500000000000001</v>
      </c>
      <c r="F158" s="29">
        <f>C158*D158*E158</f>
        <v>20.25</v>
      </c>
      <c r="G158" s="31">
        <f>F158</f>
        <v>20.25</v>
      </c>
      <c r="H158" s="29"/>
      <c r="I158" s="29"/>
      <c r="J158" s="25"/>
      <c r="K158" s="29"/>
      <c r="M158" s="4"/>
      <c r="N158" s="4"/>
      <c r="O158" s="4"/>
      <c r="P158" s="4"/>
      <c r="Q158" s="4"/>
      <c r="R158" s="4"/>
      <c r="S158" s="4"/>
      <c r="T158" s="4"/>
      <c r="U158" s="4"/>
      <c r="V158" s="4"/>
      <c r="W158" s="4"/>
      <c r="X158" s="4"/>
      <c r="Y158" s="4"/>
    </row>
    <row r="159" spans="1:26" ht="15" customHeight="1" x14ac:dyDescent="0.25">
      <c r="A159" s="21"/>
      <c r="B159" s="22" t="s">
        <v>16</v>
      </c>
      <c r="C159" s="23"/>
      <c r="D159" s="1"/>
      <c r="E159" s="24"/>
      <c r="F159" s="24"/>
      <c r="G159" s="2">
        <f>SUM(G156:G158)</f>
        <v>165.3</v>
      </c>
      <c r="H159" s="25" t="s">
        <v>84</v>
      </c>
      <c r="I159" s="2">
        <v>287</v>
      </c>
      <c r="J159" s="26">
        <f>G159*I159</f>
        <v>47441.100000000006</v>
      </c>
      <c r="K159" s="24"/>
      <c r="M159" s="4"/>
      <c r="N159" s="4"/>
      <c r="O159" s="4"/>
      <c r="P159" s="4"/>
      <c r="Q159" s="4"/>
      <c r="R159" s="4"/>
      <c r="S159" s="4"/>
      <c r="T159" s="4"/>
      <c r="U159" s="4"/>
      <c r="V159" s="4"/>
      <c r="W159" s="4"/>
      <c r="X159" s="4"/>
      <c r="Y159" s="4"/>
      <c r="Z159" s="4"/>
    </row>
    <row r="160" spans="1:26" x14ac:dyDescent="0.25">
      <c r="A160" s="17"/>
      <c r="B160" s="18" t="s">
        <v>72</v>
      </c>
      <c r="C160" s="19"/>
      <c r="D160" s="19"/>
      <c r="E160" s="19"/>
      <c r="F160" s="19"/>
      <c r="G160" s="19"/>
      <c r="H160" s="19"/>
      <c r="I160" s="19"/>
      <c r="J160" s="26">
        <f>0.13*J159</f>
        <v>6167.3430000000008</v>
      </c>
      <c r="K160" s="19"/>
      <c r="M160" s="4"/>
      <c r="N160" s="4"/>
      <c r="O160" s="4"/>
      <c r="P160" s="4"/>
      <c r="Q160" s="4"/>
      <c r="R160" s="4"/>
      <c r="S160" s="4"/>
      <c r="T160" s="4"/>
      <c r="U160" s="4"/>
      <c r="V160" s="4"/>
      <c r="W160" s="4"/>
      <c r="X160" s="4"/>
      <c r="Y160" s="4"/>
      <c r="Z160" s="4"/>
    </row>
    <row r="161" spans="1:27" x14ac:dyDescent="0.25">
      <c r="A161" s="17"/>
      <c r="B161" s="19"/>
      <c r="C161" s="19"/>
      <c r="D161" s="19"/>
      <c r="E161" s="19"/>
      <c r="F161" s="19"/>
      <c r="G161" s="19"/>
      <c r="H161" s="19"/>
      <c r="I161" s="19"/>
      <c r="J161" s="19"/>
      <c r="K161" s="19"/>
      <c r="M161" s="4"/>
      <c r="N161" s="4"/>
      <c r="O161" s="4"/>
      <c r="P161" s="4"/>
      <c r="Q161" s="4"/>
      <c r="R161" s="4"/>
      <c r="S161" s="4"/>
      <c r="T161" s="4"/>
      <c r="U161" s="4"/>
      <c r="V161" s="4"/>
      <c r="W161" s="4"/>
      <c r="X161" s="4"/>
      <c r="Y161" s="4"/>
      <c r="Z161" s="4"/>
    </row>
    <row r="162" spans="1:27" ht="30" x14ac:dyDescent="0.25">
      <c r="A162" s="17">
        <v>30</v>
      </c>
      <c r="B162" s="63" t="s">
        <v>30</v>
      </c>
      <c r="C162" s="19">
        <v>1</v>
      </c>
      <c r="D162" s="20"/>
      <c r="E162" s="19"/>
      <c r="F162" s="19"/>
      <c r="G162" s="20">
        <f>PRODUCT(C162:F162)</f>
        <v>1</v>
      </c>
      <c r="H162" s="19" t="s">
        <v>71</v>
      </c>
      <c r="I162" s="28"/>
      <c r="J162" s="28"/>
      <c r="K162" s="19"/>
      <c r="M162" s="4"/>
      <c r="N162" s="4"/>
      <c r="O162" s="4"/>
      <c r="P162" s="4"/>
      <c r="Q162" s="4"/>
      <c r="R162" s="4"/>
      <c r="S162" s="4"/>
      <c r="T162" s="4"/>
      <c r="U162" s="4"/>
      <c r="V162" s="4"/>
      <c r="W162" s="4"/>
      <c r="X162" s="4"/>
      <c r="Y162" s="4"/>
      <c r="Z162" s="4"/>
    </row>
    <row r="163" spans="1:27" ht="15" customHeight="1" x14ac:dyDescent="0.25">
      <c r="A163" s="21"/>
      <c r="B163" s="22" t="s">
        <v>16</v>
      </c>
      <c r="C163" s="23"/>
      <c r="D163" s="1"/>
      <c r="E163" s="24"/>
      <c r="F163" s="24"/>
      <c r="G163" s="2">
        <f>SUM(G162:G162)</f>
        <v>1</v>
      </c>
      <c r="H163" s="25" t="s">
        <v>71</v>
      </c>
      <c r="I163" s="2">
        <v>5000</v>
      </c>
      <c r="J163" s="26">
        <f>G163*I163</f>
        <v>5000</v>
      </c>
      <c r="K163" s="24"/>
      <c r="M163" s="4"/>
      <c r="N163" s="4"/>
      <c r="O163" s="4"/>
      <c r="P163" s="4"/>
      <c r="Q163" s="4"/>
      <c r="R163" s="4"/>
      <c r="S163" s="4"/>
      <c r="T163" s="4"/>
      <c r="U163" s="4"/>
      <c r="V163" s="4"/>
      <c r="W163" s="4"/>
      <c r="X163" s="4"/>
      <c r="Y163" s="4"/>
      <c r="Z163" s="4"/>
    </row>
    <row r="164" spans="1:27" ht="15" customHeight="1" x14ac:dyDescent="0.25">
      <c r="A164" s="21"/>
      <c r="B164" s="22"/>
      <c r="C164" s="23"/>
      <c r="D164" s="1"/>
      <c r="E164" s="24"/>
      <c r="F164" s="24"/>
      <c r="G164" s="2"/>
      <c r="H164" s="25"/>
      <c r="I164" s="2"/>
      <c r="J164" s="26"/>
      <c r="K164" s="24"/>
      <c r="M164" s="4"/>
      <c r="N164" s="4"/>
      <c r="O164" s="4"/>
      <c r="P164" s="4"/>
      <c r="Q164" s="4"/>
      <c r="R164" s="4"/>
      <c r="S164" s="4"/>
      <c r="T164" s="4"/>
      <c r="U164" s="4"/>
      <c r="V164" s="4"/>
      <c r="W164" s="4"/>
      <c r="X164" s="4"/>
      <c r="Y164" s="4"/>
      <c r="Z164" s="4"/>
    </row>
    <row r="165" spans="1:27" ht="15" customHeight="1" x14ac:dyDescent="0.25">
      <c r="A165" s="21">
        <v>31</v>
      </c>
      <c r="B165" s="32" t="s">
        <v>17</v>
      </c>
      <c r="C165" s="23">
        <v>1</v>
      </c>
      <c r="D165" s="1"/>
      <c r="E165" s="24"/>
      <c r="F165" s="24"/>
      <c r="G165" s="25">
        <f>PRODUCT(C165:F165)</f>
        <v>1</v>
      </c>
      <c r="H165" s="25" t="s">
        <v>18</v>
      </c>
      <c r="I165" s="2">
        <v>500</v>
      </c>
      <c r="J165" s="25">
        <f>G165*I165</f>
        <v>500</v>
      </c>
      <c r="K165" s="24"/>
    </row>
    <row r="166" spans="1:27" x14ac:dyDescent="0.25">
      <c r="A166" s="21"/>
      <c r="B166" s="33"/>
      <c r="C166" s="23"/>
      <c r="D166" s="1"/>
      <c r="E166" s="24"/>
      <c r="F166" s="24"/>
      <c r="G166" s="2"/>
      <c r="H166" s="25"/>
      <c r="I166" s="2"/>
      <c r="J166" s="26"/>
      <c r="K166" s="24"/>
    </row>
    <row r="167" spans="1:27" x14ac:dyDescent="0.25">
      <c r="A167" s="34"/>
      <c r="B167" s="35" t="s">
        <v>20</v>
      </c>
      <c r="C167" s="36"/>
      <c r="D167" s="37"/>
      <c r="E167" s="37"/>
      <c r="F167" s="37"/>
      <c r="G167" s="26"/>
      <c r="H167" s="26"/>
      <c r="I167" s="26"/>
      <c r="J167" s="26">
        <f>SUM(J11:J165)</f>
        <v>230463.0973489052</v>
      </c>
      <c r="K167" s="38"/>
    </row>
    <row r="168" spans="1:27" x14ac:dyDescent="0.25">
      <c r="AA168" s="11"/>
    </row>
    <row r="169" spans="1:27" s="11" customFormat="1" x14ac:dyDescent="0.25">
      <c r="A169" s="39"/>
      <c r="B169" s="29" t="s">
        <v>19</v>
      </c>
      <c r="C169" s="48">
        <f>J167</f>
        <v>230463.0973489052</v>
      </c>
      <c r="D169" s="49"/>
      <c r="E169" s="31">
        <v>100</v>
      </c>
      <c r="F169" s="39"/>
      <c r="G169" s="40"/>
      <c r="H169" s="39"/>
      <c r="I169" s="41"/>
      <c r="J169" s="42"/>
      <c r="K169" s="43"/>
      <c r="AA169" s="4"/>
    </row>
    <row r="170" spans="1:27" x14ac:dyDescent="0.25">
      <c r="B170" s="29" t="s">
        <v>21</v>
      </c>
      <c r="C170" s="50">
        <v>200000</v>
      </c>
      <c r="D170" s="51"/>
      <c r="E170" s="31"/>
    </row>
    <row r="171" spans="1:27" x14ac:dyDescent="0.25">
      <c r="B171" s="29" t="s">
        <v>22</v>
      </c>
      <c r="C171" s="50">
        <f>C170-C173-C174</f>
        <v>190000</v>
      </c>
      <c r="D171" s="51"/>
      <c r="E171" s="31">
        <f>C171/C169*100</f>
        <v>82.442700018195595</v>
      </c>
    </row>
    <row r="172" spans="1:27" x14ac:dyDescent="0.25">
      <c r="B172" s="29" t="s">
        <v>26</v>
      </c>
      <c r="C172" s="52">
        <f>C169-C171</f>
        <v>40463.097348905198</v>
      </c>
      <c r="D172" s="52"/>
      <c r="E172" s="31">
        <f>100-E171</f>
        <v>17.557299981804405</v>
      </c>
    </row>
    <row r="173" spans="1:27" x14ac:dyDescent="0.25">
      <c r="B173" s="29" t="s">
        <v>23</v>
      </c>
      <c r="C173" s="48">
        <f>C170*0.03</f>
        <v>6000</v>
      </c>
      <c r="D173" s="49"/>
      <c r="E173" s="31">
        <v>3</v>
      </c>
    </row>
    <row r="174" spans="1:27" x14ac:dyDescent="0.25">
      <c r="B174" s="29" t="s">
        <v>24</v>
      </c>
      <c r="C174" s="48">
        <f>C170*0.02</f>
        <v>4000</v>
      </c>
      <c r="D174" s="49"/>
      <c r="E174" s="31">
        <v>2</v>
      </c>
    </row>
  </sheetData>
  <mergeCells count="15">
    <mergeCell ref="A7:F7"/>
    <mergeCell ref="H7:K7"/>
    <mergeCell ref="A1:K1"/>
    <mergeCell ref="A2:K2"/>
    <mergeCell ref="A3:K3"/>
    <mergeCell ref="A4:K4"/>
    <mergeCell ref="A5:K5"/>
    <mergeCell ref="A6:F6"/>
    <mergeCell ref="H6:K6"/>
    <mergeCell ref="C174:D174"/>
    <mergeCell ref="C169:D169"/>
    <mergeCell ref="C170:D170"/>
    <mergeCell ref="C171:D171"/>
    <mergeCell ref="C172:D172"/>
    <mergeCell ref="C173:D17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BCAFD-ECA5-41BF-8B70-7111445D4519}">
  <dimension ref="A8:D121"/>
  <sheetViews>
    <sheetView workbookViewId="0">
      <selection activeCell="C10" sqref="C10"/>
    </sheetView>
  </sheetViews>
  <sheetFormatPr defaultRowHeight="15" x14ac:dyDescent="0.25"/>
  <cols>
    <col min="1" max="2" width="8.5703125" style="4" customWidth="1"/>
    <col min="3" max="3" width="6.5703125" style="4" customWidth="1"/>
    <col min="4" max="4" width="9.42578125" style="4" customWidth="1"/>
  </cols>
  <sheetData>
    <row r="8" spans="1:4" x14ac:dyDescent="0.25">
      <c r="A8" s="11" t="s">
        <v>52</v>
      </c>
      <c r="B8" s="11"/>
      <c r="C8" s="11"/>
      <c r="D8" s="11"/>
    </row>
    <row r="9" spans="1:4" ht="30" x14ac:dyDescent="0.25">
      <c r="A9" s="4" t="s">
        <v>36</v>
      </c>
      <c r="B9" s="4" t="s">
        <v>53</v>
      </c>
      <c r="C9" s="4" t="s">
        <v>54</v>
      </c>
      <c r="D9" s="16" t="s">
        <v>55</v>
      </c>
    </row>
    <row r="10" spans="1:4" x14ac:dyDescent="0.25">
      <c r="A10" s="3">
        <f>1.2+D10+D10</f>
        <v>1.4999999999999998</v>
      </c>
      <c r="B10" s="3">
        <f>1.2+D10+D10</f>
        <v>1.4999999999999998</v>
      </c>
      <c r="C10" s="4">
        <f>3.5/3.281</f>
        <v>1.0667479427003961</v>
      </c>
      <c r="D10" s="3">
        <v>0.15</v>
      </c>
    </row>
    <row r="12" spans="1:4" x14ac:dyDescent="0.25">
      <c r="A12" s="3"/>
      <c r="B12" s="3"/>
      <c r="D12" s="3"/>
    </row>
    <row r="13" spans="1:4" x14ac:dyDescent="0.25">
      <c r="A13" s="3"/>
      <c r="B13" s="3"/>
      <c r="D13" s="3"/>
    </row>
    <row r="86" spans="1:4" x14ac:dyDescent="0.25">
      <c r="A86" s="11"/>
      <c r="B86" s="11"/>
      <c r="C86" s="11"/>
      <c r="D86" s="11"/>
    </row>
    <row r="106" spans="1:4" x14ac:dyDescent="0.25">
      <c r="A106" s="11"/>
      <c r="B106" s="11"/>
      <c r="C106" s="11"/>
      <c r="D106" s="11"/>
    </row>
    <row r="110" spans="1:4" x14ac:dyDescent="0.25">
      <c r="A110" s="11"/>
      <c r="B110" s="11"/>
      <c r="C110" s="11"/>
      <c r="D110" s="11"/>
    </row>
    <row r="113" spans="1:4" x14ac:dyDescent="0.25">
      <c r="A113" s="11"/>
      <c r="B113" s="11"/>
      <c r="C113" s="11"/>
      <c r="D113" s="11"/>
    </row>
    <row r="121" spans="1:4" x14ac:dyDescent="0.25">
      <c r="A121" s="11"/>
      <c r="B121" s="11"/>
      <c r="C121" s="11"/>
      <c r="D121"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water tank</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2026-03-29T10:05:25Z</dcterms:modified>
</cp:coreProperties>
</file>