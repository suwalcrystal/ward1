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1785991E-7478-4B07-A2C6-90FEE8658A14}"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estimate!$A$1:$K$54</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12" l="1"/>
  <c r="F40" i="12" s="1"/>
  <c r="G40" i="12" s="1"/>
  <c r="B16" i="12"/>
  <c r="C40" i="12"/>
  <c r="G41" i="12" l="1"/>
  <c r="J42" i="12" l="1"/>
  <c r="J43" i="12"/>
  <c r="J41" i="12"/>
  <c r="E16" i="12" l="1"/>
  <c r="F23" i="12"/>
  <c r="C50" i="12"/>
  <c r="D32" i="12"/>
  <c r="M32" i="12"/>
  <c r="E15" i="12"/>
  <c r="E21" i="12" s="1"/>
  <c r="E11" i="12"/>
  <c r="G11" i="12" s="1"/>
  <c r="D10" i="12"/>
  <c r="D15" i="12" s="1"/>
  <c r="D21" i="12" s="1"/>
  <c r="F22" i="12"/>
  <c r="E22" i="12"/>
  <c r="E23" i="12" s="1"/>
  <c r="C22" i="12"/>
  <c r="C16" i="12" s="1"/>
  <c r="B22" i="12"/>
  <c r="F10" i="12"/>
  <c r="C23" i="12" l="1"/>
  <c r="G10" i="12"/>
  <c r="G12" i="12" s="1"/>
  <c r="G21" i="12"/>
  <c r="G32" i="12" l="1"/>
  <c r="D22" i="12"/>
  <c r="D16" i="12" s="1"/>
  <c r="G16" i="12" s="1"/>
  <c r="G15" i="12"/>
  <c r="G33" i="12" l="1"/>
  <c r="J34" i="12" s="1"/>
  <c r="G17" i="12"/>
  <c r="J18" i="12" s="1"/>
  <c r="G22" i="12"/>
  <c r="D23" i="12"/>
  <c r="G23" i="12" s="1"/>
  <c r="J17" i="12" l="1"/>
  <c r="J36" i="12"/>
  <c r="J35" i="12"/>
  <c r="J33" i="12"/>
  <c r="J37" i="12"/>
  <c r="G24" i="12"/>
  <c r="J12" i="12"/>
  <c r="J25" i="12" l="1"/>
  <c r="J26" i="12"/>
  <c r="J29" i="12"/>
  <c r="J28" i="12"/>
  <c r="J24" i="12"/>
  <c r="J27" i="12"/>
  <c r="C53" i="12"/>
  <c r="C54" i="12" l="1"/>
  <c r="C51" i="12" s="1"/>
  <c r="G45" i="12"/>
  <c r="J45" i="12" s="1"/>
  <c r="J47" i="12" s="1"/>
  <c r="C49" i="12" l="1"/>
  <c r="C52" i="12" s="1"/>
  <c r="E51" i="12" l="1"/>
  <c r="E52" i="12" s="1"/>
</calcChain>
</file>

<file path=xl/sharedStrings.xml><?xml version="1.0" encoding="utf-8"?>
<sst xmlns="http://schemas.openxmlformats.org/spreadsheetml/2006/main" count="67" uniqueCount="54">
  <si>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</si>
  <si>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</si>
  <si>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</si>
  <si>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</si>
  <si>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</si>
  <si>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</si>
  <si>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</si>
  <si>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</si>
  <si>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</si>
  <si>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</si>
  <si>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</si>
  <si>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</si>
  <si>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</si>
  <si>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</si>
  <si>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</si>
  <si>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</si>
  <si>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</si>
  <si>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</si>
  <si>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</si>
  <si>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</si>
  <si>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</si>
  <si>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</si>
  <si>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</si>
  <si>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</si>
  <si>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</si>
  <si>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</si>
  <si>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</si>
  <si>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</si>
  <si>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</si>
  <si>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</si>
  <si>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</si>
  <si>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</si>
  <si>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</si>
  <si>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</si>
  <si>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</si>
  <si>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 Manual Mixing</t>
  </si>
  <si>
    <t>-13% VAT for water</t>
  </si>
  <si>
    <t>-13% VAT for formwork</t>
  </si>
  <si>
    <t>-masonary wall</t>
  </si>
  <si>
    <t>Random Rubble Masonry, Providing and laying of Stone Masonry Work in the Cement Mortar 1:6 in Foundation complete as per Drawing and Technical Specifications.</t>
  </si>
  <si>
    <t>-13% VAT for stone</t>
  </si>
  <si>
    <r>
      <t>-</t>
    </r>
    <r>
      <rPr>
        <sz val="12"/>
        <rFont val="Preeti"/>
      </rPr>
      <t>l;9L</t>
    </r>
  </si>
  <si>
    <t>-for top cover</t>
  </si>
  <si>
    <t>Providing and laying , fitting and placing HYSD bar reinforcement in sub-structure complete as per Drawing and Technical Specifications</t>
  </si>
  <si>
    <t>-for slab over culvert</t>
  </si>
  <si>
    <t>Length (m)</t>
  </si>
  <si>
    <t>Unit Weight (Kg/m)</t>
  </si>
  <si>
    <t>Weight (Kg)</t>
  </si>
  <si>
    <t>Total Weight (MT)</t>
  </si>
  <si>
    <t>tonne</t>
  </si>
  <si>
    <t>-13% VAT for binding wire</t>
  </si>
  <si>
    <t>-13% VAT for HYSD bars</t>
  </si>
  <si>
    <r>
      <t>Project:-</t>
    </r>
    <r>
      <rPr>
        <sz val="12"/>
        <rFont val="Preeti"/>
      </rPr>
      <t xml:space="preserve"> 5fk 9'+ufgf ltjfl/ al:t k}bn dfu{</t>
    </r>
  </si>
  <si>
    <t xml:space="preserve">Date:2082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</si>
</sst>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2"/>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3">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0" fontId="13" fillId="0" borderId="2" xfId="0" quotePrefix="1" applyFont="1" applyBorder="1" applyAlignment="1">
      <alignment horizontal="right"/>
    </xf>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164" fontId="3" fillId="0" borderId="2" xfId="1" applyNumberFormat="1" applyFont="1" applyFill="1" applyBorder="1" applyAlignment="1">
      <alignment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4"/>
  <sheetViews>
    <sheetView tabSelected="1" zoomScaleNormal="100" zoomScaleSheetLayoutView="95" workbookViewId="0">
      <selection activeCell="H8" sqref="H8"/>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1.85546875" style="3" bestFit="1" customWidth="1"/>
    <col min="11" max="16384" width="9.140625" style="3"/>
  </cols>
  <sheetData>
    <row r="1" spans="1:11" x14ac:dyDescent="0.25">
      <c r="A1" s="41" t="s">
        <v>0</v>
      </c>
      <c r="B1" s="41"/>
      <c r="C1" s="41"/>
      <c r="D1" s="41"/>
      <c r="E1" s="41"/>
      <c r="F1" s="41"/>
      <c r="G1" s="41"/>
      <c r="H1" s="41"/>
      <c r="I1" s="41"/>
      <c r="J1" s="41"/>
      <c r="K1" s="41"/>
    </row>
    <row r="2" spans="1:11" ht="22.5" x14ac:dyDescent="0.25">
      <c r="A2" s="42" t="s">
        <v>1</v>
      </c>
      <c r="B2" s="42"/>
      <c r="C2" s="42"/>
      <c r="D2" s="42"/>
      <c r="E2" s="42"/>
      <c r="F2" s="42"/>
      <c r="G2" s="42"/>
      <c r="H2" s="42"/>
      <c r="I2" s="42"/>
      <c r="J2" s="42"/>
      <c r="K2" s="42"/>
    </row>
    <row r="3" spans="1:11" x14ac:dyDescent="0.25">
      <c r="A3" s="43" t="s">
        <v>2</v>
      </c>
      <c r="B3" s="43"/>
      <c r="C3" s="43"/>
      <c r="D3" s="43"/>
      <c r="E3" s="43"/>
      <c r="F3" s="43"/>
      <c r="G3" s="43"/>
      <c r="H3" s="43"/>
      <c r="I3" s="43"/>
      <c r="J3" s="43"/>
      <c r="K3" s="43"/>
    </row>
    <row r="4" spans="1:11" x14ac:dyDescent="0.25">
      <c r="A4" s="43" t="s">
        <v>3</v>
      </c>
      <c r="B4" s="43"/>
      <c r="C4" s="43"/>
      <c r="D4" s="43"/>
      <c r="E4" s="43"/>
      <c r="F4" s="43"/>
      <c r="G4" s="43"/>
      <c r="H4" s="43"/>
      <c r="I4" s="43"/>
      <c r="J4" s="43"/>
      <c r="K4" s="43"/>
    </row>
    <row r="5" spans="1:11" ht="18.75" x14ac:dyDescent="0.3">
      <c r="A5" s="44" t="s">
        <v>4</v>
      </c>
      <c r="B5" s="44"/>
      <c r="C5" s="44"/>
      <c r="D5" s="44"/>
      <c r="E5" s="44"/>
      <c r="F5" s="44"/>
      <c r="G5" s="44"/>
      <c r="H5" s="44"/>
      <c r="I5" s="44"/>
      <c r="J5" s="44"/>
      <c r="K5" s="44"/>
    </row>
    <row r="6" spans="1:11" ht="15.75" x14ac:dyDescent="0.25">
      <c r="A6" s="39" t="s">
        <v>52</v>
      </c>
      <c r="B6" s="39"/>
      <c r="C6" s="39"/>
      <c r="D6" s="39"/>
      <c r="E6" s="39"/>
      <c r="F6" s="39"/>
      <c r="G6" s="4"/>
      <c r="H6" s="40" t="s">
        <v>24</v>
      </c>
      <c r="I6" s="40"/>
      <c r="J6" s="40"/>
      <c r="K6" s="40"/>
    </row>
    <row r="7" spans="1:11" ht="15.75" x14ac:dyDescent="0.25">
      <c r="A7" s="47" t="s">
        <v>28</v>
      </c>
      <c r="B7" s="47"/>
      <c r="C7" s="47"/>
      <c r="D7" s="47"/>
      <c r="E7" s="47"/>
      <c r="F7" s="47"/>
      <c r="G7" s="5"/>
      <c r="H7" s="48" t="s">
        <v>53</v>
      </c>
      <c r="I7" s="48"/>
      <c r="J7" s="48"/>
      <c r="K7" s="48"/>
    </row>
    <row r="8" spans="1:11" ht="15.75" x14ac:dyDescent="0.25">
      <c r="A8" s="6" t="s">
        <v>5</v>
      </c>
      <c r="B8" s="7" t="s">
        <v>6</v>
      </c>
      <c r="C8" s="6" t="s">
        <v>7</v>
      </c>
      <c r="D8" s="8" t="s">
        <v>8</v>
      </c>
      <c r="E8" s="8" t="s">
        <v>9</v>
      </c>
      <c r="F8" s="8" t="s">
        <v>10</v>
      </c>
      <c r="G8" s="8" t="s">
        <v>11</v>
      </c>
      <c r="H8" s="6" t="s">
        <v>12</v>
      </c>
      <c r="I8" s="8" t="s">
        <v>13</v>
      </c>
      <c r="J8" s="8" t="s">
        <v>14</v>
      </c>
      <c r="K8" s="9" t="s">
        <v>15</v>
      </c>
    </row>
    <row r="9" spans="1:11" ht="150" x14ac:dyDescent="0.25">
      <c r="A9" s="10">
        <v>1</v>
      </c>
      <c r="B9" s="11" t="s">
        <v>33</v>
      </c>
      <c r="C9" s="12"/>
      <c r="D9" s="12"/>
      <c r="E9" s="12"/>
      <c r="F9" s="12"/>
      <c r="G9" s="12"/>
      <c r="H9" s="12"/>
      <c r="I9" s="12"/>
      <c r="J9" s="13"/>
      <c r="K9" s="12"/>
    </row>
    <row r="10" spans="1:11" ht="15.75" x14ac:dyDescent="0.25">
      <c r="A10" s="10"/>
      <c r="B10" s="14" t="s">
        <v>41</v>
      </c>
      <c r="C10" s="12">
        <v>1</v>
      </c>
      <c r="D10" s="15">
        <f>4.5+5.7+7+7+6-(5)</f>
        <v>25.2</v>
      </c>
      <c r="E10" s="15">
        <v>1.5</v>
      </c>
      <c r="F10" s="15">
        <f>0.15+0.1</f>
        <v>0.25</v>
      </c>
      <c r="G10" s="15">
        <f>PRODUCT(C10:F10)</f>
        <v>9.4499999999999993</v>
      </c>
      <c r="H10" s="12"/>
      <c r="I10" s="12"/>
      <c r="J10" s="13"/>
      <c r="K10" s="12"/>
    </row>
    <row r="11" spans="1:11" ht="15.75" x14ac:dyDescent="0.25">
      <c r="A11" s="10"/>
      <c r="B11" s="14"/>
      <c r="C11" s="12">
        <v>0.5</v>
      </c>
      <c r="D11" s="15">
        <v>5</v>
      </c>
      <c r="E11" s="15">
        <f>0.3+0.3</f>
        <v>0.6</v>
      </c>
      <c r="F11" s="15">
        <v>1.5</v>
      </c>
      <c r="G11" s="15">
        <f t="shared" ref="G11" si="0">PRODUCT(C11:F11)</f>
        <v>2.25</v>
      </c>
      <c r="H11" s="12"/>
      <c r="I11" s="12"/>
      <c r="J11" s="13"/>
      <c r="K11" s="12"/>
    </row>
    <row r="12" spans="1:11" s="22" customFormat="1" x14ac:dyDescent="0.25">
      <c r="A12" s="16"/>
      <c r="B12" s="17" t="s">
        <v>26</v>
      </c>
      <c r="C12" s="18"/>
      <c r="D12" s="1"/>
      <c r="E12" s="19"/>
      <c r="F12" s="19"/>
      <c r="G12" s="20">
        <f>SUM(G10:G11)</f>
        <v>11.7</v>
      </c>
      <c r="H12" s="21" t="s">
        <v>27</v>
      </c>
      <c r="I12" s="2">
        <v>748.9</v>
      </c>
      <c r="J12" s="20">
        <f>G12*I12</f>
        <v>8762.1299999999992</v>
      </c>
      <c r="K12" s="19"/>
    </row>
    <row r="13" spans="1:11" x14ac:dyDescent="0.25">
      <c r="A13" s="10"/>
      <c r="B13" s="23"/>
      <c r="C13" s="12"/>
      <c r="D13" s="12"/>
      <c r="E13" s="12"/>
      <c r="F13" s="12"/>
      <c r="G13" s="12"/>
      <c r="H13" s="12"/>
      <c r="I13" s="12"/>
      <c r="J13" s="13"/>
      <c r="K13" s="12"/>
    </row>
    <row r="14" spans="1:11" ht="105" x14ac:dyDescent="0.25">
      <c r="A14" s="10">
        <v>2</v>
      </c>
      <c r="B14" s="11" t="s">
        <v>34</v>
      </c>
      <c r="C14" s="12"/>
      <c r="D14" s="12"/>
      <c r="E14" s="12"/>
      <c r="F14" s="12"/>
      <c r="G14" s="12"/>
      <c r="H14" s="12"/>
      <c r="I14" s="12"/>
      <c r="J14" s="12"/>
      <c r="K14" s="12"/>
    </row>
    <row r="15" spans="1:11" ht="15.75" x14ac:dyDescent="0.25">
      <c r="A15" s="10"/>
      <c r="B15" s="14" t="s">
        <v>41</v>
      </c>
      <c r="C15" s="12">
        <v>1</v>
      </c>
      <c r="D15" s="15">
        <f>D10+D11</f>
        <v>30.2</v>
      </c>
      <c r="E15" s="15">
        <f>E10</f>
        <v>1.5</v>
      </c>
      <c r="F15" s="12">
        <v>0.15</v>
      </c>
      <c r="G15" s="15">
        <f t="shared" ref="G15:G16" si="1">PRODUCT(C15:F15)</f>
        <v>6.794999999999999</v>
      </c>
      <c r="H15" s="12"/>
      <c r="I15" s="12"/>
      <c r="J15" s="13"/>
      <c r="K15" s="12"/>
    </row>
    <row r="16" spans="1:11" ht="15.75" x14ac:dyDescent="0.25">
      <c r="A16" s="10"/>
      <c r="B16" s="14" t="str">
        <f>B22</f>
        <v>-masonary wall</v>
      </c>
      <c r="C16" s="12">
        <f>C22</f>
        <v>1</v>
      </c>
      <c r="D16" s="15">
        <f>D22</f>
        <v>25.5</v>
      </c>
      <c r="E16" s="15">
        <f>E22</f>
        <v>0.45</v>
      </c>
      <c r="F16" s="12">
        <v>0.15</v>
      </c>
      <c r="G16" s="15">
        <f t="shared" si="1"/>
        <v>1.7212499999999999</v>
      </c>
      <c r="H16" s="12"/>
      <c r="I16" s="12"/>
      <c r="J16" s="13"/>
      <c r="K16" s="12"/>
    </row>
    <row r="17" spans="1:13" s="22" customFormat="1" x14ac:dyDescent="0.25">
      <c r="A17" s="16"/>
      <c r="B17" s="17" t="s">
        <v>26</v>
      </c>
      <c r="C17" s="18"/>
      <c r="D17" s="1"/>
      <c r="E17" s="19"/>
      <c r="F17" s="19"/>
      <c r="G17" s="20">
        <f>SUM(G15:G16)</f>
        <v>8.5162499999999994</v>
      </c>
      <c r="H17" s="21" t="s">
        <v>27</v>
      </c>
      <c r="I17" s="2">
        <v>4458.5200000000004</v>
      </c>
      <c r="J17" s="20">
        <f>G17*I17</f>
        <v>37969.870950000004</v>
      </c>
      <c r="K17" s="19"/>
    </row>
    <row r="18" spans="1:13" x14ac:dyDescent="0.25">
      <c r="A18" s="10"/>
      <c r="B18" s="23" t="s">
        <v>32</v>
      </c>
      <c r="C18" s="12"/>
      <c r="D18" s="12"/>
      <c r="E18" s="12"/>
      <c r="F18" s="12"/>
      <c r="G18" s="12"/>
      <c r="H18" s="12"/>
      <c r="I18" s="12"/>
      <c r="J18" s="13">
        <f>0.13*G17*14817.6/5</f>
        <v>3280.9500359999997</v>
      </c>
      <c r="K18" s="12"/>
    </row>
    <row r="19" spans="1:13" x14ac:dyDescent="0.25">
      <c r="A19" s="10"/>
      <c r="B19" s="11"/>
      <c r="C19" s="12"/>
      <c r="D19" s="12"/>
      <c r="E19" s="12"/>
      <c r="F19" s="12"/>
      <c r="G19" s="12"/>
      <c r="H19" s="12"/>
      <c r="I19" s="12"/>
      <c r="J19" s="12"/>
      <c r="K19" s="12"/>
    </row>
    <row r="20" spans="1:13" ht="90" x14ac:dyDescent="0.25">
      <c r="A20" s="10">
        <v>3</v>
      </c>
      <c r="B20" s="11" t="s">
        <v>35</v>
      </c>
      <c r="C20" s="12"/>
      <c r="D20" s="24"/>
      <c r="E20" s="24"/>
      <c r="F20" s="24"/>
      <c r="G20" s="12"/>
      <c r="H20" s="12"/>
      <c r="I20" s="12"/>
      <c r="J20" s="13"/>
      <c r="K20" s="12"/>
    </row>
    <row r="21" spans="1:13" ht="15.75" x14ac:dyDescent="0.25">
      <c r="A21" s="10"/>
      <c r="B21" s="14" t="s">
        <v>41</v>
      </c>
      <c r="C21" s="12">
        <v>1</v>
      </c>
      <c r="D21" s="15">
        <f>D15</f>
        <v>30.2</v>
      </c>
      <c r="E21" s="15">
        <f>E15</f>
        <v>1.5</v>
      </c>
      <c r="F21" s="15">
        <v>0.1</v>
      </c>
      <c r="G21" s="15">
        <f t="shared" ref="G21" si="2">PRODUCT(C21:F21)</f>
        <v>4.53</v>
      </c>
      <c r="H21" s="12"/>
      <c r="I21" s="12"/>
      <c r="J21" s="13"/>
      <c r="K21" s="12"/>
    </row>
    <row r="22" spans="1:13" ht="15.75" x14ac:dyDescent="0.25">
      <c r="A22" s="10"/>
      <c r="B22" s="14" t="str">
        <f>B32</f>
        <v>-masonary wall</v>
      </c>
      <c r="C22" s="12">
        <f>C32</f>
        <v>1</v>
      </c>
      <c r="D22" s="15">
        <f>D32</f>
        <v>25.5</v>
      </c>
      <c r="E22" s="12">
        <f>E32</f>
        <v>0.45</v>
      </c>
      <c r="F22" s="12">
        <f>0.05</f>
        <v>0.05</v>
      </c>
      <c r="G22" s="15">
        <f>PRODUCT(C22:F22)</f>
        <v>0.57374999999999998</v>
      </c>
      <c r="H22" s="12"/>
      <c r="I22" s="12"/>
      <c r="J22" s="13"/>
      <c r="K22" s="12"/>
    </row>
    <row r="23" spans="1:13" ht="15.75" x14ac:dyDescent="0.25">
      <c r="A23" s="10"/>
      <c r="B23" s="14" t="s">
        <v>42</v>
      </c>
      <c r="C23" s="12">
        <f>C22</f>
        <v>1</v>
      </c>
      <c r="D23" s="15">
        <f>D22</f>
        <v>25.5</v>
      </c>
      <c r="E23" s="12">
        <f>E22</f>
        <v>0.45</v>
      </c>
      <c r="F23" s="12">
        <f>0.05</f>
        <v>0.05</v>
      </c>
      <c r="G23" s="15">
        <f>PRODUCT(C23:F23)</f>
        <v>0.57374999999999998</v>
      </c>
      <c r="H23" s="12"/>
      <c r="I23" s="12"/>
      <c r="J23" s="13"/>
      <c r="K23" s="12"/>
    </row>
    <row r="24" spans="1:13" s="22" customFormat="1" x14ac:dyDescent="0.25">
      <c r="A24" s="16"/>
      <c r="B24" s="17" t="s">
        <v>26</v>
      </c>
      <c r="C24" s="18"/>
      <c r="D24" s="1"/>
      <c r="E24" s="19"/>
      <c r="F24" s="19"/>
      <c r="G24" s="20">
        <f>SUM(G21:G23)</f>
        <v>5.6775000000000002</v>
      </c>
      <c r="H24" s="21" t="s">
        <v>27</v>
      </c>
      <c r="I24" s="2">
        <v>11587.52</v>
      </c>
      <c r="J24" s="20">
        <f>G24*I24</f>
        <v>65788.144800000009</v>
      </c>
      <c r="K24" s="19"/>
    </row>
    <row r="25" spans="1:13" x14ac:dyDescent="0.25">
      <c r="A25" s="10"/>
      <c r="B25" s="23" t="s">
        <v>30</v>
      </c>
      <c r="C25" s="12"/>
      <c r="D25" s="12"/>
      <c r="E25" s="12"/>
      <c r="F25" s="12"/>
      <c r="G25" s="12"/>
      <c r="H25" s="12"/>
      <c r="I25" s="12"/>
      <c r="J25" s="13">
        <f>0.13*G24*53818.03/15</f>
        <v>2648.11616615</v>
      </c>
      <c r="K25" s="12"/>
    </row>
    <row r="26" spans="1:13" x14ac:dyDescent="0.25">
      <c r="A26" s="10"/>
      <c r="B26" s="23" t="s">
        <v>29</v>
      </c>
      <c r="C26" s="12"/>
      <c r="D26" s="12"/>
      <c r="E26" s="12"/>
      <c r="F26" s="12"/>
      <c r="G26" s="12"/>
      <c r="H26" s="12"/>
      <c r="I26" s="12"/>
      <c r="J26" s="13">
        <f>0.13*G24*21432.6/15</f>
        <v>1054.591083</v>
      </c>
      <c r="K26" s="12"/>
    </row>
    <row r="27" spans="1:13" x14ac:dyDescent="0.25">
      <c r="A27" s="10"/>
      <c r="B27" s="23" t="s">
        <v>31</v>
      </c>
      <c r="C27" s="12"/>
      <c r="D27" s="12"/>
      <c r="E27" s="12"/>
      <c r="F27" s="12"/>
      <c r="G27" s="12"/>
      <c r="H27" s="12"/>
      <c r="I27" s="12"/>
      <c r="J27" s="13">
        <f>0.13*G24*(25719.12+13573.98+4286.52)/15</f>
        <v>2144.3352021000001</v>
      </c>
      <c r="K27" s="12"/>
    </row>
    <row r="28" spans="1:13" x14ac:dyDescent="0.25">
      <c r="A28" s="10"/>
      <c r="B28" s="23" t="s">
        <v>36</v>
      </c>
      <c r="C28" s="12"/>
      <c r="D28" s="12"/>
      <c r="E28" s="12"/>
      <c r="F28" s="12"/>
      <c r="G28" s="12"/>
      <c r="H28" s="12"/>
      <c r="I28" s="12"/>
      <c r="J28" s="13">
        <f>0.13*G24*620/15</f>
        <v>30.507100000000001</v>
      </c>
      <c r="K28" s="12"/>
    </row>
    <row r="29" spans="1:13" x14ac:dyDescent="0.25">
      <c r="A29" s="10"/>
      <c r="B29" s="23" t="s">
        <v>37</v>
      </c>
      <c r="C29" s="12"/>
      <c r="D29" s="12"/>
      <c r="E29" s="12"/>
      <c r="F29" s="12"/>
      <c r="G29" s="12"/>
      <c r="H29" s="12"/>
      <c r="I29" s="12"/>
      <c r="J29" s="13">
        <f>0.13*G24*6685.1/15</f>
        <v>328.94034550000003</v>
      </c>
      <c r="K29" s="12"/>
    </row>
    <row r="30" spans="1:13" x14ac:dyDescent="0.25">
      <c r="A30" s="10"/>
      <c r="B30" s="23"/>
      <c r="C30" s="12"/>
      <c r="D30" s="12"/>
      <c r="E30" s="12"/>
      <c r="F30" s="12"/>
      <c r="G30" s="12"/>
      <c r="H30" s="12"/>
      <c r="I30" s="12"/>
      <c r="J30" s="13"/>
      <c r="K30" s="12"/>
    </row>
    <row r="31" spans="1:13" ht="90" x14ac:dyDescent="0.25">
      <c r="A31" s="10">
        <v>4</v>
      </c>
      <c r="B31" s="11" t="s">
        <v>39</v>
      </c>
      <c r="C31" s="12"/>
      <c r="D31" s="24"/>
      <c r="E31" s="24"/>
      <c r="F31" s="24"/>
      <c r="G31" s="12"/>
      <c r="H31" s="12"/>
      <c r="I31" s="12"/>
      <c r="J31" s="13"/>
      <c r="K31" s="12"/>
    </row>
    <row r="32" spans="1:13" x14ac:dyDescent="0.25">
      <c r="A32" s="10"/>
      <c r="B32" s="17" t="s">
        <v>38</v>
      </c>
      <c r="C32" s="12">
        <v>1</v>
      </c>
      <c r="D32" s="15">
        <f>2.5+7+6+5+5</f>
        <v>25.5</v>
      </c>
      <c r="E32" s="12">
        <v>0.45</v>
      </c>
      <c r="F32" s="15">
        <v>1.5</v>
      </c>
      <c r="G32" s="15">
        <f t="shared" ref="G32" si="3">PRODUCT(C32:F32)</f>
        <v>17.212499999999999</v>
      </c>
      <c r="H32" s="12"/>
      <c r="I32" s="12"/>
      <c r="J32" s="13"/>
      <c r="K32" s="12"/>
      <c r="M32" s="3">
        <f>1600000/6</f>
        <v>266666.66666666669</v>
      </c>
    </row>
    <row r="33" spans="1:11" s="22" customFormat="1" x14ac:dyDescent="0.25">
      <c r="A33" s="16"/>
      <c r="B33" s="17" t="s">
        <v>26</v>
      </c>
      <c r="C33" s="18"/>
      <c r="D33" s="1"/>
      <c r="E33" s="19"/>
      <c r="F33" s="19"/>
      <c r="G33" s="20">
        <f>SUM(G32:G32)</f>
        <v>17.212499999999999</v>
      </c>
      <c r="H33" s="21" t="s">
        <v>27</v>
      </c>
      <c r="I33" s="2">
        <v>9878.43</v>
      </c>
      <c r="J33" s="20">
        <f>G33*I33</f>
        <v>170032.476375</v>
      </c>
      <c r="K33" s="19"/>
    </row>
    <row r="34" spans="1:11" x14ac:dyDescent="0.25">
      <c r="A34" s="10"/>
      <c r="B34" s="23" t="s">
        <v>40</v>
      </c>
      <c r="C34" s="12"/>
      <c r="D34" s="12"/>
      <c r="E34" s="12"/>
      <c r="F34" s="12"/>
      <c r="G34" s="12"/>
      <c r="H34" s="12"/>
      <c r="I34" s="12"/>
      <c r="J34" s="13">
        <f>0.13*G33*(14808.78)/5</f>
        <v>6627.2992695000012</v>
      </c>
      <c r="K34" s="12"/>
    </row>
    <row r="35" spans="1:11" x14ac:dyDescent="0.25">
      <c r="A35" s="10"/>
      <c r="B35" s="23" t="s">
        <v>30</v>
      </c>
      <c r="C35" s="12"/>
      <c r="D35" s="12"/>
      <c r="E35" s="12"/>
      <c r="F35" s="12"/>
      <c r="G35" s="12"/>
      <c r="H35" s="12"/>
      <c r="I35" s="12"/>
      <c r="J35" s="13">
        <f>0.13*G33*5863.95/5</f>
        <v>2624.2642237499999</v>
      </c>
      <c r="K35" s="12"/>
    </row>
    <row r="36" spans="1:11" x14ac:dyDescent="0.25">
      <c r="A36" s="10"/>
      <c r="B36" s="23" t="s">
        <v>29</v>
      </c>
      <c r="C36" s="12"/>
      <c r="D36" s="12"/>
      <c r="E36" s="12"/>
      <c r="F36" s="12"/>
      <c r="G36" s="12"/>
      <c r="H36" s="12"/>
      <c r="I36" s="12"/>
      <c r="J36" s="13">
        <f>0.13*G33*6604.416/5</f>
        <v>2955.6412704000004</v>
      </c>
      <c r="K36" s="12"/>
    </row>
    <row r="37" spans="1:11" x14ac:dyDescent="0.25">
      <c r="A37" s="10"/>
      <c r="B37" s="23" t="s">
        <v>36</v>
      </c>
      <c r="C37" s="12"/>
      <c r="D37" s="12"/>
      <c r="E37" s="12"/>
      <c r="F37" s="12"/>
      <c r="G37" s="12"/>
      <c r="H37" s="12"/>
      <c r="I37" s="12"/>
      <c r="J37" s="13">
        <f>0.13*G33*310/5</f>
        <v>138.73274999999998</v>
      </c>
      <c r="K37" s="12"/>
    </row>
    <row r="38" spans="1:11" x14ac:dyDescent="0.25">
      <c r="A38" s="10"/>
      <c r="B38" s="23"/>
      <c r="C38" s="12"/>
      <c r="D38" s="12"/>
      <c r="E38" s="12"/>
      <c r="F38" s="12"/>
      <c r="G38" s="12"/>
      <c r="H38" s="12"/>
      <c r="I38" s="12"/>
      <c r="J38" s="13"/>
      <c r="K38" s="12"/>
    </row>
    <row r="39" spans="1:11" ht="75" x14ac:dyDescent="0.25">
      <c r="A39" s="10">
        <v>5</v>
      </c>
      <c r="B39" s="11" t="s">
        <v>43</v>
      </c>
      <c r="C39" s="24" t="s">
        <v>7</v>
      </c>
      <c r="D39" s="24" t="s">
        <v>45</v>
      </c>
      <c r="E39" s="24" t="s">
        <v>46</v>
      </c>
      <c r="F39" s="24" t="s">
        <v>47</v>
      </c>
      <c r="G39" s="24" t="s">
        <v>48</v>
      </c>
      <c r="H39" s="12"/>
      <c r="I39" s="12"/>
      <c r="J39" s="13"/>
      <c r="K39" s="12"/>
    </row>
    <row r="40" spans="1:11" x14ac:dyDescent="0.25">
      <c r="A40" s="10"/>
      <c r="B40" s="17" t="s">
        <v>44</v>
      </c>
      <c r="C40" s="12">
        <f>2*TRUNC((D40-0.1)/0.15,0)</f>
        <v>14</v>
      </c>
      <c r="D40" s="15">
        <v>1.2</v>
      </c>
      <c r="E40" s="15">
        <f>10*10/162</f>
        <v>0.61728395061728392</v>
      </c>
      <c r="F40" s="15">
        <f>PRODUCT(C40:E40)</f>
        <v>10.37037037037037</v>
      </c>
      <c r="G40" s="15">
        <f>F40/1000</f>
        <v>1.037037037037037E-2</v>
      </c>
      <c r="H40" s="12"/>
      <c r="I40" s="12"/>
      <c r="J40" s="13"/>
      <c r="K40" s="12"/>
    </row>
    <row r="41" spans="1:11" s="22" customFormat="1" x14ac:dyDescent="0.25">
      <c r="A41" s="16"/>
      <c r="B41" s="17" t="s">
        <v>26</v>
      </c>
      <c r="C41" s="18"/>
      <c r="D41" s="1"/>
      <c r="E41" s="19"/>
      <c r="F41" s="19"/>
      <c r="G41" s="20">
        <f>SUM(G40:G40)</f>
        <v>1.037037037037037E-2</v>
      </c>
      <c r="H41" s="21" t="s">
        <v>49</v>
      </c>
      <c r="I41" s="52">
        <v>124355</v>
      </c>
      <c r="J41" s="20">
        <f>G41*I41</f>
        <v>1289.6074074074074</v>
      </c>
      <c r="K41" s="19"/>
    </row>
    <row r="42" spans="1:11" x14ac:dyDescent="0.25">
      <c r="A42" s="10"/>
      <c r="B42" s="23" t="s">
        <v>51</v>
      </c>
      <c r="C42" s="12"/>
      <c r="D42" s="12"/>
      <c r="E42" s="12"/>
      <c r="F42" s="12"/>
      <c r="G42" s="12"/>
      <c r="H42" s="12"/>
      <c r="I42" s="12"/>
      <c r="J42" s="13">
        <f>0.13*G41*110000</f>
        <v>148.2962962962963</v>
      </c>
      <c r="K42" s="12"/>
    </row>
    <row r="43" spans="1:11" x14ac:dyDescent="0.25">
      <c r="A43" s="10"/>
      <c r="B43" s="23" t="s">
        <v>50</v>
      </c>
      <c r="C43" s="12"/>
      <c r="D43" s="12"/>
      <c r="E43" s="12"/>
      <c r="F43" s="12"/>
      <c r="G43" s="12"/>
      <c r="H43" s="12"/>
      <c r="I43" s="12"/>
      <c r="J43" s="13">
        <f>0.13*G41*960</f>
        <v>1.2942222222222224</v>
      </c>
      <c r="K43" s="12"/>
    </row>
    <row r="44" spans="1:11" x14ac:dyDescent="0.25">
      <c r="A44" s="10"/>
      <c r="B44" s="23"/>
      <c r="C44" s="12"/>
      <c r="D44" s="12"/>
      <c r="E44" s="12"/>
      <c r="F44" s="12"/>
      <c r="G44" s="12"/>
      <c r="H44" s="12"/>
      <c r="I44" s="12"/>
      <c r="J44" s="13"/>
      <c r="K44" s="12"/>
    </row>
    <row r="45" spans="1:11" ht="15" customHeight="1" x14ac:dyDescent="0.25">
      <c r="A45" s="16">
        <v>6</v>
      </c>
      <c r="B45" s="25" t="s">
        <v>16</v>
      </c>
      <c r="C45" s="18">
        <v>1</v>
      </c>
      <c r="D45" s="1"/>
      <c r="E45" s="19"/>
      <c r="F45" s="19"/>
      <c r="G45" s="21">
        <f t="shared" ref="G45" si="4">PRODUCT(C45:F45)</f>
        <v>1</v>
      </c>
      <c r="H45" s="21" t="s">
        <v>17</v>
      </c>
      <c r="I45" s="2">
        <v>500</v>
      </c>
      <c r="J45" s="21">
        <f>G45*I45</f>
        <v>500</v>
      </c>
      <c r="K45" s="19"/>
    </row>
    <row r="46" spans="1:11" x14ac:dyDescent="0.25">
      <c r="A46" s="16"/>
      <c r="B46" s="26"/>
      <c r="C46" s="18"/>
      <c r="D46" s="1"/>
      <c r="E46" s="19"/>
      <c r="F46" s="19"/>
      <c r="G46" s="2"/>
      <c r="H46" s="21"/>
      <c r="I46" s="2"/>
      <c r="J46" s="13"/>
      <c r="K46" s="19"/>
    </row>
    <row r="47" spans="1:11" x14ac:dyDescent="0.25">
      <c r="A47" s="27"/>
      <c r="B47" s="28" t="s">
        <v>19</v>
      </c>
      <c r="C47" s="29"/>
      <c r="D47" s="30"/>
      <c r="E47" s="30"/>
      <c r="F47" s="30"/>
      <c r="G47" s="13"/>
      <c r="H47" s="13"/>
      <c r="I47" s="13"/>
      <c r="J47" s="13">
        <f>SUM(J9:J45)</f>
        <v>306325.19749732601</v>
      </c>
      <c r="K47" s="31"/>
    </row>
    <row r="49" spans="1:11" s="22" customFormat="1" x14ac:dyDescent="0.25">
      <c r="A49" s="32"/>
      <c r="B49" s="33" t="s">
        <v>18</v>
      </c>
      <c r="C49" s="45">
        <f>J47</f>
        <v>306325.19749732601</v>
      </c>
      <c r="D49" s="46"/>
      <c r="E49" s="34">
        <v>100</v>
      </c>
      <c r="F49" s="32"/>
      <c r="G49" s="35"/>
      <c r="H49" s="32"/>
      <c r="I49" s="36"/>
      <c r="J49" s="37"/>
      <c r="K49" s="38"/>
    </row>
    <row r="50" spans="1:11" x14ac:dyDescent="0.25">
      <c r="B50" s="33" t="s">
        <v>20</v>
      </c>
      <c r="C50" s="49">
        <f>266666.67</f>
        <v>266666.67</v>
      </c>
      <c r="D50" s="50"/>
      <c r="E50" s="34"/>
    </row>
    <row r="51" spans="1:11" x14ac:dyDescent="0.25">
      <c r="B51" s="33" t="s">
        <v>21</v>
      </c>
      <c r="C51" s="49">
        <f>C50-C53-C54</f>
        <v>253333.33649999998</v>
      </c>
      <c r="D51" s="50"/>
      <c r="E51" s="34">
        <f>C51/C49*100</f>
        <v>82.700782883592652</v>
      </c>
    </row>
    <row r="52" spans="1:11" x14ac:dyDescent="0.25">
      <c r="B52" s="33" t="s">
        <v>25</v>
      </c>
      <c r="C52" s="51">
        <f>C49-C51</f>
        <v>52991.860997326032</v>
      </c>
      <c r="D52" s="51"/>
      <c r="E52" s="34">
        <f>100-E51</f>
        <v>17.299217116407348</v>
      </c>
    </row>
    <row r="53" spans="1:11" x14ac:dyDescent="0.25">
      <c r="B53" s="33" t="s">
        <v>22</v>
      </c>
      <c r="C53" s="45">
        <f>C50*0.03</f>
        <v>8000.0000999999993</v>
      </c>
      <c r="D53" s="46"/>
      <c r="E53" s="34">
        <v>3</v>
      </c>
    </row>
    <row r="54" spans="1:11" x14ac:dyDescent="0.25">
      <c r="B54" s="33" t="s">
        <v>23</v>
      </c>
      <c r="C54" s="45">
        <f>C50*0.02</f>
        <v>5333.3333999999995</v>
      </c>
      <c r="D54" s="46"/>
      <c r="E54" s="34">
        <v>2</v>
      </c>
    </row>
  </sheetData>
  <mergeCells count="15">
    <mergeCell ref="C53:D53"/>
    <mergeCell ref="C54:D54"/>
    <mergeCell ref="A7:F7"/>
    <mergeCell ref="H7:K7"/>
    <mergeCell ref="C49:D49"/>
    <mergeCell ref="C50:D50"/>
    <mergeCell ref="C51:D51"/>
    <mergeCell ref="C52:D52"/>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2026-02-08T05:33:54Z</dcterms:modified>
</cp:coreProperties>
</file>