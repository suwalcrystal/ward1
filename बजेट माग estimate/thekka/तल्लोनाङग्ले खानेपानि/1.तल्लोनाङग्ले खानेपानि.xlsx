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792D807C-181D-4A8E-9731-B9BB19E0BE30}" xr6:coauthVersionLast="47" xr6:coauthVersionMax="47" xr10:uidLastSave="{00000000-0000-0000-0000-000000000000}"/>
  <bookViews>
    <workbookView xWindow="-120" yWindow="-120" windowWidth="20730" windowHeight="11040" xr2:uid="{00000000-000D-0000-FFFF-FFFF0000000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3" l="1"/>
  <c r="G30" i="13"/>
  <c r="C14" i="13"/>
  <c r="G14" i="13" s="1"/>
  <c r="G26" i="13"/>
  <c r="C10" i="13"/>
  <c r="G10" i="13" s="1"/>
  <c r="G11" i="13" s="1"/>
  <c r="J11" i="13" s="1"/>
  <c r="J12" i="13" s="1"/>
  <c r="G22" i="13"/>
  <c r="G18" i="13"/>
  <c r="I45" i="13"/>
  <c r="C48" i="13"/>
  <c r="D44" i="13"/>
  <c r="G40" i="13"/>
  <c r="G35" i="13" l="1"/>
  <c r="J35" i="13" s="1"/>
  <c r="J36" i="13" s="1"/>
  <c r="G31" i="13"/>
  <c r="J31" i="13" s="1"/>
  <c r="J32" i="13" s="1"/>
  <c r="G27" i="13"/>
  <c r="J27" i="13" s="1"/>
  <c r="J28" i="13" s="1"/>
  <c r="G23" i="13"/>
  <c r="J23" i="13" s="1"/>
  <c r="J24" i="13" s="1"/>
  <c r="G19" i="13"/>
  <c r="J19" i="13" s="1"/>
  <c r="J20" i="13" s="1"/>
  <c r="G15" i="13"/>
  <c r="J15" i="13" s="1"/>
  <c r="J16" i="13" s="1"/>
  <c r="D48" i="13"/>
  <c r="F48" i="13" s="1"/>
  <c r="G48" i="13" s="1"/>
  <c r="G49" i="13" s="1"/>
  <c r="G44" i="13"/>
  <c r="G45" i="13" s="1"/>
  <c r="J45" i="13" s="1"/>
  <c r="G41" i="13" l="1"/>
  <c r="J41" i="13" l="1"/>
  <c r="J49" i="13"/>
  <c r="J50" i="13" s="1"/>
  <c r="C61" i="13" l="1"/>
  <c r="C60" i="13"/>
  <c r="G52" i="13"/>
  <c r="J52" i="13" s="1"/>
  <c r="C58" i="13" l="1"/>
  <c r="J54" i="13" l="1"/>
  <c r="C56" i="13" s="1"/>
  <c r="C59" i="13" s="1"/>
  <c r="E58" i="13" l="1"/>
  <c r="E5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2" authorId="0" shapeId="0" xr:uid="{27FC0908-EF44-45E0-A699-FED5584BF4D7}">
      <text>
        <r>
          <rPr>
            <b/>
            <sz val="9"/>
            <color indexed="81"/>
            <rFont val="Tahoma"/>
            <family val="2"/>
          </rPr>
          <t>Author:</t>
        </r>
        <r>
          <rPr>
            <sz val="9"/>
            <color indexed="81"/>
            <rFont val="Tahoma"/>
            <family val="2"/>
          </rPr>
          <t xml:space="preserve">
saddle clamp- 3/4 1/2</t>
        </r>
      </text>
    </comment>
  </commentList>
</comments>
</file>

<file path=xl/sharedStrings.xml><?xml version="1.0" encoding="utf-8"?>
<sst xmlns="http://schemas.openxmlformats.org/spreadsheetml/2006/main" count="83" uniqueCount="56">
  <si>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</si>
  <si>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</si>
  <si>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</si>
  <si>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</si>
  <si>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</si>
  <si>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</si>
  <si>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</si>
  <si>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</si>
  <si>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</si>
  <si>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</si>
  <si>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</si>
  <si>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</si>
  <si>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</si>
  <si>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</si>
  <si>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</si>
  <si>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</si>
  <si>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</si>
  <si>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</si>
  <si>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</si>
  <si>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</si>
  <si>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</si>
  <si>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</si>
  <si>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</si>
  <si>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</si>
  <si>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</si>
  <si>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</si>
  <si>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</si>
  <si>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</si>
  <si>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</si>
  <si>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</si>
  <si>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</si>
  <si>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</si>
  <si>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</si>
  <si>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</si>
  <si>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</si>
  <si>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</si>
  <si>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</si>
  <si>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</si>
  <si>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A</t>
  </si>
  <si>
    <t>Pipe works</t>
  </si>
  <si>
    <t>B</t>
  </si>
  <si>
    <t>Date:2082</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</si>
  <si>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</si>
  <si>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Laying and joining of 20,25 mmØ HDPE pipe with butt-weld joints</t>
  </si>
  <si>
    <t>-for 20mm pipe laying</t>
  </si>
  <si>
    <r>
      <t>Project:-</t>
    </r>
    <r>
      <rPr>
        <sz val="12"/>
        <rFont val="Preeti"/>
      </rPr>
      <t xml:space="preserve"> </t>
    </r>
    <r>
      <rPr>
        <sz val="14"/>
        <rFont val="Preeti"/>
      </rPr>
      <t>tNnf]gfª\n]</t>
    </r>
    <r>
      <rPr>
        <sz val="12"/>
        <rFont val="Preeti"/>
      </rPr>
      <t xml:space="preserve"> </t>
    </r>
    <r>
      <rPr>
        <sz val="14"/>
        <rFont val="Preeti"/>
      </rPr>
      <t>vfg]kfgL dd{t</t>
    </r>
  </si>
  <si>
    <t>-G.I. Union 20mm</t>
  </si>
  <si>
    <t>-G.I. Socket 20mm</t>
  </si>
  <si>
    <t>pcs.</t>
  </si>
  <si>
    <t>-Brass ferrule cock</t>
  </si>
  <si>
    <t>-for pipe laying to chihaan</t>
  </si>
  <si>
    <t>-1/2"/(25-50mm dia)HDPE saddle</t>
  </si>
  <si>
    <t>-G.I. nipple medium class- 2" long  20mm</t>
  </si>
  <si>
    <t>-brass tap 1/2" ordinary</t>
  </si>
  <si>
    <t>- Air Vent system C.I air valve heavy 20 mm</t>
  </si>
  <si>
    <t>-Fittings for HPDE pipeline maintainance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</si>
</sst>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
      <sz val="11"/>
      <color rgb="FFFF0000"/>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6">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0" fontId="4" fillId="0" borderId="2" xfId="0" quotePrefix="1" applyFont="1" applyBorder="1" applyAlignment="1">
      <alignment horizontal="right" wrapText="1"/>
    </xf>
    <xf numFmtId="0" fontId="15" fillId="0" borderId="2" xfId="0" quotePrefix="1" applyFont="1" applyBorder="1" applyAlignment="1">
      <alignment horizontal="right"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
  <sheetViews>
    <sheetView tabSelected="1" topLeftCell="A45" zoomScaleNormal="100" workbookViewId="0">
      <selection activeCell="C59" sqref="C59:D59"/>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8" t="s">
        <v>0</v>
      </c>
      <c r="B1" s="48"/>
      <c r="C1" s="48"/>
      <c r="D1" s="48"/>
      <c r="E1" s="48"/>
      <c r="F1" s="48"/>
      <c r="G1" s="48"/>
      <c r="H1" s="48"/>
      <c r="I1" s="48"/>
      <c r="J1" s="48"/>
      <c r="K1" s="48"/>
    </row>
    <row r="2" spans="1:25" ht="22.5" x14ac:dyDescent="0.25">
      <c r="A2" s="49" t="s">
        <v>1</v>
      </c>
      <c r="B2" s="49"/>
      <c r="C2" s="49"/>
      <c r="D2" s="49"/>
      <c r="E2" s="49"/>
      <c r="F2" s="49"/>
      <c r="G2" s="49"/>
      <c r="H2" s="49"/>
      <c r="I2" s="49"/>
      <c r="J2" s="49"/>
      <c r="K2" s="49"/>
    </row>
    <row r="3" spans="1:25" x14ac:dyDescent="0.25">
      <c r="A3" s="50" t="s">
        <v>2</v>
      </c>
      <c r="B3" s="50"/>
      <c r="C3" s="50"/>
      <c r="D3" s="50"/>
      <c r="E3" s="50"/>
      <c r="F3" s="50"/>
      <c r="G3" s="50"/>
      <c r="H3" s="50"/>
      <c r="I3" s="50"/>
      <c r="J3" s="50"/>
      <c r="K3" s="50"/>
    </row>
    <row r="4" spans="1:25" x14ac:dyDescent="0.25">
      <c r="A4" s="50" t="s">
        <v>3</v>
      </c>
      <c r="B4" s="50"/>
      <c r="C4" s="50"/>
      <c r="D4" s="50"/>
      <c r="E4" s="50"/>
      <c r="F4" s="50"/>
      <c r="G4" s="50"/>
      <c r="H4" s="50"/>
      <c r="I4" s="50"/>
      <c r="J4" s="50"/>
      <c r="K4" s="50"/>
    </row>
    <row r="5" spans="1:25" ht="18.75" x14ac:dyDescent="0.3">
      <c r="A5" s="51" t="s">
        <v>4</v>
      </c>
      <c r="B5" s="51"/>
      <c r="C5" s="51"/>
      <c r="D5" s="51"/>
      <c r="E5" s="51"/>
      <c r="F5" s="51"/>
      <c r="G5" s="51"/>
      <c r="H5" s="51"/>
      <c r="I5" s="51"/>
      <c r="J5" s="51"/>
      <c r="K5" s="51"/>
    </row>
    <row r="6" spans="1:25" ht="18" x14ac:dyDescent="0.25">
      <c r="A6" s="52" t="s">
        <v>45</v>
      </c>
      <c r="B6" s="52"/>
      <c r="C6" s="52"/>
      <c r="D6" s="52"/>
      <c r="E6" s="52"/>
      <c r="F6" s="52"/>
      <c r="G6" s="3"/>
      <c r="H6" s="53" t="s">
        <v>25</v>
      </c>
      <c r="I6" s="53"/>
      <c r="J6" s="53"/>
      <c r="K6" s="53"/>
    </row>
    <row r="7" spans="1:25" ht="15.75" x14ac:dyDescent="0.25">
      <c r="A7" s="46" t="s">
        <v>34</v>
      </c>
      <c r="B7" s="46"/>
      <c r="C7" s="46"/>
      <c r="D7" s="46"/>
      <c r="E7" s="46"/>
      <c r="F7" s="46"/>
      <c r="G7" s="4"/>
      <c r="H7" s="47" t="s">
        <v>41</v>
      </c>
      <c r="I7" s="47"/>
      <c r="J7" s="47"/>
      <c r="K7" s="47"/>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30" x14ac:dyDescent="0.25">
      <c r="A9" s="17" t="s">
        <v>38</v>
      </c>
      <c r="B9" s="36" t="s">
        <v>55</v>
      </c>
      <c r="C9" s="19"/>
      <c r="D9" s="19"/>
      <c r="E9" s="19"/>
      <c r="F9" s="19"/>
      <c r="G9" s="19"/>
      <c r="H9" s="19"/>
      <c r="I9" s="19"/>
      <c r="J9" s="16"/>
      <c r="K9" s="19"/>
      <c r="M9" s="10"/>
      <c r="N9" s="10"/>
      <c r="O9" s="10"/>
      <c r="P9" s="10"/>
      <c r="Q9" s="10"/>
      <c r="R9" s="10"/>
      <c r="S9" s="10"/>
      <c r="T9" s="10"/>
      <c r="U9" s="10"/>
      <c r="V9" s="10"/>
      <c r="W9" s="10"/>
      <c r="X9" s="10"/>
      <c r="Y9" s="10"/>
    </row>
    <row r="10" spans="1:25" x14ac:dyDescent="0.25">
      <c r="A10" s="17">
        <v>1</v>
      </c>
      <c r="B10" s="18" t="s">
        <v>46</v>
      </c>
      <c r="C10" s="19">
        <f>2+1</f>
        <v>3</v>
      </c>
      <c r="D10" s="20"/>
      <c r="E10" s="19"/>
      <c r="F10" s="19"/>
      <c r="G10" s="20">
        <f>PRODUCT(C10:F10)</f>
        <v>3</v>
      </c>
      <c r="H10" s="19"/>
      <c r="I10" s="38"/>
      <c r="J10" s="38"/>
      <c r="K10" s="19"/>
    </row>
    <row r="11" spans="1:25" ht="15" customHeight="1" x14ac:dyDescent="0.25">
      <c r="A11" s="11"/>
      <c r="B11" s="12" t="s">
        <v>16</v>
      </c>
      <c r="C11" s="13"/>
      <c r="D11" s="1"/>
      <c r="E11" s="14"/>
      <c r="F11" s="14"/>
      <c r="G11" s="2">
        <f>SUM(G10:G10)</f>
        <v>3</v>
      </c>
      <c r="H11" s="15" t="s">
        <v>48</v>
      </c>
      <c r="I11" s="2">
        <v>153</v>
      </c>
      <c r="J11" s="16">
        <f>G11*I11</f>
        <v>459</v>
      </c>
      <c r="K11" s="14"/>
    </row>
    <row r="12" spans="1:25" x14ac:dyDescent="0.25">
      <c r="A12" s="17"/>
      <c r="B12" s="18" t="s">
        <v>35</v>
      </c>
      <c r="C12" s="19"/>
      <c r="D12" s="19"/>
      <c r="E12" s="19"/>
      <c r="F12" s="19"/>
      <c r="G12" s="19"/>
      <c r="H12" s="19"/>
      <c r="I12" s="19"/>
      <c r="J12" s="16">
        <f>0.13*J11</f>
        <v>59.67</v>
      </c>
      <c r="K12" s="19"/>
    </row>
    <row r="13" spans="1:25" x14ac:dyDescent="0.25">
      <c r="A13" s="17"/>
      <c r="B13" s="18"/>
      <c r="C13" s="19"/>
      <c r="D13" s="19"/>
      <c r="E13" s="19"/>
      <c r="F13" s="19"/>
      <c r="G13" s="19"/>
      <c r="H13" s="19"/>
      <c r="I13" s="19"/>
      <c r="J13" s="16"/>
      <c r="K13" s="19"/>
    </row>
    <row r="14" spans="1:25" x14ac:dyDescent="0.25">
      <c r="A14" s="17">
        <v>2</v>
      </c>
      <c r="B14" s="18" t="s">
        <v>47</v>
      </c>
      <c r="C14" s="19">
        <f>1+3</f>
        <v>4</v>
      </c>
      <c r="D14" s="20"/>
      <c r="E14" s="19"/>
      <c r="F14" s="19"/>
      <c r="G14" s="20">
        <f t="shared" ref="G14:G18" si="0">PRODUCT(C14:F14)</f>
        <v>4</v>
      </c>
      <c r="H14" s="19" t="s">
        <v>48</v>
      </c>
      <c r="I14" s="38"/>
      <c r="J14" s="38"/>
      <c r="K14" s="19"/>
    </row>
    <row r="15" spans="1:25" ht="15" customHeight="1" x14ac:dyDescent="0.25">
      <c r="A15" s="11"/>
      <c r="B15" s="12" t="s">
        <v>16</v>
      </c>
      <c r="C15" s="13"/>
      <c r="D15" s="1"/>
      <c r="E15" s="14"/>
      <c r="F15" s="14"/>
      <c r="G15" s="2">
        <f>SUM(G14:G14)</f>
        <v>4</v>
      </c>
      <c r="H15" s="15" t="s">
        <v>48</v>
      </c>
      <c r="I15" s="2">
        <v>57</v>
      </c>
      <c r="J15" s="16">
        <f>G15*I15</f>
        <v>228</v>
      </c>
      <c r="K15" s="14"/>
    </row>
    <row r="16" spans="1:25" x14ac:dyDescent="0.25">
      <c r="A16" s="17"/>
      <c r="B16" s="18" t="s">
        <v>35</v>
      </c>
      <c r="C16" s="19"/>
      <c r="D16" s="19"/>
      <c r="E16" s="19"/>
      <c r="F16" s="19"/>
      <c r="G16" s="19"/>
      <c r="H16" s="19"/>
      <c r="I16" s="19"/>
      <c r="J16" s="16">
        <f>0.13*J15</f>
        <v>29.64</v>
      </c>
      <c r="K16" s="19"/>
    </row>
    <row r="17" spans="1:11" x14ac:dyDescent="0.25">
      <c r="A17" s="17"/>
      <c r="B17" s="18"/>
      <c r="C17" s="19"/>
      <c r="D17" s="19"/>
      <c r="E17" s="19"/>
      <c r="F17" s="19"/>
      <c r="G17" s="19"/>
      <c r="H17" s="19"/>
      <c r="I17" s="19"/>
      <c r="J17" s="16"/>
      <c r="K17" s="19"/>
    </row>
    <row r="18" spans="1:11" x14ac:dyDescent="0.25">
      <c r="A18" s="17">
        <v>3</v>
      </c>
      <c r="B18" s="18" t="s">
        <v>49</v>
      </c>
      <c r="C18" s="19">
        <v>6</v>
      </c>
      <c r="D18" s="20"/>
      <c r="E18" s="19"/>
      <c r="F18" s="19"/>
      <c r="G18" s="20">
        <f t="shared" si="0"/>
        <v>6</v>
      </c>
      <c r="H18" s="19" t="s">
        <v>48</v>
      </c>
      <c r="I18" s="38"/>
      <c r="J18" s="38"/>
      <c r="K18" s="19"/>
    </row>
    <row r="19" spans="1:11" ht="15" customHeight="1" x14ac:dyDescent="0.25">
      <c r="A19" s="11"/>
      <c r="B19" s="12" t="s">
        <v>16</v>
      </c>
      <c r="C19" s="13"/>
      <c r="D19" s="1"/>
      <c r="E19" s="14"/>
      <c r="F19" s="14"/>
      <c r="G19" s="2">
        <f>SUM(G18:G18)</f>
        <v>6</v>
      </c>
      <c r="H19" s="15" t="s">
        <v>48</v>
      </c>
      <c r="I19" s="2">
        <v>600</v>
      </c>
      <c r="J19" s="16">
        <f>G19*I19</f>
        <v>3600</v>
      </c>
      <c r="K19" s="14"/>
    </row>
    <row r="20" spans="1:11" x14ac:dyDescent="0.25">
      <c r="A20" s="17"/>
      <c r="B20" s="18" t="s">
        <v>35</v>
      </c>
      <c r="C20" s="19"/>
      <c r="D20" s="19"/>
      <c r="E20" s="19"/>
      <c r="F20" s="19"/>
      <c r="G20" s="19"/>
      <c r="H20" s="19"/>
      <c r="I20" s="19"/>
      <c r="J20" s="16">
        <f>0.13*J19</f>
        <v>468</v>
      </c>
      <c r="K20" s="19"/>
    </row>
    <row r="21" spans="1:11" x14ac:dyDescent="0.25">
      <c r="A21" s="17"/>
      <c r="B21" s="18"/>
      <c r="C21" s="19"/>
      <c r="D21" s="19"/>
      <c r="E21" s="19"/>
      <c r="F21" s="19"/>
      <c r="G21" s="19"/>
      <c r="H21" s="19"/>
      <c r="I21" s="19"/>
      <c r="J21" s="16"/>
      <c r="K21" s="19"/>
    </row>
    <row r="22" spans="1:11" x14ac:dyDescent="0.25">
      <c r="A22" s="17">
        <v>4</v>
      </c>
      <c r="B22" s="18" t="s">
        <v>51</v>
      </c>
      <c r="C22" s="19">
        <v>1</v>
      </c>
      <c r="D22" s="20"/>
      <c r="E22" s="19"/>
      <c r="F22" s="19"/>
      <c r="G22" s="20">
        <f t="shared" ref="G22:G34" si="1">PRODUCT(C22:F22)</f>
        <v>1</v>
      </c>
      <c r="H22" s="19" t="s">
        <v>48</v>
      </c>
      <c r="I22" s="38"/>
      <c r="J22" s="38"/>
      <c r="K22" s="19"/>
    </row>
    <row r="23" spans="1:11" ht="15" customHeight="1" x14ac:dyDescent="0.25">
      <c r="A23" s="11"/>
      <c r="B23" s="12" t="s">
        <v>16</v>
      </c>
      <c r="C23" s="13"/>
      <c r="D23" s="1"/>
      <c r="E23" s="14"/>
      <c r="F23" s="14"/>
      <c r="G23" s="2">
        <f>SUM(G22:G22)</f>
        <v>1</v>
      </c>
      <c r="H23" s="15" t="s">
        <v>48</v>
      </c>
      <c r="I23" s="2">
        <v>180</v>
      </c>
      <c r="J23" s="16">
        <f>G23*I23</f>
        <v>180</v>
      </c>
      <c r="K23" s="14"/>
    </row>
    <row r="24" spans="1:11" x14ac:dyDescent="0.25">
      <c r="A24" s="17"/>
      <c r="B24" s="18" t="s">
        <v>35</v>
      </c>
      <c r="C24" s="19"/>
      <c r="D24" s="19"/>
      <c r="E24" s="19"/>
      <c r="F24" s="19"/>
      <c r="G24" s="19"/>
      <c r="H24" s="19"/>
      <c r="I24" s="19"/>
      <c r="J24" s="16">
        <f>0.13*J23</f>
        <v>23.400000000000002</v>
      </c>
      <c r="K24" s="19"/>
    </row>
    <row r="25" spans="1:11" x14ac:dyDescent="0.25">
      <c r="A25" s="17"/>
      <c r="B25" s="18"/>
      <c r="C25" s="19"/>
      <c r="D25" s="19"/>
      <c r="E25" s="19"/>
      <c r="F25" s="19"/>
      <c r="G25" s="19"/>
      <c r="H25" s="19"/>
      <c r="I25" s="19"/>
      <c r="J25" s="16"/>
      <c r="K25" s="19"/>
    </row>
    <row r="26" spans="1:11" ht="30" x14ac:dyDescent="0.25">
      <c r="A26" s="17">
        <v>5</v>
      </c>
      <c r="B26" s="54" t="s">
        <v>52</v>
      </c>
      <c r="C26" s="19">
        <v>1</v>
      </c>
      <c r="D26" s="20"/>
      <c r="E26" s="19"/>
      <c r="F26" s="19"/>
      <c r="G26" s="20">
        <f t="shared" si="1"/>
        <v>1</v>
      </c>
      <c r="H26" s="19" t="s">
        <v>48</v>
      </c>
      <c r="I26" s="38"/>
      <c r="J26" s="38"/>
      <c r="K26" s="19"/>
    </row>
    <row r="27" spans="1:11" ht="15" customHeight="1" x14ac:dyDescent="0.25">
      <c r="A27" s="11"/>
      <c r="B27" s="12" t="s">
        <v>16</v>
      </c>
      <c r="C27" s="13"/>
      <c r="D27" s="1"/>
      <c r="E27" s="14"/>
      <c r="F27" s="14"/>
      <c r="G27" s="2">
        <f>SUM(G26:G26)</f>
        <v>1</v>
      </c>
      <c r="H27" s="15" t="s">
        <v>48</v>
      </c>
      <c r="I27" s="2">
        <v>34</v>
      </c>
      <c r="J27" s="16">
        <f>G27*I27</f>
        <v>34</v>
      </c>
      <c r="K27" s="14"/>
    </row>
    <row r="28" spans="1:11" x14ac:dyDescent="0.25">
      <c r="A28" s="17"/>
      <c r="B28" s="18" t="s">
        <v>35</v>
      </c>
      <c r="C28" s="19"/>
      <c r="D28" s="19"/>
      <c r="E28" s="19"/>
      <c r="F28" s="19"/>
      <c r="G28" s="19"/>
      <c r="H28" s="19"/>
      <c r="I28" s="19"/>
      <c r="J28" s="16">
        <f>0.13*J27</f>
        <v>4.42</v>
      </c>
      <c r="K28" s="19"/>
    </row>
    <row r="29" spans="1:11" x14ac:dyDescent="0.25">
      <c r="A29" s="17"/>
      <c r="B29" s="18"/>
      <c r="C29" s="19"/>
      <c r="D29" s="19"/>
      <c r="E29" s="19"/>
      <c r="F29" s="19"/>
      <c r="G29" s="19"/>
      <c r="H29" s="19"/>
      <c r="I29" s="19"/>
      <c r="J29" s="16"/>
      <c r="K29" s="19"/>
    </row>
    <row r="30" spans="1:11" x14ac:dyDescent="0.25">
      <c r="A30" s="17">
        <v>6</v>
      </c>
      <c r="B30" s="18" t="s">
        <v>53</v>
      </c>
      <c r="C30" s="19">
        <v>1</v>
      </c>
      <c r="D30" s="20"/>
      <c r="E30" s="19"/>
      <c r="F30" s="19"/>
      <c r="G30" s="20">
        <f t="shared" si="1"/>
        <v>1</v>
      </c>
      <c r="H30" s="19" t="s">
        <v>48</v>
      </c>
      <c r="I30" s="38"/>
      <c r="J30" s="38"/>
      <c r="K30" s="19"/>
    </row>
    <row r="31" spans="1:11" ht="15" customHeight="1" x14ac:dyDescent="0.25">
      <c r="A31" s="11"/>
      <c r="B31" s="12" t="s">
        <v>16</v>
      </c>
      <c r="C31" s="13"/>
      <c r="D31" s="1"/>
      <c r="E31" s="14"/>
      <c r="F31" s="14"/>
      <c r="G31" s="2">
        <f>SUM(G30:G30)</f>
        <v>1</v>
      </c>
      <c r="H31" s="15" t="s">
        <v>48</v>
      </c>
      <c r="I31" s="2">
        <v>205</v>
      </c>
      <c r="J31" s="16">
        <f>G31*I31</f>
        <v>205</v>
      </c>
      <c r="K31" s="14"/>
    </row>
    <row r="32" spans="1:11" x14ac:dyDescent="0.25">
      <c r="A32" s="17"/>
      <c r="B32" s="18" t="s">
        <v>35</v>
      </c>
      <c r="C32" s="19"/>
      <c r="D32" s="19"/>
      <c r="E32" s="19"/>
      <c r="F32" s="19"/>
      <c r="G32" s="19"/>
      <c r="H32" s="19"/>
      <c r="I32" s="19"/>
      <c r="J32" s="16">
        <f>0.13*J31</f>
        <v>26.650000000000002</v>
      </c>
      <c r="K32" s="19"/>
    </row>
    <row r="33" spans="1:25" x14ac:dyDescent="0.25">
      <c r="A33" s="17"/>
      <c r="B33" s="18"/>
      <c r="C33" s="19"/>
      <c r="D33" s="19"/>
      <c r="E33" s="19"/>
      <c r="F33" s="19"/>
      <c r="G33" s="19"/>
      <c r="H33" s="19"/>
      <c r="I33" s="19"/>
      <c r="J33" s="16"/>
      <c r="K33" s="19"/>
    </row>
    <row r="34" spans="1:25" ht="30" x14ac:dyDescent="0.25">
      <c r="A34" s="17">
        <v>7</v>
      </c>
      <c r="B34" s="55" t="s">
        <v>54</v>
      </c>
      <c r="C34" s="19">
        <v>1</v>
      </c>
      <c r="D34" s="20"/>
      <c r="E34" s="19"/>
      <c r="F34" s="19"/>
      <c r="G34" s="20">
        <f t="shared" si="1"/>
        <v>1</v>
      </c>
      <c r="H34" s="19" t="s">
        <v>48</v>
      </c>
      <c r="I34" s="38"/>
      <c r="J34" s="38"/>
      <c r="K34" s="19"/>
    </row>
    <row r="35" spans="1:25" ht="15" customHeight="1" x14ac:dyDescent="0.25">
      <c r="A35" s="11"/>
      <c r="B35" s="12" t="s">
        <v>16</v>
      </c>
      <c r="C35" s="13"/>
      <c r="D35" s="1"/>
      <c r="E35" s="14"/>
      <c r="F35" s="14"/>
      <c r="G35" s="2">
        <f>SUM(G34:G34)</f>
        <v>1</v>
      </c>
      <c r="H35" s="15" t="s">
        <v>48</v>
      </c>
      <c r="I35" s="2">
        <v>5182</v>
      </c>
      <c r="J35" s="16">
        <f>G35*I35</f>
        <v>5182</v>
      </c>
      <c r="K35" s="14"/>
    </row>
    <row r="36" spans="1:25" x14ac:dyDescent="0.25">
      <c r="A36" s="17"/>
      <c r="B36" s="18" t="s">
        <v>35</v>
      </c>
      <c r="C36" s="19"/>
      <c r="D36" s="19"/>
      <c r="E36" s="19"/>
      <c r="F36" s="19"/>
      <c r="G36" s="19"/>
      <c r="H36" s="19"/>
      <c r="I36" s="19"/>
      <c r="J36" s="16">
        <f>0.13*J35</f>
        <v>673.66</v>
      </c>
      <c r="K36" s="19"/>
    </row>
    <row r="37" spans="1:25" ht="15.75" x14ac:dyDescent="0.25">
      <c r="A37" s="5"/>
      <c r="B37" s="6"/>
      <c r="C37" s="5"/>
      <c r="D37" s="7"/>
      <c r="E37" s="7"/>
      <c r="F37" s="7"/>
      <c r="G37" s="7"/>
      <c r="H37" s="5"/>
      <c r="I37" s="7"/>
      <c r="J37" s="7"/>
      <c r="K37" s="8"/>
      <c r="M37" s="10"/>
      <c r="N37" s="10"/>
      <c r="O37" s="10"/>
      <c r="P37" s="10"/>
      <c r="Q37" s="10"/>
      <c r="R37" s="10"/>
      <c r="S37" s="10"/>
      <c r="T37" s="10"/>
      <c r="U37" s="10"/>
      <c r="V37" s="10"/>
      <c r="W37" s="10"/>
      <c r="X37" s="10"/>
      <c r="Y37" s="10"/>
    </row>
    <row r="38" spans="1:25" ht="15.75" x14ac:dyDescent="0.25">
      <c r="A38" s="5" t="s">
        <v>40</v>
      </c>
      <c r="B38" s="6" t="s">
        <v>39</v>
      </c>
      <c r="C38" s="5"/>
      <c r="D38" s="7"/>
      <c r="E38" s="7"/>
      <c r="F38" s="7"/>
      <c r="G38" s="7"/>
      <c r="H38" s="5"/>
      <c r="I38" s="7"/>
      <c r="J38" s="7"/>
      <c r="K38" s="8"/>
    </row>
    <row r="39" spans="1:25" ht="168" x14ac:dyDescent="0.25">
      <c r="A39" s="17">
        <v>8</v>
      </c>
      <c r="B39" s="36" t="s">
        <v>42</v>
      </c>
      <c r="C39" s="19"/>
      <c r="D39" s="19"/>
      <c r="E39" s="19"/>
      <c r="F39" s="19"/>
      <c r="G39" s="19"/>
      <c r="H39" s="19"/>
      <c r="I39" s="19"/>
      <c r="J39" s="16"/>
      <c r="K39" s="19"/>
      <c r="M39" s="10"/>
      <c r="N39" s="10"/>
      <c r="O39" s="10"/>
      <c r="P39" s="10"/>
      <c r="Q39" s="10"/>
      <c r="R39" s="10"/>
      <c r="S39" s="10"/>
      <c r="T39" s="10"/>
      <c r="U39" s="10"/>
      <c r="V39" s="10"/>
      <c r="W39" s="10"/>
      <c r="X39" s="10"/>
      <c r="Y39" s="10"/>
    </row>
    <row r="40" spans="1:25" x14ac:dyDescent="0.25">
      <c r="A40" s="17"/>
      <c r="B40" s="18" t="s">
        <v>50</v>
      </c>
      <c r="C40" s="19">
        <v>1</v>
      </c>
      <c r="D40" s="20">
        <v>180</v>
      </c>
      <c r="E40" s="19">
        <v>0.23</v>
      </c>
      <c r="F40" s="19">
        <v>0.45</v>
      </c>
      <c r="G40" s="20">
        <f>PRODUCT(C40:F40)</f>
        <v>18.63</v>
      </c>
      <c r="H40" s="19"/>
      <c r="I40" s="19"/>
      <c r="J40" s="16"/>
      <c r="K40" s="19"/>
    </row>
    <row r="41" spans="1:25" s="10" customFormat="1" x14ac:dyDescent="0.25">
      <c r="A41" s="11"/>
      <c r="B41" s="37" t="s">
        <v>28</v>
      </c>
      <c r="C41" s="13"/>
      <c r="D41" s="1"/>
      <c r="E41" s="14"/>
      <c r="F41" s="14"/>
      <c r="G41" s="38">
        <f>SUM(G40:G40)</f>
        <v>18.63</v>
      </c>
      <c r="H41" s="15" t="s">
        <v>29</v>
      </c>
      <c r="I41" s="2">
        <v>748.9</v>
      </c>
      <c r="J41" s="38">
        <f>G41*I41</f>
        <v>13952.007</v>
      </c>
      <c r="K41" s="14"/>
      <c r="M41" s="9"/>
      <c r="N41" s="9"/>
      <c r="O41" s="9"/>
      <c r="P41" s="9"/>
      <c r="Q41" s="9"/>
      <c r="R41" s="9"/>
      <c r="S41" s="9"/>
      <c r="T41" s="9"/>
      <c r="U41" s="9"/>
      <c r="V41" s="9"/>
      <c r="W41" s="9"/>
      <c r="X41" s="9"/>
      <c r="Y41" s="9"/>
    </row>
    <row r="42" spans="1:25" x14ac:dyDescent="0.25">
      <c r="A42" s="17"/>
      <c r="B42" s="18"/>
      <c r="C42" s="19"/>
      <c r="D42" s="19"/>
      <c r="E42" s="19"/>
      <c r="F42" s="19"/>
      <c r="G42" s="19"/>
      <c r="H42" s="19"/>
      <c r="I42" s="19"/>
      <c r="J42" s="16"/>
      <c r="K42" s="19"/>
    </row>
    <row r="43" spans="1:25" ht="30" x14ac:dyDescent="0.25">
      <c r="A43" s="17">
        <v>9</v>
      </c>
      <c r="B43" s="36" t="s">
        <v>43</v>
      </c>
      <c r="C43" s="19"/>
      <c r="D43" s="19"/>
      <c r="E43" s="19"/>
      <c r="F43" s="19"/>
      <c r="G43" s="19"/>
      <c r="H43" s="19"/>
      <c r="I43" s="19"/>
      <c r="J43" s="19"/>
      <c r="K43" s="19"/>
      <c r="M43" s="10"/>
      <c r="N43" s="10"/>
      <c r="O43" s="10"/>
      <c r="P43" s="10"/>
      <c r="Q43" s="10"/>
      <c r="R43" s="10"/>
      <c r="S43" s="10"/>
      <c r="T43" s="10"/>
      <c r="U43" s="10"/>
      <c r="V43" s="10"/>
      <c r="W43" s="10"/>
      <c r="X43" s="10"/>
      <c r="Y43" s="10"/>
    </row>
    <row r="44" spans="1:25" x14ac:dyDescent="0.25">
      <c r="A44" s="17"/>
      <c r="B44" s="18" t="s">
        <v>36</v>
      </c>
      <c r="C44" s="19">
        <v>1</v>
      </c>
      <c r="D44" s="20">
        <f>D40</f>
        <v>180</v>
      </c>
      <c r="E44" s="19"/>
      <c r="F44" s="19"/>
      <c r="G44" s="20">
        <f t="shared" ref="G44" si="2">PRODUCT(C44:F44)</f>
        <v>180</v>
      </c>
      <c r="H44" s="19"/>
      <c r="I44" s="19"/>
      <c r="J44" s="16"/>
      <c r="K44" s="19"/>
    </row>
    <row r="45" spans="1:25" s="10" customFormat="1" x14ac:dyDescent="0.25">
      <c r="A45" s="11"/>
      <c r="B45" s="37" t="s">
        <v>28</v>
      </c>
      <c r="C45" s="13"/>
      <c r="D45" s="1"/>
      <c r="E45" s="14"/>
      <c r="F45" s="14"/>
      <c r="G45" s="38">
        <f>SUM(G44:G44)</f>
        <v>180</v>
      </c>
      <c r="H45" s="15" t="s">
        <v>37</v>
      </c>
      <c r="I45" s="2">
        <f>4308.15/1000</f>
        <v>4.3081499999999995</v>
      </c>
      <c r="J45" s="38">
        <f>G45*I45</f>
        <v>775.46699999999987</v>
      </c>
      <c r="K45" s="14"/>
      <c r="M45" s="9"/>
      <c r="N45" s="9"/>
      <c r="O45" s="9"/>
      <c r="P45" s="9"/>
      <c r="Q45" s="9"/>
      <c r="R45" s="9"/>
      <c r="S45" s="9"/>
      <c r="T45" s="9"/>
      <c r="U45" s="9"/>
      <c r="V45" s="9"/>
      <c r="W45" s="9"/>
      <c r="X45" s="9"/>
      <c r="Y45" s="9"/>
    </row>
    <row r="46" spans="1:25" x14ac:dyDescent="0.25">
      <c r="A46" s="17"/>
      <c r="B46" s="36"/>
      <c r="C46" s="19"/>
      <c r="D46" s="19"/>
      <c r="E46" s="19"/>
      <c r="F46" s="19"/>
      <c r="G46" s="19"/>
      <c r="H46" s="19"/>
      <c r="I46" s="19"/>
      <c r="J46" s="19"/>
      <c r="K46" s="19"/>
      <c r="M46" s="10"/>
      <c r="N46" s="10"/>
      <c r="O46" s="10"/>
      <c r="P46" s="10"/>
      <c r="Q46" s="10"/>
      <c r="R46" s="10"/>
      <c r="S46" s="10"/>
      <c r="T46" s="10"/>
      <c r="U46" s="10"/>
      <c r="V46" s="10"/>
      <c r="W46" s="10"/>
      <c r="X46" s="10"/>
      <c r="Y46" s="10"/>
    </row>
    <row r="47" spans="1:25" ht="45" x14ac:dyDescent="0.25">
      <c r="A47" s="17">
        <v>10</v>
      </c>
      <c r="B47" s="39" t="s">
        <v>30</v>
      </c>
      <c r="C47" s="19"/>
      <c r="D47" s="21" t="s">
        <v>27</v>
      </c>
      <c r="E47" s="21" t="s">
        <v>31</v>
      </c>
      <c r="F47" s="21" t="s">
        <v>32</v>
      </c>
      <c r="G47" s="19"/>
      <c r="H47" s="19"/>
      <c r="I47" s="19"/>
      <c r="J47" s="16"/>
      <c r="K47" s="19"/>
    </row>
    <row r="48" spans="1:25" s="10" customFormat="1" x14ac:dyDescent="0.25">
      <c r="A48" s="17"/>
      <c r="B48" s="40" t="s">
        <v>44</v>
      </c>
      <c r="C48" s="22">
        <f>C44</f>
        <v>1</v>
      </c>
      <c r="D48" s="31">
        <f>D44</f>
        <v>180</v>
      </c>
      <c r="E48" s="22">
        <v>0.13500000000000001</v>
      </c>
      <c r="F48" s="22">
        <f>C48*D48*E48</f>
        <v>24.3</v>
      </c>
      <c r="G48" s="31">
        <f>F48</f>
        <v>24.3</v>
      </c>
      <c r="H48" s="22"/>
      <c r="I48" s="22"/>
      <c r="J48" s="15"/>
      <c r="K48" s="22"/>
      <c r="M48" s="9"/>
      <c r="N48" s="9"/>
      <c r="O48" s="9"/>
      <c r="P48" s="9"/>
      <c r="Q48" s="9"/>
      <c r="R48" s="9"/>
      <c r="S48" s="9"/>
      <c r="T48" s="9"/>
      <c r="U48" s="9"/>
      <c r="V48" s="9"/>
      <c r="W48" s="9"/>
      <c r="X48" s="9"/>
      <c r="Y48" s="9"/>
    </row>
    <row r="49" spans="1:25" ht="15" customHeight="1" x14ac:dyDescent="0.25">
      <c r="A49" s="11"/>
      <c r="B49" s="12" t="s">
        <v>16</v>
      </c>
      <c r="C49" s="13"/>
      <c r="D49" s="1"/>
      <c r="E49" s="14"/>
      <c r="F49" s="14"/>
      <c r="G49" s="2">
        <f>SUM(G48:G48)</f>
        <v>24.3</v>
      </c>
      <c r="H49" s="15" t="s">
        <v>33</v>
      </c>
      <c r="I49" s="2">
        <v>287</v>
      </c>
      <c r="J49" s="16">
        <f>G49*I49</f>
        <v>6974.1</v>
      </c>
      <c r="K49" s="14"/>
    </row>
    <row r="50" spans="1:25" x14ac:dyDescent="0.25">
      <c r="A50" s="17"/>
      <c r="B50" s="18" t="s">
        <v>35</v>
      </c>
      <c r="C50" s="19"/>
      <c r="D50" s="19"/>
      <c r="E50" s="19"/>
      <c r="F50" s="19"/>
      <c r="G50" s="19"/>
      <c r="H50" s="19"/>
      <c r="I50" s="19"/>
      <c r="J50" s="16">
        <f>0.13*J49</f>
        <v>906.63300000000004</v>
      </c>
      <c r="K50" s="19"/>
    </row>
    <row r="51" spans="1:25" x14ac:dyDescent="0.25">
      <c r="A51" s="17"/>
      <c r="B51" s="19"/>
      <c r="C51" s="19"/>
      <c r="D51" s="19"/>
      <c r="E51" s="19"/>
      <c r="F51" s="19"/>
      <c r="G51" s="19"/>
      <c r="H51" s="19"/>
      <c r="I51" s="19"/>
      <c r="J51" s="19"/>
      <c r="K51" s="19"/>
    </row>
    <row r="52" spans="1:25" ht="15" customHeight="1" x14ac:dyDescent="0.25">
      <c r="A52" s="11">
        <v>11</v>
      </c>
      <c r="B52" s="23" t="s">
        <v>17</v>
      </c>
      <c r="C52" s="13">
        <v>1</v>
      </c>
      <c r="D52" s="1"/>
      <c r="E52" s="14"/>
      <c r="F52" s="14"/>
      <c r="G52" s="15">
        <f t="shared" ref="G52" si="3">PRODUCT(C52:F52)</f>
        <v>1</v>
      </c>
      <c r="H52" s="15" t="s">
        <v>18</v>
      </c>
      <c r="I52" s="2">
        <v>500</v>
      </c>
      <c r="J52" s="15">
        <f>G52*I52</f>
        <v>500</v>
      </c>
      <c r="K52" s="14"/>
    </row>
    <row r="53" spans="1:25" x14ac:dyDescent="0.25">
      <c r="A53" s="11"/>
      <c r="B53" s="24"/>
      <c r="C53" s="13"/>
      <c r="D53" s="1"/>
      <c r="E53" s="14"/>
      <c r="F53" s="14"/>
      <c r="G53" s="2"/>
      <c r="H53" s="15"/>
      <c r="I53" s="2"/>
      <c r="J53" s="16"/>
      <c r="K53" s="14"/>
    </row>
    <row r="54" spans="1:25" x14ac:dyDescent="0.25">
      <c r="A54" s="25"/>
      <c r="B54" s="26" t="s">
        <v>20</v>
      </c>
      <c r="C54" s="27"/>
      <c r="D54" s="28"/>
      <c r="E54" s="28"/>
      <c r="F54" s="28"/>
      <c r="G54" s="16"/>
      <c r="H54" s="16"/>
      <c r="I54" s="16"/>
      <c r="J54" s="16">
        <f>SUM(J38:J52)</f>
        <v>23108.207000000002</v>
      </c>
      <c r="K54" s="29"/>
      <c r="M54" s="10"/>
      <c r="N54" s="10"/>
      <c r="O54" s="10"/>
      <c r="P54" s="10"/>
      <c r="Q54" s="10"/>
      <c r="R54" s="10"/>
      <c r="S54" s="10"/>
      <c r="T54" s="10"/>
      <c r="U54" s="10"/>
      <c r="V54" s="10"/>
      <c r="W54" s="10"/>
      <c r="X54" s="10"/>
      <c r="Y54" s="10"/>
    </row>
    <row r="56" spans="1:25" s="10" customFormat="1" x14ac:dyDescent="0.25">
      <c r="A56" s="30"/>
      <c r="B56" s="22" t="s">
        <v>19</v>
      </c>
      <c r="C56" s="41">
        <f>J54</f>
        <v>23108.207000000002</v>
      </c>
      <c r="D56" s="42"/>
      <c r="E56" s="31">
        <v>100</v>
      </c>
      <c r="F56" s="30"/>
      <c r="G56" s="32"/>
      <c r="H56" s="30"/>
      <c r="I56" s="33"/>
      <c r="J56" s="34"/>
      <c r="K56" s="35"/>
      <c r="M56" s="9"/>
      <c r="N56" s="9"/>
      <c r="O56" s="9"/>
      <c r="P56" s="9"/>
      <c r="Q56" s="9"/>
      <c r="R56" s="9"/>
      <c r="S56" s="9"/>
      <c r="T56" s="9"/>
      <c r="U56" s="9"/>
      <c r="V56" s="9"/>
      <c r="W56" s="9"/>
      <c r="X56" s="9"/>
      <c r="Y56" s="9"/>
    </row>
    <row r="57" spans="1:25" x14ac:dyDescent="0.25">
      <c r="B57" s="22" t="s">
        <v>21</v>
      </c>
      <c r="C57" s="43">
        <v>37500</v>
      </c>
      <c r="D57" s="44"/>
      <c r="E57" s="31"/>
    </row>
    <row r="58" spans="1:25" x14ac:dyDescent="0.25">
      <c r="B58" s="22" t="s">
        <v>22</v>
      </c>
      <c r="C58" s="43">
        <f>C57-C60-C61</f>
        <v>35625</v>
      </c>
      <c r="D58" s="44"/>
      <c r="E58" s="31">
        <f>C58/C56*100</f>
        <v>154.16600690828153</v>
      </c>
    </row>
    <row r="59" spans="1:25" x14ac:dyDescent="0.25">
      <c r="B59" s="22" t="s">
        <v>26</v>
      </c>
      <c r="C59" s="45">
        <f>C56-C58</f>
        <v>-12516.792999999998</v>
      </c>
      <c r="D59" s="45"/>
      <c r="E59" s="31">
        <f>100-E58</f>
        <v>-54.166006908281531</v>
      </c>
    </row>
    <row r="60" spans="1:25" x14ac:dyDescent="0.25">
      <c r="B60" s="22" t="s">
        <v>23</v>
      </c>
      <c r="C60" s="41">
        <f>C57*0.03</f>
        <v>1125</v>
      </c>
      <c r="D60" s="42"/>
      <c r="E60" s="31">
        <v>3</v>
      </c>
    </row>
    <row r="61" spans="1:25" x14ac:dyDescent="0.25">
      <c r="B61" s="22" t="s">
        <v>24</v>
      </c>
      <c r="C61" s="41">
        <f>C57*0.02</f>
        <v>750</v>
      </c>
      <c r="D61" s="42"/>
      <c r="E61" s="31">
        <v>2</v>
      </c>
    </row>
  </sheetData>
  <mergeCells count="15">
    <mergeCell ref="A7:F7"/>
    <mergeCell ref="H7:K7"/>
    <mergeCell ref="A1:K1"/>
    <mergeCell ref="A2:K2"/>
    <mergeCell ref="A3:K3"/>
    <mergeCell ref="A4:K4"/>
    <mergeCell ref="A5:K5"/>
    <mergeCell ref="A6:F6"/>
    <mergeCell ref="H6:K6"/>
    <mergeCell ref="C61:D61"/>
    <mergeCell ref="C56:D56"/>
    <mergeCell ref="C57:D57"/>
    <mergeCell ref="C58:D58"/>
    <mergeCell ref="C59:D59"/>
    <mergeCell ref="C60:D60"/>
  </mergeCells>
  <pageMargins left="0.7" right="0.7" top="0.75" bottom="0.75" header="0.3" footer="0.3"/>
  <pageSetup scale="8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estimate</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2026-03-29T08:19:26Z</dcterms:modified>
</cp:coreProperties>
</file>