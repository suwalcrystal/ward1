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CDCD1D6E-A9E9-48C4-B69C-581C0C925938}"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63">[3]Abstract!$B$35</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06">[3]Abstract!$B$265</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estimate!$A$1:$K$37</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0" i="12" l="1"/>
  <c r="G24" i="12"/>
  <c r="G25" i="12" s="1"/>
  <c r="J26" i="12" s="1"/>
  <c r="J25" i="12" l="1"/>
  <c r="G16" i="12" l="1"/>
  <c r="G15" i="12"/>
  <c r="C36" i="12" l="1"/>
  <c r="N14" i="12" l="1"/>
  <c r="M14" i="12"/>
  <c r="P14" i="12" l="1"/>
  <c r="G14" i="12"/>
  <c r="G17" i="12" s="1"/>
  <c r="G10" i="12"/>
  <c r="J18" i="12" l="1"/>
  <c r="J21" i="12"/>
  <c r="J20" i="12"/>
  <c r="J19" i="12"/>
  <c r="J17" i="12"/>
  <c r="N10" i="12" l="1"/>
  <c r="M10" i="12"/>
  <c r="P10" i="12" l="1"/>
  <c r="G11" i="12"/>
  <c r="J11" i="12" l="1"/>
  <c r="C37" i="12"/>
  <c r="C34" i="12" s="1"/>
  <c r="G28" i="12"/>
  <c r="J28" i="12" s="1"/>
  <c r="C32" i="12" l="1"/>
  <c r="C35" i="12" s="1"/>
  <c r="E34" i="12" l="1"/>
  <c r="E35" i="12" s="1"/>
</calcChain>
</file>

<file path=xl/sharedStrings.xml><?xml version="1.0" encoding="utf-8"?>
<sst xmlns="http://schemas.openxmlformats.org/spreadsheetml/2006/main" count="46" uniqueCount="42">
  <si>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</si>
  <si>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</si>
  <si>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</si>
  <si>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</si>
  <si>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</si>
  <si>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</si>
  <si>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</si>
  <si>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</si>
  <si>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</si>
  <si>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</si>
  <si>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</si>
  <si>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</si>
  <si>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</si>
  <si>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</si>
  <si>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</si>
  <si>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</si>
  <si>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</si>
  <si>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</si>
  <si>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</si>
  <si>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</si>
  <si>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</si>
  <si>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</si>
  <si>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</si>
  <si>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Budget allocated</t>
  </si>
  <si>
    <t>Municipal payment</t>
  </si>
  <si>
    <t xml:space="preserve">Contingencies </t>
  </si>
  <si>
    <t xml:space="preserve">Maintanince </t>
  </si>
  <si>
    <t>F.Y.: 2082/2083</t>
  </si>
  <si>
    <t>-13% VAT for stone</t>
  </si>
  <si>
    <t>User contribution</t>
  </si>
  <si>
    <t>Project:-सुकपानी स्याले सिंचाई कुलो मर्मत</t>
  </si>
  <si>
    <t>Earthwork Excavation in Cutting., Roadway Excavation in ordinary rock  by Manual Means ., Roadway Excavation  in ordinary rock as per Drawing and Technical specification, including all lift and lead  as per Drawing and instruction of the Engineer.</t>
  </si>
  <si>
    <t>-for base preparation</t>
  </si>
  <si>
    <t>Gabion Structure for Retaining Earth, Providing and laying Gabion structure for retaining earth with diaphragm including rolling, cutting, weaving, placing, laying sides and diaphragms with binding wire and filling boulders all complete as per drawing and technical specification Mesh wire- 10 Swg(0.0615 kg/m), Selvedge Wire 8 Swg ( 0.1057 kg/m), binding wire 12 Swg (0.0409 kg/m) Hexagonal mesh Type 100 mm X 120 mm,, Box size 1.0 X 1 X 1 m ( 6 sqm)</t>
  </si>
  <si>
    <t>-for gabion wall</t>
  </si>
  <si>
    <t>-13% VAT for mesh wire</t>
  </si>
  <si>
    <t>-13% VAT for selvedge wire</t>
  </si>
  <si>
    <t>-13% VAT for binding wire</t>
  </si>
  <si>
    <t>Laying and fixing of Geo-Textile all complete as per specification., Providing  and laying of a geotextile filter between pitching and embankment slopes as per Drawing and Technical Specifications.</t>
  </si>
  <si>
    <t>-at back of gabion wall</t>
  </si>
  <si>
    <t>m2</t>
  </si>
  <si>
    <t>Date:2082/09/03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</si>
</sst>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G:\2082_2083\rate%20analysis\For%20all%20Road-rate%20analysis%2082%2083%20shankharapur.xlsx" TargetMode="External"/><Relationship Id="rId1" Type="http://schemas.openxmlformats.org/officeDocument/2006/relationships/externalLinkPath" Target="/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5">
          <cell r="B35" t="str">
            <v>Earthwork Excavation in Cutting., Roadway Excavation in ordinary rock  by Manual Means ., Roadway Excavation  in ordinary rock as per Drawing and Technical specification, including all lift and lead  as per Drawing and instruction of the Engineer.</v>
          </cell>
        </row>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265">
          <cell r="B265" t="str">
            <v>Laying and fixing of Geo-Textile all complete as per specification., Providing  and laying of a geotextile filter between pitching and embankment slopes as per Drawing and Technical Specifications.</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7"/>
  <sheetViews>
    <sheetView tabSelected="1" topLeftCell="A13" zoomScale="90" zoomScaleNormal="90" zoomScaleSheetLayoutView="95" workbookViewId="0">
      <selection activeCell="J13" sqref="J13"/>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30</v>
      </c>
      <c r="B6" s="44"/>
      <c r="C6" s="44"/>
      <c r="D6" s="44"/>
      <c r="E6" s="44"/>
      <c r="F6" s="44"/>
      <c r="G6" s="10"/>
      <c r="H6" s="45" t="s">
        <v>27</v>
      </c>
      <c r="I6" s="45"/>
      <c r="J6" s="45"/>
      <c r="K6" s="45"/>
    </row>
    <row r="7" spans="1:16" ht="15.75" x14ac:dyDescent="0.25">
      <c r="A7" s="39" t="s">
        <v>5</v>
      </c>
      <c r="B7" s="39"/>
      <c r="C7" s="39"/>
      <c r="D7" s="39"/>
      <c r="E7" s="39"/>
      <c r="F7" s="39"/>
      <c r="G7" s="11"/>
      <c r="H7" s="40" t="s">
        <v>41</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41.75" x14ac:dyDescent="0.25">
      <c r="A9" s="16">
        <v>1</v>
      </c>
      <c r="B9" s="35" t="s">
        <v>31</v>
      </c>
      <c r="C9" s="17"/>
      <c r="D9" s="17"/>
      <c r="E9" s="17"/>
      <c r="F9" s="17"/>
      <c r="G9" s="17"/>
      <c r="H9" s="17"/>
      <c r="I9" s="17"/>
      <c r="J9" s="17"/>
      <c r="K9" s="17"/>
    </row>
    <row r="10" spans="1:16" x14ac:dyDescent="0.25">
      <c r="A10" s="16"/>
      <c r="B10" s="32" t="s">
        <v>32</v>
      </c>
      <c r="C10" s="17">
        <v>1</v>
      </c>
      <c r="D10" s="33">
        <v>6</v>
      </c>
      <c r="E10" s="33">
        <v>1</v>
      </c>
      <c r="F10" s="33">
        <v>1</v>
      </c>
      <c r="G10" s="33">
        <f>PRODUCT(C10:F10)</f>
        <v>6</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6</v>
      </c>
      <c r="H11" s="7" t="s">
        <v>18</v>
      </c>
      <c r="I11" s="6">
        <v>866.66</v>
      </c>
      <c r="J11" s="18">
        <f>G11*I11</f>
        <v>5199.96</v>
      </c>
      <c r="K11" s="5"/>
    </row>
    <row r="12" spans="1:16" x14ac:dyDescent="0.25">
      <c r="A12" s="16"/>
      <c r="B12" s="17"/>
      <c r="C12" s="17"/>
      <c r="D12" s="17"/>
      <c r="E12" s="17"/>
      <c r="F12" s="17"/>
      <c r="G12" s="17"/>
      <c r="H12" s="17"/>
      <c r="I12" s="17"/>
      <c r="J12" s="17"/>
      <c r="K12" s="17"/>
    </row>
    <row r="13" spans="1:16" ht="254.25" customHeight="1" x14ac:dyDescent="0.25">
      <c r="A13" s="16">
        <v>2</v>
      </c>
      <c r="B13" s="35" t="s">
        <v>33</v>
      </c>
      <c r="C13" s="17"/>
      <c r="D13" s="17"/>
      <c r="E13" s="17"/>
      <c r="F13" s="17"/>
      <c r="G13" s="17"/>
      <c r="H13" s="17"/>
      <c r="I13" s="17"/>
      <c r="J13" s="17"/>
      <c r="K13" s="17"/>
    </row>
    <row r="14" spans="1:16" x14ac:dyDescent="0.25">
      <c r="A14" s="16"/>
      <c r="B14" s="32" t="s">
        <v>34</v>
      </c>
      <c r="C14" s="17">
        <v>6</v>
      </c>
      <c r="D14" s="33">
        <v>2</v>
      </c>
      <c r="E14" s="33">
        <v>1</v>
      </c>
      <c r="F14" s="33">
        <v>1</v>
      </c>
      <c r="G14" s="33">
        <f>PRODUCT(C14:F14)</f>
        <v>12</v>
      </c>
      <c r="H14" s="17"/>
      <c r="I14" s="17"/>
      <c r="J14" s="17"/>
      <c r="K14" s="17"/>
      <c r="M14" s="33">
        <f>7</f>
        <v>7</v>
      </c>
      <c r="N14" s="33">
        <f>2</f>
        <v>2</v>
      </c>
      <c r="O14" s="33"/>
      <c r="P14" s="33">
        <f>PI()*M14*SQRT(M14^2+N14^2)</f>
        <v>160.09797821843054</v>
      </c>
    </row>
    <row r="15" spans="1:16" x14ac:dyDescent="0.25">
      <c r="A15" s="16"/>
      <c r="B15" s="32"/>
      <c r="C15" s="17">
        <v>6</v>
      </c>
      <c r="D15" s="33">
        <v>1.5</v>
      </c>
      <c r="E15" s="33">
        <v>1</v>
      </c>
      <c r="F15" s="33">
        <v>1</v>
      </c>
      <c r="G15" s="33">
        <f>PRODUCT(C15:F15)</f>
        <v>9</v>
      </c>
      <c r="H15" s="17"/>
      <c r="I15" s="17"/>
      <c r="J15" s="17"/>
      <c r="K15" s="17"/>
      <c r="M15" s="36"/>
      <c r="N15" s="36"/>
      <c r="O15" s="36"/>
      <c r="P15" s="36"/>
    </row>
    <row r="16" spans="1:16" x14ac:dyDescent="0.25">
      <c r="A16" s="16"/>
      <c r="B16" s="32"/>
      <c r="C16" s="17">
        <v>2</v>
      </c>
      <c r="D16" s="33">
        <v>1</v>
      </c>
      <c r="E16" s="33">
        <v>1</v>
      </c>
      <c r="F16" s="33">
        <v>1</v>
      </c>
      <c r="G16" s="33">
        <f>PRODUCT(C16:F16)</f>
        <v>2</v>
      </c>
      <c r="H16" s="17"/>
      <c r="I16" s="17"/>
      <c r="J16" s="17"/>
      <c r="K16" s="17"/>
      <c r="M16" s="36"/>
      <c r="N16" s="36"/>
      <c r="O16" s="36"/>
      <c r="P16" s="36"/>
    </row>
    <row r="17" spans="1:17" ht="15" customHeight="1" x14ac:dyDescent="0.25">
      <c r="A17" s="2"/>
      <c r="B17" s="34" t="s">
        <v>17</v>
      </c>
      <c r="C17" s="3"/>
      <c r="D17" s="4"/>
      <c r="E17" s="5"/>
      <c r="F17" s="5"/>
      <c r="G17" s="6">
        <f>SUM(G14:G16)</f>
        <v>23</v>
      </c>
      <c r="H17" s="7" t="s">
        <v>18</v>
      </c>
      <c r="I17" s="6">
        <v>6421.62</v>
      </c>
      <c r="J17" s="18">
        <f>G17*I17</f>
        <v>147697.26</v>
      </c>
      <c r="K17" s="5"/>
    </row>
    <row r="18" spans="1:17" x14ac:dyDescent="0.25">
      <c r="A18" s="16"/>
      <c r="B18" s="32" t="s">
        <v>28</v>
      </c>
      <c r="C18" s="17"/>
      <c r="D18" s="17"/>
      <c r="E18" s="17"/>
      <c r="F18" s="17"/>
      <c r="G18" s="17"/>
      <c r="H18" s="17"/>
      <c r="I18" s="17"/>
      <c r="J18" s="18">
        <f>0.13*G17*(16299.36/6+16299.36/6+16299.36/6+16299.36/6)/4</f>
        <v>8122.5144</v>
      </c>
      <c r="K18" s="17"/>
    </row>
    <row r="19" spans="1:17" x14ac:dyDescent="0.25">
      <c r="A19" s="16"/>
      <c r="B19" s="32" t="s">
        <v>35</v>
      </c>
      <c r="C19" s="17"/>
      <c r="D19" s="17"/>
      <c r="E19" s="17"/>
      <c r="F19" s="17"/>
      <c r="G19" s="17"/>
      <c r="H19" s="17"/>
      <c r="I19" s="17"/>
      <c r="J19" s="18">
        <f>0.13*G17*(9055.8/6+9346.05/6+10191/6+10185.84/6)/4</f>
        <v>4831.1784625000009</v>
      </c>
      <c r="K19" s="17"/>
    </row>
    <row r="20" spans="1:17" x14ac:dyDescent="0.25">
      <c r="A20" s="16"/>
      <c r="B20" s="32" t="s">
        <v>36</v>
      </c>
      <c r="C20" s="17"/>
      <c r="D20" s="17"/>
      <c r="E20" s="17"/>
      <c r="F20" s="17"/>
      <c r="G20" s="17"/>
      <c r="H20" s="17"/>
      <c r="I20" s="17"/>
      <c r="J20" s="18">
        <f>0.13*G17*(1008.78/6+1145.52/6+1393.2/6+1555.74/6)/4</f>
        <v>635.77864999999997</v>
      </c>
      <c r="K20" s="17"/>
    </row>
    <row r="21" spans="1:17" x14ac:dyDescent="0.25">
      <c r="A21" s="16"/>
      <c r="B21" s="32" t="s">
        <v>37</v>
      </c>
      <c r="C21" s="17"/>
      <c r="D21" s="17"/>
      <c r="E21" s="17"/>
      <c r="F21" s="17"/>
      <c r="G21" s="17"/>
      <c r="H21" s="17"/>
      <c r="I21" s="17"/>
      <c r="J21" s="18">
        <f>0.13*G17*(434.4/6+468/6+600/6+547.2/6)/4</f>
        <v>255.346</v>
      </c>
      <c r="K21" s="17"/>
    </row>
    <row r="22" spans="1:17" x14ac:dyDescent="0.25">
      <c r="A22" s="16"/>
      <c r="B22" s="32"/>
      <c r="C22" s="17"/>
      <c r="D22" s="17"/>
      <c r="E22" s="17"/>
      <c r="F22" s="17"/>
      <c r="G22" s="17"/>
      <c r="H22" s="17"/>
      <c r="I22" s="17"/>
      <c r="J22" s="18"/>
      <c r="K22" s="17"/>
    </row>
    <row r="23" spans="1:17" ht="123" customHeight="1" x14ac:dyDescent="0.25">
      <c r="A23" s="16">
        <v>3</v>
      </c>
      <c r="B23" s="35" t="s">
        <v>38</v>
      </c>
      <c r="C23" s="17"/>
      <c r="D23" s="17"/>
      <c r="E23" s="17"/>
      <c r="F23" s="17"/>
      <c r="G23" s="17"/>
      <c r="H23" s="17"/>
      <c r="I23" s="17"/>
      <c r="J23" s="17"/>
      <c r="K23" s="17"/>
    </row>
    <row r="24" spans="1:17" x14ac:dyDescent="0.25">
      <c r="A24" s="16"/>
      <c r="B24" s="32" t="s">
        <v>39</v>
      </c>
      <c r="C24" s="17">
        <v>1</v>
      </c>
      <c r="D24" s="17">
        <v>6</v>
      </c>
      <c r="E24" s="17"/>
      <c r="F24" s="17">
        <v>2</v>
      </c>
      <c r="G24" s="33">
        <f>PRODUCT(C24:F24)</f>
        <v>12</v>
      </c>
      <c r="H24" s="17"/>
      <c r="I24" s="17"/>
      <c r="J24" s="18"/>
      <c r="K24" s="17"/>
    </row>
    <row r="25" spans="1:17" ht="15" customHeight="1" x14ac:dyDescent="0.25">
      <c r="A25" s="2"/>
      <c r="B25" s="34" t="s">
        <v>17</v>
      </c>
      <c r="C25" s="3"/>
      <c r="D25" s="4"/>
      <c r="E25" s="5"/>
      <c r="F25" s="5"/>
      <c r="G25" s="6">
        <f>SUM(G22:G24)</f>
        <v>12</v>
      </c>
      <c r="H25" s="7" t="s">
        <v>40</v>
      </c>
      <c r="I25" s="6">
        <v>161.58000000000001</v>
      </c>
      <c r="J25" s="18">
        <f>G25*I25</f>
        <v>1938.96</v>
      </c>
      <c r="K25" s="5"/>
    </row>
    <row r="26" spans="1:17" x14ac:dyDescent="0.25">
      <c r="A26" s="16"/>
      <c r="B26" s="32" t="s">
        <v>28</v>
      </c>
      <c r="C26" s="17"/>
      <c r="D26" s="17"/>
      <c r="E26" s="17"/>
      <c r="F26" s="17"/>
      <c r="G26" s="17"/>
      <c r="H26" s="17"/>
      <c r="I26" s="17"/>
      <c r="J26" s="18">
        <f>0.13*G25*45360/300</f>
        <v>235.87200000000001</v>
      </c>
      <c r="K26" s="17"/>
    </row>
    <row r="27" spans="1:17" x14ac:dyDescent="0.25">
      <c r="A27" s="16"/>
      <c r="B27" s="17"/>
      <c r="C27" s="17"/>
      <c r="D27" s="17"/>
      <c r="E27" s="17"/>
      <c r="F27" s="17"/>
      <c r="G27" s="17"/>
      <c r="H27" s="17"/>
      <c r="I27" s="17"/>
      <c r="J27" s="17"/>
      <c r="K27" s="17"/>
    </row>
    <row r="28" spans="1:17" ht="15" customHeight="1" x14ac:dyDescent="0.25">
      <c r="A28" s="2">
        <v>4</v>
      </c>
      <c r="B28" s="1" t="s">
        <v>19</v>
      </c>
      <c r="C28" s="3">
        <v>1</v>
      </c>
      <c r="D28" s="4"/>
      <c r="E28" s="5"/>
      <c r="F28" s="5"/>
      <c r="G28" s="7">
        <f t="shared" ref="G28" si="0">PRODUCT(C28:F28)</f>
        <v>1</v>
      </c>
      <c r="H28" s="7" t="s">
        <v>20</v>
      </c>
      <c r="I28" s="6">
        <v>500</v>
      </c>
      <c r="J28" s="7">
        <f>G28*I28</f>
        <v>500</v>
      </c>
      <c r="K28" s="5"/>
    </row>
    <row r="29" spans="1:17" x14ac:dyDescent="0.25">
      <c r="A29" s="2"/>
      <c r="B29" s="8"/>
      <c r="C29" s="3"/>
      <c r="D29" s="4"/>
      <c r="E29" s="5"/>
      <c r="F29" s="5"/>
      <c r="G29" s="6"/>
      <c r="H29" s="7"/>
      <c r="I29" s="6"/>
      <c r="J29" s="18"/>
      <c r="K29" s="5"/>
    </row>
    <row r="30" spans="1:17" x14ac:dyDescent="0.25">
      <c r="A30" s="21"/>
      <c r="B30" s="22" t="s">
        <v>22</v>
      </c>
      <c r="C30" s="23"/>
      <c r="D30" s="24"/>
      <c r="E30" s="24"/>
      <c r="F30" s="24"/>
      <c r="G30" s="18"/>
      <c r="H30" s="18"/>
      <c r="I30" s="18"/>
      <c r="J30" s="18">
        <f>SUM(J9:J28)</f>
        <v>169416.86951250001</v>
      </c>
      <c r="K30" s="25"/>
    </row>
    <row r="31" spans="1:17" x14ac:dyDescent="0.25">
      <c r="M31" s="20"/>
      <c r="N31" s="20"/>
      <c r="O31" s="20"/>
      <c r="P31" s="20"/>
      <c r="Q31" s="20"/>
    </row>
    <row r="32" spans="1:17" s="20" customFormat="1" x14ac:dyDescent="0.25">
      <c r="A32" s="26"/>
      <c r="B32" s="27" t="s">
        <v>21</v>
      </c>
      <c r="C32" s="37">
        <f>J30</f>
        <v>169416.86951250001</v>
      </c>
      <c r="D32" s="38"/>
      <c r="E32" s="9">
        <v>100</v>
      </c>
      <c r="F32" s="26"/>
      <c r="G32" s="28"/>
      <c r="H32" s="26"/>
      <c r="I32" s="29"/>
      <c r="J32" s="30"/>
      <c r="K32" s="31"/>
      <c r="M32" s="19"/>
      <c r="N32" s="19"/>
      <c r="O32" s="19"/>
      <c r="P32" s="19"/>
      <c r="Q32" s="19"/>
    </row>
    <row r="33" spans="2:5" x14ac:dyDescent="0.25">
      <c r="B33" s="27" t="s">
        <v>23</v>
      </c>
      <c r="C33" s="41">
        <v>150000</v>
      </c>
      <c r="D33" s="42"/>
      <c r="E33" s="9"/>
    </row>
    <row r="34" spans="2:5" x14ac:dyDescent="0.25">
      <c r="B34" s="27" t="s">
        <v>24</v>
      </c>
      <c r="C34" s="41">
        <f>C33-C36-C37</f>
        <v>142500</v>
      </c>
      <c r="D34" s="42"/>
      <c r="E34" s="9">
        <f>C34/C32*100</f>
        <v>84.112048823736515</v>
      </c>
    </row>
    <row r="35" spans="2:5" x14ac:dyDescent="0.25">
      <c r="B35" s="27" t="s">
        <v>29</v>
      </c>
      <c r="C35" s="43">
        <f>C32-C34</f>
        <v>26916.869512500009</v>
      </c>
      <c r="D35" s="43"/>
      <c r="E35" s="9">
        <f>100-E34</f>
        <v>15.887951176263485</v>
      </c>
    </row>
    <row r="36" spans="2:5" x14ac:dyDescent="0.25">
      <c r="B36" s="27" t="s">
        <v>25</v>
      </c>
      <c r="C36" s="37">
        <f>C33*0.03</f>
        <v>4500</v>
      </c>
      <c r="D36" s="38"/>
      <c r="E36" s="9">
        <v>3</v>
      </c>
    </row>
    <row r="37" spans="2:5" x14ac:dyDescent="0.25">
      <c r="B37" s="27" t="s">
        <v>26</v>
      </c>
      <c r="C37" s="37">
        <f>C33*0.02</f>
        <v>3000</v>
      </c>
      <c r="D37" s="38"/>
      <c r="E37" s="9">
        <v>2</v>
      </c>
    </row>
  </sheetData>
  <mergeCells count="15">
    <mergeCell ref="A6:F6"/>
    <mergeCell ref="H6:K6"/>
    <mergeCell ref="A1:K1"/>
    <mergeCell ref="A2:K2"/>
    <mergeCell ref="A3:K3"/>
    <mergeCell ref="A4:K4"/>
    <mergeCell ref="A5:K5"/>
    <mergeCell ref="C36:D36"/>
    <mergeCell ref="C37:D37"/>
    <mergeCell ref="A7:F7"/>
    <mergeCell ref="H7:K7"/>
    <mergeCell ref="C32:D32"/>
    <mergeCell ref="C33:D33"/>
    <mergeCell ref="C34:D34"/>
    <mergeCell ref="C35:D3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12"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2025-12-18T06:28:39Z</dcterms:modified>
</cp:coreProperties>
</file>