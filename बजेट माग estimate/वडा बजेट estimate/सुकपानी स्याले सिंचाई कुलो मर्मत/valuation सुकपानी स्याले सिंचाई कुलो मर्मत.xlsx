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F82D93CC-F48D-4AE4-AB97-055C09285AEE}" xr6:coauthVersionLast="47" xr6:coauthVersionMax="47" xr10:uidLastSave="{00000000-0000-0000-0000-000000000000}"/>
  <bookViews>
    <workbookView xWindow="-120" yWindow="-120" windowWidth="20730" windowHeight="11040" activeTab="3" xr2:uid="{00000000-000D-0000-FFFF-FFFF00000000}"/>
  </bookViews>
  <sheets>
    <sheet name="estimate" sheetId="12" r:id="rId1"/>
    <sheet name="V" sheetId="13" r:id="rId2"/>
    <sheet name="WCR" sheetId="14" r:id="rId3"/>
    <sheet name="M" sheetId="15" r:id="rId4"/>
  </sheets>
  <externalReferences>
    <externalReference r:id="rId5"/>
    <externalReference r:id="rId6"/>
    <externalReference r:id="rId7"/>
    <externalReference r:id="rId8"/>
    <externalReference r:id="rId9"/>
    <externalReference r:id="rId10"/>
    <externalReference r:id="rId11"/>
  </externalReferences>
  <definedNames>
    <definedName name="description_103">[1]Abstract!$B$16</definedName>
    <definedName name="description_124" localSheetId="0">#REF!</definedName>
    <definedName name="description_124" localSheetId="3">#REF!</definedName>
    <definedName name="description_124" localSheetId="1">#REF!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63">[3]Abstract!$B$35</definedName>
    <definedName name="description_276">[3]Abstract!$B$40</definedName>
    <definedName name="description_3">[1]Abstract!$B$169</definedName>
    <definedName name="description_310" localSheetId="0">#REF!</definedName>
    <definedName name="description_310" localSheetId="3">#REF!</definedName>
    <definedName name="description_310" localSheetId="1">#REF!</definedName>
    <definedName name="description_310" localSheetId="2">[5]Abstract!$B$60</definedName>
    <definedName name="description_310">#REF!</definedName>
    <definedName name="description_312" localSheetId="0">#REF!</definedName>
    <definedName name="description_312" localSheetId="3">#REF!</definedName>
    <definedName name="description_312" localSheetId="1">#REF!</definedName>
    <definedName name="description_312" localSheetId="2">[6]Abstract!$B$61</definedName>
    <definedName name="description_312">#REF!</definedName>
    <definedName name="description_5">[1]Abstract!$B$171</definedName>
    <definedName name="description_6" localSheetId="0">#REF!</definedName>
    <definedName name="description_6" localSheetId="3">#REF!</definedName>
    <definedName name="description_6" localSheetId="1">#REF!</definedName>
    <definedName name="description_6" localSheetId="2">[5]Abstract!$B$172</definedName>
    <definedName name="description_6">#REF!</definedName>
    <definedName name="description_706">[3]Abstract!$B$265</definedName>
    <definedName name="description_759">[1]Abstract!$B$278</definedName>
    <definedName name="description_781" localSheetId="0">#REF!</definedName>
    <definedName name="description_781" localSheetId="3">#REF!</definedName>
    <definedName name="description_781" localSheetId="1">#REF!</definedName>
    <definedName name="description_781" localSheetId="2">[7]Abstract!$B$299</definedName>
    <definedName name="description_781">#REF!</definedName>
    <definedName name="description_783">[1]Abstract!$B$301</definedName>
    <definedName name="description_784">[3]Abstract!$B$300</definedName>
    <definedName name="_xlnm.Print_Area" localSheetId="0">estimate!$A$1:$K$37</definedName>
    <definedName name="_xlnm.Print_Area" localSheetId="3">M!$A$1:$K$36</definedName>
    <definedName name="_xlnm.Print_Area" localSheetId="1">V!$A$1:$K$36</definedName>
    <definedName name="_xlnm.Print_Area" localSheetId="2">WCR!$A$1:$K$26</definedName>
    <definedName name="_xlnm.Print_Titles" localSheetId="0">estimate!$1:$8</definedName>
    <definedName name="_xlnm.Print_Titles" localSheetId="3">M!$1:$8</definedName>
    <definedName name="_xlnm.Print_Titles" localSheetId="1">V!$1:$8</definedName>
    <definedName name="_xlnm.Print_Titles" localSheetId="2">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5" l="1"/>
  <c r="C35" i="15"/>
  <c r="C33" i="15" s="1"/>
  <c r="G27" i="15"/>
  <c r="J27" i="15" s="1"/>
  <c r="G23" i="15"/>
  <c r="G24" i="15" s="1"/>
  <c r="J20" i="15"/>
  <c r="J19" i="15"/>
  <c r="J18" i="15"/>
  <c r="G16" i="15"/>
  <c r="J17" i="15" s="1"/>
  <c r="G15" i="15"/>
  <c r="N14" i="15"/>
  <c r="P14" i="15" s="1"/>
  <c r="M14" i="15"/>
  <c r="G14" i="15"/>
  <c r="G11" i="15"/>
  <c r="J11" i="15" s="1"/>
  <c r="N10" i="15"/>
  <c r="P10" i="15" s="1"/>
  <c r="M10" i="15"/>
  <c r="G10" i="15"/>
  <c r="H24" i="14"/>
  <c r="G24" i="14"/>
  <c r="E24" i="14"/>
  <c r="D24" i="14"/>
  <c r="C24" i="14"/>
  <c r="B24" i="14"/>
  <c r="A24" i="14"/>
  <c r="I22" i="14"/>
  <c r="H21" i="14"/>
  <c r="G21" i="14"/>
  <c r="F22" i="14"/>
  <c r="E21" i="14"/>
  <c r="D21" i="14"/>
  <c r="C21" i="14"/>
  <c r="A21" i="14"/>
  <c r="B21" i="14"/>
  <c r="B22" i="14"/>
  <c r="B17" i="14"/>
  <c r="F17" i="14"/>
  <c r="I17" i="14"/>
  <c r="J17" i="14"/>
  <c r="B18" i="14"/>
  <c r="F18" i="14"/>
  <c r="I18" i="14"/>
  <c r="J18" i="14" s="1"/>
  <c r="B19" i="14"/>
  <c r="F19" i="14"/>
  <c r="I19" i="14"/>
  <c r="I16" i="14"/>
  <c r="H15" i="14"/>
  <c r="G15" i="14"/>
  <c r="F16" i="14"/>
  <c r="B16" i="14"/>
  <c r="E15" i="14"/>
  <c r="D15" i="14"/>
  <c r="C15" i="14"/>
  <c r="B15" i="14"/>
  <c r="A15" i="14"/>
  <c r="H13" i="14"/>
  <c r="G13" i="14"/>
  <c r="E13" i="14"/>
  <c r="D13" i="14"/>
  <c r="C13" i="14"/>
  <c r="B13" i="14"/>
  <c r="A13" i="14"/>
  <c r="A8" i="14"/>
  <c r="A9" i="14"/>
  <c r="J25" i="15" l="1"/>
  <c r="J24" i="15"/>
  <c r="J29" i="15" s="1"/>
  <c r="C31" i="15" s="1"/>
  <c r="J16" i="15"/>
  <c r="I21" i="14"/>
  <c r="J19" i="14"/>
  <c r="F21" i="14"/>
  <c r="J16" i="14"/>
  <c r="I15" i="14"/>
  <c r="F24" i="14"/>
  <c r="F15" i="14"/>
  <c r="J22" i="14"/>
  <c r="F13" i="14"/>
  <c r="I24" i="14"/>
  <c r="I13" i="14"/>
  <c r="C34" i="15" l="1"/>
  <c r="E33" i="15"/>
  <c r="E34" i="15" s="1"/>
  <c r="J21" i="14"/>
  <c r="I26" i="14"/>
  <c r="J6" i="14" s="1"/>
  <c r="J13" i="14"/>
  <c r="J15" i="14"/>
  <c r="J24" i="14"/>
  <c r="F26" i="14"/>
  <c r="C6" i="14" s="1"/>
  <c r="J26" i="14" l="1"/>
  <c r="C36" i="13"/>
  <c r="C35" i="13"/>
  <c r="C33" i="13" s="1"/>
  <c r="G27" i="13"/>
  <c r="J27" i="13" s="1"/>
  <c r="G23" i="13"/>
  <c r="G24" i="13" s="1"/>
  <c r="G15" i="13"/>
  <c r="N14" i="13"/>
  <c r="M14" i="13"/>
  <c r="P14" i="13" s="1"/>
  <c r="G14" i="13"/>
  <c r="N10" i="13"/>
  <c r="M10" i="13"/>
  <c r="P10" i="13" s="1"/>
  <c r="G10" i="13"/>
  <c r="G11" i="13" s="1"/>
  <c r="J11" i="13" s="1"/>
  <c r="G24" i="12"/>
  <c r="G25" i="12" s="1"/>
  <c r="J26" i="12" s="1"/>
  <c r="G16" i="13" l="1"/>
  <c r="J19" i="13" s="1"/>
  <c r="J24" i="13"/>
  <c r="J25" i="13"/>
  <c r="J25" i="12"/>
  <c r="J17" i="13" l="1"/>
  <c r="J20" i="13"/>
  <c r="J16" i="13"/>
  <c r="J18" i="13"/>
  <c r="J29" i="13" s="1"/>
  <c r="C31" i="13" s="1"/>
  <c r="E33" i="13" s="1"/>
  <c r="E34" i="13" s="1"/>
  <c r="G16" i="12"/>
  <c r="G15" i="12"/>
  <c r="C34" i="13" l="1"/>
  <c r="C36" i="12"/>
  <c r="N14" i="12" l="1"/>
  <c r="M14" i="12"/>
  <c r="P14" i="12" l="1"/>
  <c r="G14" i="12"/>
  <c r="G17" i="12" s="1"/>
  <c r="G10" i="12"/>
  <c r="J18" i="12" l="1"/>
  <c r="J21" i="12"/>
  <c r="J20" i="12"/>
  <c r="J19" i="12"/>
  <c r="J17" i="12"/>
  <c r="N10" i="12" l="1"/>
  <c r="M10" i="12"/>
  <c r="P10" i="12" l="1"/>
  <c r="G11" i="12"/>
  <c r="J11" i="12" l="1"/>
  <c r="C37" i="12"/>
  <c r="C34" i="12" s="1"/>
  <c r="G28" i="12"/>
  <c r="J28" i="12" s="1"/>
  <c r="J30" i="12" l="1"/>
  <c r="C32" i="12"/>
  <c r="C35" i="12" s="1"/>
  <c r="E34" i="12" l="1"/>
  <c r="E35" i="12" s="1"/>
</calcChain>
</file>

<file path=xl/sharedStrings.xml><?xml version="1.0" encoding="utf-8"?>
<sst xmlns="http://schemas.openxmlformats.org/spreadsheetml/2006/main" count="163" uniqueCount="60">
  <si>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</si>
  <si>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</si>
  <si>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</si>
  <si>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</si>
  <si>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</si>
  <si>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</si>
  <si>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</si>
  <si>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</si>
  <si>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</si>
  <si>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</si>
  <si>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</si>
  <si>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</si>
  <si>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</si>
  <si>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</si>
  <si>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</si>
  <si>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</si>
  <si>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</si>
  <si>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</si>
  <si>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</si>
  <si>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</si>
  <si>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</si>
  <si>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</si>
  <si>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</si>
  <si>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</si>
  <si>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</si>
  <si>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</si>
  <si>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</si>
  <si>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-13% VAT for stone</t>
  </si>
  <si>
    <t>User contribution</t>
  </si>
  <si>
    <t>Project:-सुकपानी स्याले सिंचाई कुलो मर्मत</t>
  </si>
  <si>
    <t>Earthwork Excavation in Cutting., Roadway Excavation in ordinary rock  by Manual Means ., Roadway Excavation  in ordinary rock as per Drawing and Technical specification, including all lift and lead  as per Drawing and instruction of the Engineer.</t>
  </si>
  <si>
    <t>-for base preparation</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</si>
  <si>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t>
  </si>
  <si>
    <t>-for gabion wall</t>
  </si>
  <si>
    <t>-13% VAT for mesh wire</t>
  </si>
  <si>
    <t>-13% VAT for selvedge wire</t>
  </si>
  <si>
    <t>-13% VAT for binding wire</t>
  </si>
  <si>
    <t>Laying and fixing of Geo-Textile all complete as per specification., Providing  and laying of a geotextile filter between pitching and embankment slopes as per Drawing and Technical Specifications.</t>
  </si>
  <si>
    <t>-at back of gabion wall</t>
  </si>
  <si>
    <t>m2</t>
  </si>
  <si>
    <t>Date:2082/09/03</t>
  </si>
  <si>
    <t>Location:- Shankharapur Municipality 1</t>
  </si>
  <si>
    <t>Detail Valuated Sheet</t>
  </si>
  <si>
    <t>Date:2082/10/13</t>
  </si>
  <si>
    <t>Total Valuated</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</si>
  <si>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</si>
  <si>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</si>
  <si>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</si>
  <si>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</si>
  <si>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</si>
  <si>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</si>
  <si>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</si>
  <si>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</si>
  <si>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</si>
  <si>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</si>
  <si>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</si>
  <si>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</si>
  <si>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</si>
  <si>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t xml:space="preserve">Date:2082/10/13       </t>
  </si>
  <si>
    <t>Detail Quantity Measurement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</si>
</sst>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1"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83">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3" fillId="0" borderId="0" xfId="0" applyFont="1" applyAlignment="1">
      <alignment horizontal="center" vertical="center"/>
    </xf>
    <xf numFmtId="0" fontId="0" fillId="0" borderId="0" xfId="0" applyAlignment="1">
      <alignment vertical="center"/>
    </xf>
    <xf numFmtId="0" fontId="16" fillId="0" borderId="0" xfId="0" applyFont="1" applyAlignment="1">
      <alignment horizontal="center"/>
    </xf>
    <xf numFmtId="0" fontId="17" fillId="0" borderId="0" xfId="0" applyFont="1"/>
    <xf numFmtId="43" fontId="17" fillId="0" borderId="0" xfId="0" applyNumberFormat="1"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0" fillId="0" borderId="0" xfId="0" applyAlignment="1">
      <alignment horizontal="right" vertical="center"/>
    </xf>
    <xf numFmtId="0" fontId="19" fillId="0" borderId="0" xfId="0" applyFont="1" applyAlignment="1">
      <alignment horizontal="left"/>
    </xf>
    <xf numFmtId="0" fontId="0" fillId="0" borderId="0" xfId="0" applyAlignment="1">
      <alignment horizontal="right"/>
    </xf>
    <xf numFmtId="0" fontId="0" fillId="0" borderId="0" xfId="0" applyAlignment="1">
      <alignment horizontal="left"/>
    </xf>
    <xf numFmtId="0" fontId="0" fillId="3" borderId="2" xfId="0" applyFill="1" applyBorder="1" applyAlignment="1">
      <alignment horizontal="center" vertical="center"/>
    </xf>
    <xf numFmtId="0" fontId="0" fillId="3" borderId="2" xfId="0" applyFill="1" applyBorder="1" applyAlignment="1">
      <alignment horizontal="center"/>
    </xf>
    <xf numFmtId="0" fontId="0" fillId="3" borderId="2" xfId="0" applyFill="1" applyBorder="1" applyAlignment="1">
      <alignment horizontal="center" vertical="center" wrapText="1"/>
    </xf>
    <xf numFmtId="0" fontId="0" fillId="3" borderId="2" xfId="0" applyFill="1" applyBorder="1"/>
    <xf numFmtId="1" fontId="14" fillId="0" borderId="2" xfId="0" applyNumberFormat="1" applyFont="1" applyBorder="1" applyAlignment="1">
      <alignment vertical="center"/>
    </xf>
    <xf numFmtId="1" fontId="19" fillId="0" borderId="2" xfId="0" applyNumberFormat="1" applyFont="1" applyBorder="1" applyAlignment="1">
      <alignment horizontal="left" vertical="center" wrapText="1"/>
    </xf>
    <xf numFmtId="2" fontId="0" fillId="0" borderId="2" xfId="0" applyNumberFormat="1" applyBorder="1" applyAlignment="1">
      <alignment vertical="center"/>
    </xf>
    <xf numFmtId="43" fontId="13" fillId="0" borderId="2" xfId="1" applyFont="1" applyBorder="1" applyAlignment="1">
      <alignment vertical="center"/>
    </xf>
    <xf numFmtId="0" fontId="0" fillId="0" borderId="2" xfId="0" applyBorder="1" applyAlignment="1">
      <alignment vertical="center" wrapText="1"/>
    </xf>
    <xf numFmtId="1" fontId="19" fillId="0" borderId="2" xfId="0" applyNumberFormat="1" applyFont="1" applyBorder="1" applyAlignment="1">
      <alignment horizontal="right" vertical="center" wrapText="1"/>
    </xf>
    <xf numFmtId="0" fontId="14" fillId="0" borderId="2" xfId="0" applyFont="1" applyBorder="1" applyAlignment="1">
      <alignment vertical="center"/>
    </xf>
    <xf numFmtId="0" fontId="20" fillId="0" borderId="2" xfId="0" applyFont="1" applyBorder="1" applyAlignment="1">
      <alignment vertical="center"/>
    </xf>
    <xf numFmtId="43" fontId="0" fillId="0" borderId="0" xfId="0" applyNumberFormat="1" applyAlignment="1">
      <alignment vertical="center"/>
    </xf>
    <xf numFmtId="1" fontId="20" fillId="0" borderId="2" xfId="0" applyNumberFormat="1" applyFont="1" applyBorder="1" applyAlignment="1">
      <alignment vertical="center" wrapText="1"/>
    </xf>
    <xf numFmtId="0" fontId="0" fillId="0" borderId="2" xfId="0" applyBorder="1"/>
    <xf numFmtId="0" fontId="13" fillId="0" borderId="2" xfId="0" applyFont="1" applyBorder="1" applyAlignment="1">
      <alignment horizontal="right"/>
    </xf>
    <xf numFmtId="2" fontId="13" fillId="0" borderId="2" xfId="0" applyNumberFormat="1" applyFont="1" applyBorder="1"/>
    <xf numFmtId="43" fontId="13" fillId="0" borderId="2" xfId="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2082_2083\&#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 Id="rId1" Type="http://schemas.openxmlformats.org/officeDocument/2006/relationships/externalLinkPath" Target="/2082_2083/&#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5">
          <cell r="B35" t="str">
            <v>Earthwork Excavation in Cutting., Roadway Excavation in ordinary rock  by Manual Means ., Roadway Excavation  in ordinary rock as per Drawing and Technical specification, including all lift and lead  as per Drawing and instruction of the Engineer.</v>
          </cell>
        </row>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265">
          <cell r="B265" t="str">
            <v>Laying and fixing of Geo-Textile all complete as per specification., Providing  and laying of a geotextile filter between pitching and embankment slopes as per Drawing and Technical Specifications.</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topLeftCell="A15" zoomScale="90" zoomScaleNormal="90" zoomScaleSheetLayoutView="95" workbookViewId="0">
      <selection activeCell="G9" sqref="G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6" t="s">
        <v>0</v>
      </c>
      <c r="B1" s="46"/>
      <c r="C1" s="46"/>
      <c r="D1" s="46"/>
      <c r="E1" s="46"/>
      <c r="F1" s="46"/>
      <c r="G1" s="46"/>
      <c r="H1" s="46"/>
      <c r="I1" s="46"/>
      <c r="J1" s="46"/>
      <c r="K1" s="46"/>
    </row>
    <row r="2" spans="1:16" ht="22.5" x14ac:dyDescent="0.25">
      <c r="A2" s="47" t="s">
        <v>1</v>
      </c>
      <c r="B2" s="47"/>
      <c r="C2" s="47"/>
      <c r="D2" s="47"/>
      <c r="E2" s="47"/>
      <c r="F2" s="47"/>
      <c r="G2" s="47"/>
      <c r="H2" s="47"/>
      <c r="I2" s="47"/>
      <c r="J2" s="47"/>
      <c r="K2" s="47"/>
    </row>
    <row r="3" spans="1:16" x14ac:dyDescent="0.25">
      <c r="A3" s="48" t="s">
        <v>2</v>
      </c>
      <c r="B3" s="48"/>
      <c r="C3" s="48"/>
      <c r="D3" s="48"/>
      <c r="E3" s="48"/>
      <c r="F3" s="48"/>
      <c r="G3" s="48"/>
      <c r="H3" s="48"/>
      <c r="I3" s="48"/>
      <c r="J3" s="48"/>
      <c r="K3" s="48"/>
    </row>
    <row r="4" spans="1:16" x14ac:dyDescent="0.25">
      <c r="A4" s="48" t="s">
        <v>3</v>
      </c>
      <c r="B4" s="48"/>
      <c r="C4" s="48"/>
      <c r="D4" s="48"/>
      <c r="E4" s="48"/>
      <c r="F4" s="48"/>
      <c r="G4" s="48"/>
      <c r="H4" s="48"/>
      <c r="I4" s="48"/>
      <c r="J4" s="48"/>
      <c r="K4" s="48"/>
    </row>
    <row r="5" spans="1:16" ht="18.75" x14ac:dyDescent="0.3">
      <c r="A5" s="49" t="s">
        <v>4</v>
      </c>
      <c r="B5" s="49"/>
      <c r="C5" s="49"/>
      <c r="D5" s="49"/>
      <c r="E5" s="49"/>
      <c r="F5" s="49"/>
      <c r="G5" s="49"/>
      <c r="H5" s="49"/>
      <c r="I5" s="49"/>
      <c r="J5" s="49"/>
      <c r="K5" s="49"/>
    </row>
    <row r="6" spans="1:16" ht="15.75" x14ac:dyDescent="0.25">
      <c r="A6" s="44" t="s">
        <v>29</v>
      </c>
      <c r="B6" s="44"/>
      <c r="C6" s="44"/>
      <c r="D6" s="44"/>
      <c r="E6" s="44"/>
      <c r="F6" s="44"/>
      <c r="G6" s="10"/>
      <c r="H6" s="45" t="s">
        <v>26</v>
      </c>
      <c r="I6" s="45"/>
      <c r="J6" s="45"/>
      <c r="K6" s="45"/>
    </row>
    <row r="7" spans="1:16" ht="15.75" x14ac:dyDescent="0.25">
      <c r="A7" s="39" t="s">
        <v>41</v>
      </c>
      <c r="B7" s="39"/>
      <c r="C7" s="39"/>
      <c r="D7" s="39"/>
      <c r="E7" s="39"/>
      <c r="F7" s="39"/>
      <c r="G7" s="11"/>
      <c r="H7" s="40" t="s">
        <v>40</v>
      </c>
      <c r="I7" s="40"/>
      <c r="J7" s="40"/>
      <c r="K7" s="40"/>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41.75" x14ac:dyDescent="0.25">
      <c r="A9" s="16">
        <v>1</v>
      </c>
      <c r="B9" s="35" t="s">
        <v>30</v>
      </c>
      <c r="C9" s="17"/>
      <c r="D9" s="17"/>
      <c r="E9" s="17"/>
      <c r="F9" s="17"/>
      <c r="G9" s="17"/>
      <c r="H9" s="17"/>
      <c r="I9" s="17"/>
      <c r="J9" s="17"/>
      <c r="K9" s="17"/>
    </row>
    <row r="10" spans="1:16" x14ac:dyDescent="0.25">
      <c r="A10" s="16"/>
      <c r="B10" s="32" t="s">
        <v>31</v>
      </c>
      <c r="C10" s="17">
        <v>1</v>
      </c>
      <c r="D10" s="33">
        <v>6</v>
      </c>
      <c r="E10" s="33">
        <v>1</v>
      </c>
      <c r="F10" s="33">
        <v>1</v>
      </c>
      <c r="G10" s="33">
        <f>PRODUCT(C10:F10)</f>
        <v>6</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6</v>
      </c>
      <c r="H11" s="7" t="s">
        <v>17</v>
      </c>
      <c r="I11" s="6">
        <v>866.66</v>
      </c>
      <c r="J11" s="18">
        <f>G11*I11</f>
        <v>5199.96</v>
      </c>
      <c r="K11" s="5"/>
    </row>
    <row r="12" spans="1:16" x14ac:dyDescent="0.25">
      <c r="A12" s="16"/>
      <c r="B12" s="17"/>
      <c r="C12" s="17"/>
      <c r="D12" s="17"/>
      <c r="E12" s="17"/>
      <c r="F12" s="17"/>
      <c r="G12" s="17"/>
      <c r="H12" s="17"/>
      <c r="I12" s="17"/>
      <c r="J12" s="17"/>
      <c r="K12" s="17"/>
    </row>
    <row r="13" spans="1:16" ht="254.25" customHeight="1" x14ac:dyDescent="0.25">
      <c r="A13" s="16">
        <v>2</v>
      </c>
      <c r="B13" s="35" t="s">
        <v>32</v>
      </c>
      <c r="C13" s="17"/>
      <c r="D13" s="17"/>
      <c r="E13" s="17"/>
      <c r="F13" s="17"/>
      <c r="G13" s="17"/>
      <c r="H13" s="17"/>
      <c r="I13" s="17"/>
      <c r="J13" s="17"/>
      <c r="K13" s="17"/>
    </row>
    <row r="14" spans="1:16" x14ac:dyDescent="0.25">
      <c r="A14" s="16"/>
      <c r="B14" s="32" t="s">
        <v>33</v>
      </c>
      <c r="C14" s="17">
        <v>6</v>
      </c>
      <c r="D14" s="33">
        <v>2</v>
      </c>
      <c r="E14" s="33">
        <v>1</v>
      </c>
      <c r="F14" s="33">
        <v>1</v>
      </c>
      <c r="G14" s="33">
        <f>PRODUCT(C14:F14)</f>
        <v>12</v>
      </c>
      <c r="H14" s="17"/>
      <c r="I14" s="17"/>
      <c r="J14" s="17"/>
      <c r="K14" s="17"/>
      <c r="M14" s="33">
        <f>7</f>
        <v>7</v>
      </c>
      <c r="N14" s="33">
        <f>2</f>
        <v>2</v>
      </c>
      <c r="O14" s="33"/>
      <c r="P14" s="33">
        <f>PI()*M14*SQRT(M14^2+N14^2)</f>
        <v>160.09797821843054</v>
      </c>
    </row>
    <row r="15" spans="1:16" x14ac:dyDescent="0.25">
      <c r="A15" s="16"/>
      <c r="B15" s="32"/>
      <c r="C15" s="17">
        <v>6</v>
      </c>
      <c r="D15" s="33">
        <v>1.5</v>
      </c>
      <c r="E15" s="33">
        <v>1</v>
      </c>
      <c r="F15" s="33">
        <v>1</v>
      </c>
      <c r="G15" s="33">
        <f>PRODUCT(C15:F15)</f>
        <v>9</v>
      </c>
      <c r="H15" s="17"/>
      <c r="I15" s="17"/>
      <c r="J15" s="17"/>
      <c r="K15" s="17"/>
      <c r="M15" s="36"/>
      <c r="N15" s="36"/>
      <c r="O15" s="36"/>
      <c r="P15" s="36"/>
    </row>
    <row r="16" spans="1:16" x14ac:dyDescent="0.25">
      <c r="A16" s="16"/>
      <c r="B16" s="32"/>
      <c r="C16" s="17">
        <v>2</v>
      </c>
      <c r="D16" s="33">
        <v>1</v>
      </c>
      <c r="E16" s="33">
        <v>1</v>
      </c>
      <c r="F16" s="33">
        <v>1</v>
      </c>
      <c r="G16" s="33">
        <f>PRODUCT(C16:F16)</f>
        <v>2</v>
      </c>
      <c r="H16" s="17"/>
      <c r="I16" s="17"/>
      <c r="J16" s="17"/>
      <c r="K16" s="17"/>
      <c r="M16" s="36"/>
      <c r="N16" s="36"/>
      <c r="O16" s="36"/>
      <c r="P16" s="36"/>
    </row>
    <row r="17" spans="1:17" ht="15" customHeight="1" x14ac:dyDescent="0.25">
      <c r="A17" s="2"/>
      <c r="B17" s="34" t="s">
        <v>16</v>
      </c>
      <c r="C17" s="3"/>
      <c r="D17" s="4"/>
      <c r="E17" s="5"/>
      <c r="F17" s="5"/>
      <c r="G17" s="6">
        <f>SUM(G14:G16)</f>
        <v>23</v>
      </c>
      <c r="H17" s="7" t="s">
        <v>17</v>
      </c>
      <c r="I17" s="6">
        <v>6421.62</v>
      </c>
      <c r="J17" s="18">
        <f>G17*I17</f>
        <v>147697.26</v>
      </c>
      <c r="K17" s="5"/>
    </row>
    <row r="18" spans="1:17" x14ac:dyDescent="0.25">
      <c r="A18" s="16"/>
      <c r="B18" s="32" t="s">
        <v>27</v>
      </c>
      <c r="C18" s="17"/>
      <c r="D18" s="17"/>
      <c r="E18" s="17"/>
      <c r="F18" s="17"/>
      <c r="G18" s="17"/>
      <c r="H18" s="17"/>
      <c r="I18" s="17"/>
      <c r="J18" s="18">
        <f>0.13*G17*(16299.36/6+16299.36/6+16299.36/6+16299.36/6)/4</f>
        <v>8122.5144</v>
      </c>
      <c r="K18" s="17"/>
    </row>
    <row r="19" spans="1:17" x14ac:dyDescent="0.25">
      <c r="A19" s="16"/>
      <c r="B19" s="32" t="s">
        <v>34</v>
      </c>
      <c r="C19" s="17"/>
      <c r="D19" s="17"/>
      <c r="E19" s="17"/>
      <c r="F19" s="17"/>
      <c r="G19" s="17"/>
      <c r="H19" s="17"/>
      <c r="I19" s="17"/>
      <c r="J19" s="18">
        <f>0.13*G17*(9055.8/6+9346.05/6+10191/6+10185.84/6)/4</f>
        <v>4831.1784625000009</v>
      </c>
      <c r="K19" s="17"/>
    </row>
    <row r="20" spans="1:17" x14ac:dyDescent="0.25">
      <c r="A20" s="16"/>
      <c r="B20" s="32" t="s">
        <v>35</v>
      </c>
      <c r="C20" s="17"/>
      <c r="D20" s="17"/>
      <c r="E20" s="17"/>
      <c r="F20" s="17"/>
      <c r="G20" s="17"/>
      <c r="H20" s="17"/>
      <c r="I20" s="17"/>
      <c r="J20" s="18">
        <f>0.13*G17*(1008.78/6+1145.52/6+1393.2/6+1555.74/6)/4</f>
        <v>635.77864999999997</v>
      </c>
      <c r="K20" s="17"/>
    </row>
    <row r="21" spans="1:17" x14ac:dyDescent="0.25">
      <c r="A21" s="16"/>
      <c r="B21" s="32" t="s">
        <v>36</v>
      </c>
      <c r="C21" s="17"/>
      <c r="D21" s="17"/>
      <c r="E21" s="17"/>
      <c r="F21" s="17"/>
      <c r="G21" s="17"/>
      <c r="H21" s="17"/>
      <c r="I21" s="17"/>
      <c r="J21" s="18">
        <f>0.13*G17*(434.4/6+468/6+600/6+547.2/6)/4</f>
        <v>255.346</v>
      </c>
      <c r="K21" s="17"/>
    </row>
    <row r="22" spans="1:17" x14ac:dyDescent="0.25">
      <c r="A22" s="16"/>
      <c r="B22" s="32"/>
      <c r="C22" s="17"/>
      <c r="D22" s="17"/>
      <c r="E22" s="17"/>
      <c r="F22" s="17"/>
      <c r="G22" s="17"/>
      <c r="H22" s="17"/>
      <c r="I22" s="17"/>
      <c r="J22" s="18"/>
      <c r="K22" s="17"/>
    </row>
    <row r="23" spans="1:17" ht="123" customHeight="1" x14ac:dyDescent="0.25">
      <c r="A23" s="16">
        <v>3</v>
      </c>
      <c r="B23" s="35" t="s">
        <v>37</v>
      </c>
      <c r="C23" s="17"/>
      <c r="D23" s="17"/>
      <c r="E23" s="17"/>
      <c r="F23" s="17"/>
      <c r="G23" s="17"/>
      <c r="H23" s="17"/>
      <c r="I23" s="17"/>
      <c r="J23" s="17"/>
      <c r="K23" s="17"/>
    </row>
    <row r="24" spans="1:17" x14ac:dyDescent="0.25">
      <c r="A24" s="16"/>
      <c r="B24" s="32" t="s">
        <v>38</v>
      </c>
      <c r="C24" s="17">
        <v>1</v>
      </c>
      <c r="D24" s="17">
        <v>6</v>
      </c>
      <c r="E24" s="17"/>
      <c r="F24" s="17">
        <v>2</v>
      </c>
      <c r="G24" s="33">
        <f>PRODUCT(C24:F24)</f>
        <v>12</v>
      </c>
      <c r="H24" s="17"/>
      <c r="I24" s="17"/>
      <c r="J24" s="18"/>
      <c r="K24" s="17"/>
    </row>
    <row r="25" spans="1:17" ht="15" customHeight="1" x14ac:dyDescent="0.25">
      <c r="A25" s="2"/>
      <c r="B25" s="34" t="s">
        <v>16</v>
      </c>
      <c r="C25" s="3"/>
      <c r="D25" s="4"/>
      <c r="E25" s="5"/>
      <c r="F25" s="5"/>
      <c r="G25" s="6">
        <f>SUM(G22:G24)</f>
        <v>12</v>
      </c>
      <c r="H25" s="7" t="s">
        <v>39</v>
      </c>
      <c r="I25" s="6">
        <v>161.58000000000001</v>
      </c>
      <c r="J25" s="18">
        <f>G25*I25</f>
        <v>1938.96</v>
      </c>
      <c r="K25" s="5"/>
    </row>
    <row r="26" spans="1:17" x14ac:dyDescent="0.25">
      <c r="A26" s="16"/>
      <c r="B26" s="32" t="s">
        <v>27</v>
      </c>
      <c r="C26" s="17"/>
      <c r="D26" s="17"/>
      <c r="E26" s="17"/>
      <c r="F26" s="17"/>
      <c r="G26" s="17"/>
      <c r="H26" s="17"/>
      <c r="I26" s="17"/>
      <c r="J26" s="18">
        <f>0.13*G25*45360/300</f>
        <v>235.87200000000001</v>
      </c>
      <c r="K26" s="17"/>
    </row>
    <row r="27" spans="1:17" x14ac:dyDescent="0.25">
      <c r="A27" s="16"/>
      <c r="B27" s="17"/>
      <c r="C27" s="17"/>
      <c r="D27" s="17"/>
      <c r="E27" s="17"/>
      <c r="F27" s="17"/>
      <c r="G27" s="17"/>
      <c r="H27" s="17"/>
      <c r="I27" s="17"/>
      <c r="J27" s="17"/>
      <c r="K27" s="17"/>
    </row>
    <row r="28" spans="1:17" ht="15" customHeight="1" x14ac:dyDescent="0.25">
      <c r="A28" s="2">
        <v>4</v>
      </c>
      <c r="B28" s="1" t="s">
        <v>18</v>
      </c>
      <c r="C28" s="3">
        <v>1</v>
      </c>
      <c r="D28" s="4"/>
      <c r="E28" s="5"/>
      <c r="F28" s="5"/>
      <c r="G28" s="7">
        <f t="shared" ref="G28" si="0">PRODUCT(C28:F28)</f>
        <v>1</v>
      </c>
      <c r="H28" s="7" t="s">
        <v>19</v>
      </c>
      <c r="I28" s="6">
        <v>500</v>
      </c>
      <c r="J28" s="7">
        <f>G28*I28</f>
        <v>500</v>
      </c>
      <c r="K28" s="5"/>
    </row>
    <row r="29" spans="1:17" x14ac:dyDescent="0.25">
      <c r="A29" s="2"/>
      <c r="B29" s="8"/>
      <c r="C29" s="3"/>
      <c r="D29" s="4"/>
      <c r="E29" s="5"/>
      <c r="F29" s="5"/>
      <c r="G29" s="6"/>
      <c r="H29" s="7"/>
      <c r="I29" s="6"/>
      <c r="J29" s="18"/>
      <c r="K29" s="5"/>
    </row>
    <row r="30" spans="1:17" x14ac:dyDescent="0.25">
      <c r="A30" s="21"/>
      <c r="B30" s="22" t="s">
        <v>21</v>
      </c>
      <c r="C30" s="23"/>
      <c r="D30" s="24"/>
      <c r="E30" s="24"/>
      <c r="F30" s="24"/>
      <c r="G30" s="18"/>
      <c r="H30" s="18"/>
      <c r="I30" s="18"/>
      <c r="J30" s="18">
        <f>SUM(J9:J28)</f>
        <v>169416.86951250001</v>
      </c>
      <c r="K30" s="25"/>
    </row>
    <row r="31" spans="1:17" x14ac:dyDescent="0.25">
      <c r="M31" s="20"/>
      <c r="N31" s="20"/>
      <c r="O31" s="20"/>
      <c r="P31" s="20"/>
      <c r="Q31" s="20"/>
    </row>
    <row r="32" spans="1:17" s="20" customFormat="1" x14ac:dyDescent="0.25">
      <c r="A32" s="26"/>
      <c r="B32" s="27" t="s">
        <v>20</v>
      </c>
      <c r="C32" s="37">
        <f>J30</f>
        <v>169416.86951250001</v>
      </c>
      <c r="D32" s="38"/>
      <c r="E32" s="9">
        <v>100</v>
      </c>
      <c r="F32" s="26"/>
      <c r="G32" s="28"/>
      <c r="H32" s="26"/>
      <c r="I32" s="29"/>
      <c r="J32" s="30"/>
      <c r="K32" s="31"/>
      <c r="M32" s="19"/>
      <c r="N32" s="19"/>
      <c r="O32" s="19"/>
      <c r="P32" s="19"/>
      <c r="Q32" s="19"/>
    </row>
    <row r="33" spans="2:5" x14ac:dyDescent="0.25">
      <c r="B33" s="27" t="s">
        <v>22</v>
      </c>
      <c r="C33" s="41">
        <v>150000</v>
      </c>
      <c r="D33" s="42"/>
      <c r="E33" s="9"/>
    </row>
    <row r="34" spans="2:5" x14ac:dyDescent="0.25">
      <c r="B34" s="27" t="s">
        <v>23</v>
      </c>
      <c r="C34" s="41">
        <f>C33-C36-C37</f>
        <v>142500</v>
      </c>
      <c r="D34" s="42"/>
      <c r="E34" s="9">
        <f>C34/C32*100</f>
        <v>84.112048823736515</v>
      </c>
    </row>
    <row r="35" spans="2:5" x14ac:dyDescent="0.25">
      <c r="B35" s="27" t="s">
        <v>28</v>
      </c>
      <c r="C35" s="43">
        <f>C32-C34</f>
        <v>26916.869512500009</v>
      </c>
      <c r="D35" s="43"/>
      <c r="E35" s="9">
        <f>100-E34</f>
        <v>15.887951176263485</v>
      </c>
    </row>
    <row r="36" spans="2:5" x14ac:dyDescent="0.25">
      <c r="B36" s="27" t="s">
        <v>24</v>
      </c>
      <c r="C36" s="37">
        <f>C33*0.03</f>
        <v>4500</v>
      </c>
      <c r="D36" s="38"/>
      <c r="E36" s="9">
        <v>3</v>
      </c>
    </row>
    <row r="37" spans="2:5" x14ac:dyDescent="0.25">
      <c r="B37" s="27" t="s">
        <v>25</v>
      </c>
      <c r="C37" s="37">
        <f>C33*0.02</f>
        <v>3000</v>
      </c>
      <c r="D37" s="38"/>
      <c r="E37" s="9">
        <v>2</v>
      </c>
    </row>
  </sheetData>
  <mergeCells count="15">
    <mergeCell ref="A6:F6"/>
    <mergeCell ref="H6:K6"/>
    <mergeCell ref="A1:K1"/>
    <mergeCell ref="A2:K2"/>
    <mergeCell ref="A3:K3"/>
    <mergeCell ref="A4:K4"/>
    <mergeCell ref="A5:K5"/>
    <mergeCell ref="C36:D36"/>
    <mergeCell ref="C37:D37"/>
    <mergeCell ref="A7:F7"/>
    <mergeCell ref="H7:K7"/>
    <mergeCell ref="C32:D32"/>
    <mergeCell ref="C33:D33"/>
    <mergeCell ref="C34:D34"/>
    <mergeCell ref="C35:D3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2"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E10C-C491-47BC-9420-98BE87C6776A}">
  <dimension ref="A1:Q36"/>
  <sheetViews>
    <sheetView zoomScale="90" zoomScaleNormal="90" zoomScaleSheetLayoutView="95" workbookViewId="0">
      <selection activeCell="I22" sqref="I2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6" t="s">
        <v>0</v>
      </c>
      <c r="B1" s="46"/>
      <c r="C1" s="46"/>
      <c r="D1" s="46"/>
      <c r="E1" s="46"/>
      <c r="F1" s="46"/>
      <c r="G1" s="46"/>
      <c r="H1" s="46"/>
      <c r="I1" s="46"/>
      <c r="J1" s="46"/>
      <c r="K1" s="46"/>
    </row>
    <row r="2" spans="1:16" ht="22.5" x14ac:dyDescent="0.25">
      <c r="A2" s="47" t="s">
        <v>1</v>
      </c>
      <c r="B2" s="47"/>
      <c r="C2" s="47"/>
      <c r="D2" s="47"/>
      <c r="E2" s="47"/>
      <c r="F2" s="47"/>
      <c r="G2" s="47"/>
      <c r="H2" s="47"/>
      <c r="I2" s="47"/>
      <c r="J2" s="47"/>
      <c r="K2" s="47"/>
    </row>
    <row r="3" spans="1:16" x14ac:dyDescent="0.25">
      <c r="A3" s="48" t="s">
        <v>2</v>
      </c>
      <c r="B3" s="48"/>
      <c r="C3" s="48"/>
      <c r="D3" s="48"/>
      <c r="E3" s="48"/>
      <c r="F3" s="48"/>
      <c r="G3" s="48"/>
      <c r="H3" s="48"/>
      <c r="I3" s="48"/>
      <c r="J3" s="48"/>
      <c r="K3" s="48"/>
    </row>
    <row r="4" spans="1:16" x14ac:dyDescent="0.25">
      <c r="A4" s="48" t="s">
        <v>3</v>
      </c>
      <c r="B4" s="48"/>
      <c r="C4" s="48"/>
      <c r="D4" s="48"/>
      <c r="E4" s="48"/>
      <c r="F4" s="48"/>
      <c r="G4" s="48"/>
      <c r="H4" s="48"/>
      <c r="I4" s="48"/>
      <c r="J4" s="48"/>
      <c r="K4" s="48"/>
    </row>
    <row r="5" spans="1:16" ht="18.75" x14ac:dyDescent="0.3">
      <c r="A5" s="49" t="s">
        <v>42</v>
      </c>
      <c r="B5" s="49"/>
      <c r="C5" s="49"/>
      <c r="D5" s="49"/>
      <c r="E5" s="49"/>
      <c r="F5" s="49"/>
      <c r="G5" s="49"/>
      <c r="H5" s="49"/>
      <c r="I5" s="49"/>
      <c r="J5" s="49"/>
      <c r="K5" s="49"/>
    </row>
    <row r="6" spans="1:16" ht="15.75" x14ac:dyDescent="0.25">
      <c r="A6" s="44" t="s">
        <v>29</v>
      </c>
      <c r="B6" s="44"/>
      <c r="C6" s="44"/>
      <c r="D6" s="44"/>
      <c r="E6" s="44"/>
      <c r="F6" s="44"/>
      <c r="G6" s="10"/>
      <c r="H6" s="45" t="s">
        <v>26</v>
      </c>
      <c r="I6" s="45"/>
      <c r="J6" s="45"/>
      <c r="K6" s="45"/>
    </row>
    <row r="7" spans="1:16" ht="15.75" x14ac:dyDescent="0.25">
      <c r="A7" s="39" t="s">
        <v>41</v>
      </c>
      <c r="B7" s="39"/>
      <c r="C7" s="39"/>
      <c r="D7" s="39"/>
      <c r="E7" s="39"/>
      <c r="F7" s="39"/>
      <c r="G7" s="11"/>
      <c r="H7" s="40" t="s">
        <v>43</v>
      </c>
      <c r="I7" s="40"/>
      <c r="J7" s="40"/>
      <c r="K7" s="40"/>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41.75" x14ac:dyDescent="0.25">
      <c r="A9" s="16">
        <v>1</v>
      </c>
      <c r="B9" s="35" t="s">
        <v>30</v>
      </c>
      <c r="C9" s="17"/>
      <c r="D9" s="17"/>
      <c r="E9" s="17"/>
      <c r="F9" s="17"/>
      <c r="G9" s="17"/>
      <c r="H9" s="17"/>
      <c r="I9" s="17"/>
      <c r="J9" s="17"/>
      <c r="K9" s="17"/>
    </row>
    <row r="10" spans="1:16" x14ac:dyDescent="0.25">
      <c r="A10" s="16"/>
      <c r="B10" s="32" t="s">
        <v>31</v>
      </c>
      <c r="C10" s="17">
        <v>1</v>
      </c>
      <c r="D10" s="33">
        <v>6</v>
      </c>
      <c r="E10" s="33">
        <v>1</v>
      </c>
      <c r="F10" s="33">
        <v>1</v>
      </c>
      <c r="G10" s="33">
        <f>PRODUCT(C10:F10)</f>
        <v>6</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6</v>
      </c>
      <c r="H11" s="7" t="s">
        <v>17</v>
      </c>
      <c r="I11" s="6">
        <v>866.66</v>
      </c>
      <c r="J11" s="18">
        <f>G11*I11</f>
        <v>5199.96</v>
      </c>
      <c r="K11" s="5"/>
    </row>
    <row r="12" spans="1:16" x14ac:dyDescent="0.25">
      <c r="A12" s="16"/>
      <c r="B12" s="17"/>
      <c r="C12" s="17"/>
      <c r="D12" s="17"/>
      <c r="E12" s="17"/>
      <c r="F12" s="17"/>
      <c r="G12" s="17"/>
      <c r="H12" s="17"/>
      <c r="I12" s="17"/>
      <c r="J12" s="17"/>
      <c r="K12" s="17"/>
    </row>
    <row r="13" spans="1:16" ht="254.25" customHeight="1" x14ac:dyDescent="0.25">
      <c r="A13" s="16">
        <v>2</v>
      </c>
      <c r="B13" s="35" t="s">
        <v>32</v>
      </c>
      <c r="C13" s="17"/>
      <c r="D13" s="17"/>
      <c r="E13" s="17"/>
      <c r="F13" s="17"/>
      <c r="G13" s="17"/>
      <c r="H13" s="17"/>
      <c r="I13" s="17"/>
      <c r="J13" s="17"/>
      <c r="K13" s="17"/>
    </row>
    <row r="14" spans="1:16" x14ac:dyDescent="0.25">
      <c r="A14" s="16"/>
      <c r="B14" s="32" t="s">
        <v>33</v>
      </c>
      <c r="C14" s="17">
        <v>7</v>
      </c>
      <c r="D14" s="33">
        <v>3</v>
      </c>
      <c r="E14" s="33">
        <v>1</v>
      </c>
      <c r="F14" s="33">
        <v>1</v>
      </c>
      <c r="G14" s="33">
        <f>PRODUCT(C14:F14)</f>
        <v>21</v>
      </c>
      <c r="H14" s="17"/>
      <c r="I14" s="17"/>
      <c r="J14" s="17"/>
      <c r="K14" s="17"/>
      <c r="M14" s="33">
        <f>7</f>
        <v>7</v>
      </c>
      <c r="N14" s="33">
        <f>2</f>
        <v>2</v>
      </c>
      <c r="O14" s="33"/>
      <c r="P14" s="33">
        <f>PI()*M14*SQRT(M14^2+N14^2)</f>
        <v>160.09797821843054</v>
      </c>
    </row>
    <row r="15" spans="1:16" x14ac:dyDescent="0.25">
      <c r="A15" s="16"/>
      <c r="B15" s="32"/>
      <c r="C15" s="17">
        <v>1</v>
      </c>
      <c r="D15" s="33">
        <v>2</v>
      </c>
      <c r="E15" s="33">
        <v>1</v>
      </c>
      <c r="F15" s="33">
        <v>1</v>
      </c>
      <c r="G15" s="33">
        <f>PRODUCT(C15:F15)</f>
        <v>2</v>
      </c>
      <c r="H15" s="17"/>
      <c r="I15" s="17"/>
      <c r="J15" s="17"/>
      <c r="K15" s="17"/>
      <c r="M15" s="36"/>
      <c r="N15" s="36"/>
      <c r="O15" s="36"/>
      <c r="P15" s="36"/>
    </row>
    <row r="16" spans="1:16" ht="15" customHeight="1" x14ac:dyDescent="0.25">
      <c r="A16" s="2"/>
      <c r="B16" s="34" t="s">
        <v>16</v>
      </c>
      <c r="C16" s="3"/>
      <c r="D16" s="4"/>
      <c r="E16" s="5"/>
      <c r="F16" s="5"/>
      <c r="G16" s="6">
        <f>SUM(G14:G15)</f>
        <v>23</v>
      </c>
      <c r="H16" s="7" t="s">
        <v>17</v>
      </c>
      <c r="I16" s="6">
        <v>6421.62</v>
      </c>
      <c r="J16" s="18">
        <f>G16*I16</f>
        <v>147697.26</v>
      </c>
      <c r="K16" s="5"/>
    </row>
    <row r="17" spans="1:17" x14ac:dyDescent="0.25">
      <c r="A17" s="16"/>
      <c r="B17" s="32" t="s">
        <v>27</v>
      </c>
      <c r="C17" s="17"/>
      <c r="D17" s="17"/>
      <c r="E17" s="17"/>
      <c r="F17" s="17"/>
      <c r="G17" s="17"/>
      <c r="H17" s="17"/>
      <c r="I17" s="17"/>
      <c r="J17" s="18">
        <f>0.13*G16*(16299.36/6+16299.36/6+16299.36/6+16299.36/6)/4</f>
        <v>8122.5144</v>
      </c>
      <c r="K17" s="17"/>
    </row>
    <row r="18" spans="1:17" x14ac:dyDescent="0.25">
      <c r="A18" s="16"/>
      <c r="B18" s="32" t="s">
        <v>34</v>
      </c>
      <c r="C18" s="17"/>
      <c r="D18" s="17"/>
      <c r="E18" s="17"/>
      <c r="F18" s="17"/>
      <c r="G18" s="17"/>
      <c r="H18" s="17"/>
      <c r="I18" s="17"/>
      <c r="J18" s="18">
        <f>0.13*G16*(9055.8/6+9346.05/6+10191/6+10185.84/6)/4</f>
        <v>4831.1784625000009</v>
      </c>
      <c r="K18" s="17"/>
    </row>
    <row r="19" spans="1:17" x14ac:dyDescent="0.25">
      <c r="A19" s="16"/>
      <c r="B19" s="32" t="s">
        <v>35</v>
      </c>
      <c r="C19" s="17"/>
      <c r="D19" s="17"/>
      <c r="E19" s="17"/>
      <c r="F19" s="17"/>
      <c r="G19" s="17"/>
      <c r="H19" s="17"/>
      <c r="I19" s="17"/>
      <c r="J19" s="18">
        <f>0.13*G16*(1008.78/6+1145.52/6+1393.2/6+1555.74/6)/4</f>
        <v>635.77864999999997</v>
      </c>
      <c r="K19" s="17"/>
    </row>
    <row r="20" spans="1:17" x14ac:dyDescent="0.25">
      <c r="A20" s="16"/>
      <c r="B20" s="32" t="s">
        <v>36</v>
      </c>
      <c r="C20" s="17"/>
      <c r="D20" s="17"/>
      <c r="E20" s="17"/>
      <c r="F20" s="17"/>
      <c r="G20" s="17"/>
      <c r="H20" s="17"/>
      <c r="I20" s="17"/>
      <c r="J20" s="18">
        <f>0.13*G16*(434.4/6+468/6+600/6+547.2/6)/4</f>
        <v>255.346</v>
      </c>
      <c r="K20" s="17"/>
    </row>
    <row r="21" spans="1:17" x14ac:dyDescent="0.25">
      <c r="A21" s="16"/>
      <c r="B21" s="32"/>
      <c r="C21" s="17"/>
      <c r="D21" s="17"/>
      <c r="E21" s="17"/>
      <c r="F21" s="17"/>
      <c r="G21" s="17"/>
      <c r="H21" s="17"/>
      <c r="I21" s="17"/>
      <c r="J21" s="18"/>
      <c r="K21" s="17"/>
    </row>
    <row r="22" spans="1:17" ht="123" customHeight="1" x14ac:dyDescent="0.25">
      <c r="A22" s="16">
        <v>3</v>
      </c>
      <c r="B22" s="35" t="s">
        <v>37</v>
      </c>
      <c r="C22" s="17"/>
      <c r="D22" s="17"/>
      <c r="E22" s="17"/>
      <c r="F22" s="17"/>
      <c r="G22" s="17"/>
      <c r="H22" s="17"/>
      <c r="I22" s="17"/>
      <c r="J22" s="17"/>
      <c r="K22" s="17"/>
    </row>
    <row r="23" spans="1:17" x14ac:dyDescent="0.25">
      <c r="A23" s="16"/>
      <c r="B23" s="32" t="s">
        <v>38</v>
      </c>
      <c r="C23" s="17">
        <v>1</v>
      </c>
      <c r="D23" s="17">
        <v>6</v>
      </c>
      <c r="E23" s="17"/>
      <c r="F23" s="17">
        <v>2</v>
      </c>
      <c r="G23" s="33">
        <f>PRODUCT(C23:F23)</f>
        <v>12</v>
      </c>
      <c r="H23" s="17"/>
      <c r="I23" s="17"/>
      <c r="J23" s="18"/>
      <c r="K23" s="17"/>
    </row>
    <row r="24" spans="1:17" ht="15" customHeight="1" x14ac:dyDescent="0.25">
      <c r="A24" s="2"/>
      <c r="B24" s="34" t="s">
        <v>16</v>
      </c>
      <c r="C24" s="3"/>
      <c r="D24" s="4"/>
      <c r="E24" s="5"/>
      <c r="F24" s="5"/>
      <c r="G24" s="6">
        <f>SUM(G21:G23)</f>
        <v>12</v>
      </c>
      <c r="H24" s="7" t="s">
        <v>39</v>
      </c>
      <c r="I24" s="6">
        <v>161.58000000000001</v>
      </c>
      <c r="J24" s="18">
        <f>G24*I24</f>
        <v>1938.96</v>
      </c>
      <c r="K24" s="5"/>
    </row>
    <row r="25" spans="1:17" x14ac:dyDescent="0.25">
      <c r="A25" s="16"/>
      <c r="B25" s="32" t="s">
        <v>27</v>
      </c>
      <c r="C25" s="17"/>
      <c r="D25" s="17"/>
      <c r="E25" s="17"/>
      <c r="F25" s="17"/>
      <c r="G25" s="17"/>
      <c r="H25" s="17"/>
      <c r="I25" s="17"/>
      <c r="J25" s="18">
        <f>0.13*G24*45360/300</f>
        <v>235.87200000000001</v>
      </c>
      <c r="K25" s="17"/>
    </row>
    <row r="26" spans="1:17" x14ac:dyDescent="0.25">
      <c r="A26" s="16"/>
      <c r="B26" s="17"/>
      <c r="C26" s="17"/>
      <c r="D26" s="17"/>
      <c r="E26" s="17"/>
      <c r="F26" s="17"/>
      <c r="G26" s="17"/>
      <c r="H26" s="17"/>
      <c r="I26" s="17"/>
      <c r="J26" s="17"/>
      <c r="K26" s="17"/>
    </row>
    <row r="27" spans="1:17" ht="15" customHeight="1" x14ac:dyDescent="0.25">
      <c r="A27" s="2">
        <v>4</v>
      </c>
      <c r="B27" s="1" t="s">
        <v>18</v>
      </c>
      <c r="C27" s="3">
        <v>1</v>
      </c>
      <c r="D27" s="4"/>
      <c r="E27" s="5"/>
      <c r="F27" s="5"/>
      <c r="G27" s="7">
        <f t="shared" ref="G27" si="0">PRODUCT(C27:F27)</f>
        <v>1</v>
      </c>
      <c r="H27" s="7" t="s">
        <v>19</v>
      </c>
      <c r="I27" s="6">
        <v>500</v>
      </c>
      <c r="J27" s="7">
        <f>G27*I27</f>
        <v>500</v>
      </c>
      <c r="K27" s="5"/>
    </row>
    <row r="28" spans="1:17" x14ac:dyDescent="0.25">
      <c r="A28" s="2"/>
      <c r="B28" s="8"/>
      <c r="C28" s="3"/>
      <c r="D28" s="4"/>
      <c r="E28" s="5"/>
      <c r="F28" s="5"/>
      <c r="G28" s="6"/>
      <c r="H28" s="7"/>
      <c r="I28" s="6"/>
      <c r="J28" s="18"/>
      <c r="K28" s="5"/>
    </row>
    <row r="29" spans="1:17" x14ac:dyDescent="0.25">
      <c r="A29" s="21"/>
      <c r="B29" s="22" t="s">
        <v>21</v>
      </c>
      <c r="C29" s="23"/>
      <c r="D29" s="24"/>
      <c r="E29" s="24"/>
      <c r="F29" s="24"/>
      <c r="G29" s="18"/>
      <c r="H29" s="18"/>
      <c r="I29" s="18"/>
      <c r="J29" s="18">
        <f>SUM(J9:J27)</f>
        <v>169416.86951250001</v>
      </c>
      <c r="K29" s="25"/>
    </row>
    <row r="30" spans="1:17" x14ac:dyDescent="0.25">
      <c r="M30" s="20"/>
      <c r="N30" s="20"/>
      <c r="O30" s="20"/>
      <c r="P30" s="20"/>
      <c r="Q30" s="20"/>
    </row>
    <row r="31" spans="1:17" s="20" customFormat="1" x14ac:dyDescent="0.25">
      <c r="A31" s="26"/>
      <c r="B31" s="27" t="s">
        <v>44</v>
      </c>
      <c r="C31" s="37">
        <f>J29</f>
        <v>169416.86951250001</v>
      </c>
      <c r="D31" s="38"/>
      <c r="E31" s="9">
        <v>100</v>
      </c>
      <c r="F31" s="26"/>
      <c r="G31" s="28"/>
      <c r="H31" s="26"/>
      <c r="I31" s="29"/>
      <c r="J31" s="30"/>
      <c r="K31" s="31"/>
      <c r="M31" s="19"/>
      <c r="N31" s="19"/>
      <c r="O31" s="19"/>
      <c r="P31" s="19"/>
      <c r="Q31" s="19"/>
    </row>
    <row r="32" spans="1:17" x14ac:dyDescent="0.25">
      <c r="B32" s="27" t="s">
        <v>22</v>
      </c>
      <c r="C32" s="41">
        <v>150000</v>
      </c>
      <c r="D32" s="42"/>
      <c r="E32" s="9"/>
    </row>
    <row r="33" spans="2:5" x14ac:dyDescent="0.25">
      <c r="B33" s="27" t="s">
        <v>23</v>
      </c>
      <c r="C33" s="41">
        <f>C32-C35-C36</f>
        <v>142500</v>
      </c>
      <c r="D33" s="42"/>
      <c r="E33" s="9">
        <f>C33/C31*100</f>
        <v>84.112048823736515</v>
      </c>
    </row>
    <row r="34" spans="2:5" x14ac:dyDescent="0.25">
      <c r="B34" s="27" t="s">
        <v>28</v>
      </c>
      <c r="C34" s="43">
        <f>C31-C33</f>
        <v>26916.869512500009</v>
      </c>
      <c r="D34" s="43"/>
      <c r="E34" s="9">
        <f>100-E33</f>
        <v>15.887951176263485</v>
      </c>
    </row>
    <row r="35" spans="2:5" x14ac:dyDescent="0.25">
      <c r="B35" s="27" t="s">
        <v>24</v>
      </c>
      <c r="C35" s="37">
        <f>C32*0.03</f>
        <v>4500</v>
      </c>
      <c r="D35" s="38"/>
      <c r="E35" s="9">
        <v>3</v>
      </c>
    </row>
    <row r="36" spans="2:5" x14ac:dyDescent="0.25">
      <c r="B36" s="27" t="s">
        <v>25</v>
      </c>
      <c r="C36" s="37">
        <f>C32*0.02</f>
        <v>3000</v>
      </c>
      <c r="D36" s="38"/>
      <c r="E36" s="9">
        <v>2</v>
      </c>
    </row>
  </sheetData>
  <mergeCells count="15">
    <mergeCell ref="C35:D35"/>
    <mergeCell ref="C36:D36"/>
    <mergeCell ref="A7:F7"/>
    <mergeCell ref="H7:K7"/>
    <mergeCell ref="C31:D31"/>
    <mergeCell ref="C32:D32"/>
    <mergeCell ref="C33:D33"/>
    <mergeCell ref="C34:D34"/>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2"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8F78D-7968-4C7A-B49B-8A31E1C6881A}">
  <dimension ref="A1:M26"/>
  <sheetViews>
    <sheetView zoomScaleNormal="100" workbookViewId="0">
      <selection activeCell="B24" sqref="B24"/>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1" x14ac:dyDescent="0.25">
      <c r="A1" s="50" t="s">
        <v>0</v>
      </c>
      <c r="B1" s="50"/>
      <c r="C1" s="50"/>
      <c r="D1" s="50"/>
      <c r="E1" s="50"/>
      <c r="F1" s="50"/>
      <c r="G1" s="50"/>
      <c r="H1" s="50"/>
      <c r="I1" s="50"/>
      <c r="J1" s="50"/>
      <c r="K1" s="50"/>
    </row>
    <row r="2" spans="1:11" ht="25.5" x14ac:dyDescent="0.35">
      <c r="A2" s="51" t="s">
        <v>1</v>
      </c>
      <c r="B2" s="51"/>
      <c r="C2" s="51"/>
      <c r="D2" s="51"/>
      <c r="E2" s="51"/>
      <c r="F2" s="51"/>
      <c r="G2" s="51"/>
      <c r="H2" s="51"/>
      <c r="I2" s="51"/>
      <c r="J2" s="51"/>
      <c r="K2" s="51"/>
    </row>
    <row r="3" spans="1:11" s="53" customFormat="1" x14ac:dyDescent="0.25">
      <c r="A3" s="52" t="s">
        <v>2</v>
      </c>
      <c r="B3" s="52"/>
      <c r="C3" s="52"/>
      <c r="D3" s="52"/>
      <c r="E3" s="52"/>
      <c r="F3" s="52"/>
      <c r="G3" s="52"/>
      <c r="H3" s="52"/>
      <c r="I3" s="52"/>
      <c r="J3" s="52"/>
      <c r="K3" s="52"/>
    </row>
    <row r="4" spans="1:11" s="53" customFormat="1" x14ac:dyDescent="0.25">
      <c r="A4" s="52" t="s">
        <v>3</v>
      </c>
      <c r="B4" s="52"/>
      <c r="C4" s="52"/>
      <c r="D4" s="52"/>
      <c r="E4" s="52"/>
      <c r="F4" s="52"/>
      <c r="G4" s="52"/>
      <c r="H4" s="52"/>
      <c r="I4" s="52"/>
      <c r="J4" s="52"/>
      <c r="K4" s="52"/>
    </row>
    <row r="5" spans="1:11" ht="18.75" x14ac:dyDescent="0.3">
      <c r="A5" s="54" t="s">
        <v>45</v>
      </c>
      <c r="B5" s="54"/>
      <c r="C5" s="54"/>
      <c r="D5" s="54"/>
      <c r="E5" s="54"/>
      <c r="F5" s="54"/>
      <c r="G5" s="54"/>
      <c r="H5" s="54"/>
      <c r="I5" s="54"/>
      <c r="J5" s="54"/>
      <c r="K5" s="54"/>
    </row>
    <row r="6" spans="1:11" ht="18.75" x14ac:dyDescent="0.3">
      <c r="A6" s="55" t="s">
        <v>46</v>
      </c>
      <c r="B6" s="55"/>
      <c r="C6" s="56">
        <f>F26</f>
        <v>169416.86951250001</v>
      </c>
      <c r="D6" s="57"/>
      <c r="E6" s="58"/>
      <c r="F6" s="55"/>
      <c r="G6" s="55"/>
      <c r="H6" s="55" t="s">
        <v>47</v>
      </c>
      <c r="I6" s="55"/>
      <c r="J6" s="56">
        <f>I26</f>
        <v>169416.86951250001</v>
      </c>
      <c r="K6" s="57"/>
    </row>
    <row r="7" spans="1:11" x14ac:dyDescent="0.25">
      <c r="A7" s="59" t="s">
        <v>48</v>
      </c>
      <c r="B7" s="59"/>
      <c r="C7" s="59"/>
      <c r="D7" s="59"/>
      <c r="F7" s="60"/>
      <c r="G7" s="60"/>
      <c r="I7" s="61" t="s">
        <v>49</v>
      </c>
      <c r="J7" s="61"/>
      <c r="K7" s="61"/>
    </row>
    <row r="8" spans="1:11" ht="15.75" x14ac:dyDescent="0.25">
      <c r="A8" s="62" t="str">
        <f>estimate!A6</f>
        <v>Project:-सुकपानी स्याले सिंचाई कुलो मर्मत</v>
      </c>
      <c r="B8" s="62"/>
      <c r="C8" s="62"/>
      <c r="D8" s="62"/>
      <c r="E8" s="62"/>
      <c r="F8" s="62"/>
      <c r="I8" s="63" t="s">
        <v>50</v>
      </c>
      <c r="J8" s="63"/>
      <c r="K8" s="63"/>
    </row>
    <row r="9" spans="1:11" x14ac:dyDescent="0.25">
      <c r="A9" s="64" t="str">
        <f>[4]estimate!A7</f>
        <v>Location:- Shankharapur Municipality 1</v>
      </c>
      <c r="B9" s="64"/>
      <c r="C9" s="64"/>
      <c r="D9" s="64"/>
      <c r="E9" s="64"/>
      <c r="F9" s="64"/>
      <c r="I9" s="63" t="s">
        <v>58</v>
      </c>
      <c r="J9" s="63"/>
      <c r="K9" s="63"/>
    </row>
    <row r="11" spans="1:11" x14ac:dyDescent="0.25">
      <c r="A11" s="65" t="s">
        <v>51</v>
      </c>
      <c r="B11" s="65" t="s">
        <v>52</v>
      </c>
      <c r="C11" s="65" t="s">
        <v>12</v>
      </c>
      <c r="D11" s="66" t="s">
        <v>53</v>
      </c>
      <c r="E11" s="66"/>
      <c r="F11" s="66"/>
      <c r="G11" s="66" t="s">
        <v>54</v>
      </c>
      <c r="H11" s="66"/>
      <c r="I11" s="66"/>
      <c r="J11" s="65" t="s">
        <v>55</v>
      </c>
      <c r="K11" s="67" t="s">
        <v>56</v>
      </c>
    </row>
    <row r="12" spans="1:11" x14ac:dyDescent="0.25">
      <c r="A12" s="65"/>
      <c r="B12" s="65"/>
      <c r="C12" s="65"/>
      <c r="D12" s="68" t="s">
        <v>57</v>
      </c>
      <c r="E12" s="68" t="s">
        <v>13</v>
      </c>
      <c r="F12" s="68" t="s">
        <v>14</v>
      </c>
      <c r="G12" s="68" t="s">
        <v>57</v>
      </c>
      <c r="H12" s="68" t="s">
        <v>13</v>
      </c>
      <c r="I12" s="68" t="s">
        <v>14</v>
      </c>
      <c r="J12" s="65"/>
      <c r="K12" s="67"/>
    </row>
    <row r="13" spans="1:11" s="53" customFormat="1" ht="110.25" x14ac:dyDescent="0.25">
      <c r="A13" s="69">
        <f>estimate!A9</f>
        <v>1</v>
      </c>
      <c r="B13" s="70" t="str">
        <f>estimate!B9</f>
        <v>Earthwork Excavation in Cutting., Roadway Excavation in ordinary rock  by Manual Means ., Roadway Excavation  in ordinary rock as per Drawing and Technical specification, including all lift and lead  as per Drawing and instruction of the Engineer.</v>
      </c>
      <c r="C13" s="71" t="str">
        <f>estimate!H11</f>
        <v>m3</v>
      </c>
      <c r="D13" s="71">
        <f>estimate!G11</f>
        <v>6</v>
      </c>
      <c r="E13" s="71">
        <f>estimate!I11</f>
        <v>866.66</v>
      </c>
      <c r="F13" s="71">
        <f>D13*E13</f>
        <v>5199.96</v>
      </c>
      <c r="G13" s="71">
        <f>V!G11</f>
        <v>6</v>
      </c>
      <c r="H13" s="71">
        <f>V!I11</f>
        <v>866.66</v>
      </c>
      <c r="I13" s="71">
        <f>G13*H13</f>
        <v>5199.96</v>
      </c>
      <c r="J13" s="72">
        <f>I13-F13</f>
        <v>0</v>
      </c>
      <c r="K13" s="73"/>
    </row>
    <row r="14" spans="1:11" s="53" customFormat="1" x14ac:dyDescent="0.25">
      <c r="A14" s="75"/>
      <c r="B14" s="76"/>
      <c r="C14" s="71"/>
      <c r="D14" s="71"/>
      <c r="E14" s="71"/>
      <c r="F14" s="71"/>
      <c r="G14" s="71"/>
      <c r="H14" s="71"/>
      <c r="I14" s="71"/>
      <c r="J14" s="72"/>
      <c r="K14" s="73"/>
    </row>
    <row r="15" spans="1:11" s="53" customFormat="1" ht="78.75" x14ac:dyDescent="0.25">
      <c r="A15" s="69">
        <f>estimate!A13</f>
        <v>2</v>
      </c>
      <c r="B15" s="70" t="str">
        <f>estimate!B13</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v>
      </c>
      <c r="C15" s="71" t="str">
        <f>estimate!H17</f>
        <v>m3</v>
      </c>
      <c r="D15" s="71">
        <f>estimate!G17</f>
        <v>23</v>
      </c>
      <c r="E15" s="71">
        <f>estimate!I17</f>
        <v>6421.62</v>
      </c>
      <c r="F15" s="71">
        <f>D15*E15</f>
        <v>147697.26</v>
      </c>
      <c r="G15" s="71">
        <f>V!G16</f>
        <v>23</v>
      </c>
      <c r="H15" s="71">
        <f>V!I16</f>
        <v>6421.62</v>
      </c>
      <c r="I15" s="71">
        <f>G15*H15</f>
        <v>147697.26</v>
      </c>
      <c r="J15" s="72">
        <f>I15-F15</f>
        <v>0</v>
      </c>
      <c r="K15" s="73"/>
    </row>
    <row r="16" spans="1:11" s="53" customFormat="1" ht="15.75" x14ac:dyDescent="0.25">
      <c r="A16" s="69"/>
      <c r="B16" s="74" t="str">
        <f>estimate!B18</f>
        <v>-13% VAT for stone</v>
      </c>
      <c r="C16" s="71"/>
      <c r="D16" s="71"/>
      <c r="E16" s="71"/>
      <c r="F16" s="71">
        <f>estimate!J18</f>
        <v>8122.5144</v>
      </c>
      <c r="G16" s="71"/>
      <c r="H16" s="71"/>
      <c r="I16" s="71">
        <f>V!J17</f>
        <v>8122.5144</v>
      </c>
      <c r="J16" s="72">
        <f>I16-F16</f>
        <v>0</v>
      </c>
      <c r="K16" s="73"/>
    </row>
    <row r="17" spans="1:13" s="53" customFormat="1" ht="15.75" x14ac:dyDescent="0.25">
      <c r="A17" s="69"/>
      <c r="B17" s="74" t="str">
        <f>estimate!B19</f>
        <v>-13% VAT for mesh wire</v>
      </c>
      <c r="C17" s="71"/>
      <c r="D17" s="71"/>
      <c r="E17" s="71"/>
      <c r="F17" s="71">
        <f>estimate!J19</f>
        <v>4831.1784625000009</v>
      </c>
      <c r="G17" s="71"/>
      <c r="H17" s="71"/>
      <c r="I17" s="71">
        <f>V!J18</f>
        <v>4831.1784625000009</v>
      </c>
      <c r="J17" s="72">
        <f t="shared" ref="J17:J19" si="0">I17-F17</f>
        <v>0</v>
      </c>
      <c r="K17" s="73"/>
    </row>
    <row r="18" spans="1:13" s="53" customFormat="1" ht="15.75" x14ac:dyDescent="0.25">
      <c r="A18" s="69"/>
      <c r="B18" s="74" t="str">
        <f>estimate!B20</f>
        <v>-13% VAT for selvedge wire</v>
      </c>
      <c r="C18" s="71"/>
      <c r="D18" s="71"/>
      <c r="E18" s="71"/>
      <c r="F18" s="71">
        <f>estimate!J20</f>
        <v>635.77864999999997</v>
      </c>
      <c r="G18" s="71"/>
      <c r="H18" s="71"/>
      <c r="I18" s="71">
        <f>V!J19</f>
        <v>635.77864999999997</v>
      </c>
      <c r="J18" s="72">
        <f t="shared" si="0"/>
        <v>0</v>
      </c>
      <c r="K18" s="73"/>
    </row>
    <row r="19" spans="1:13" s="53" customFormat="1" ht="15.75" x14ac:dyDescent="0.25">
      <c r="A19" s="69"/>
      <c r="B19" s="74" t="str">
        <f>estimate!B21</f>
        <v>-13% VAT for binding wire</v>
      </c>
      <c r="C19" s="71"/>
      <c r="D19" s="71"/>
      <c r="E19" s="71"/>
      <c r="F19" s="71">
        <f>estimate!J21</f>
        <v>255.346</v>
      </c>
      <c r="G19" s="71"/>
      <c r="H19" s="71"/>
      <c r="I19" s="71">
        <f>V!J20</f>
        <v>255.346</v>
      </c>
      <c r="J19" s="72">
        <f t="shared" si="0"/>
        <v>0</v>
      </c>
      <c r="K19" s="73"/>
    </row>
    <row r="20" spans="1:13" s="53" customFormat="1" x14ac:dyDescent="0.25">
      <c r="A20" s="75"/>
      <c r="B20" s="76"/>
      <c r="C20" s="71"/>
      <c r="D20" s="71"/>
      <c r="E20" s="71"/>
      <c r="F20" s="71"/>
      <c r="G20" s="71"/>
      <c r="H20" s="71"/>
      <c r="I20" s="71"/>
      <c r="J20" s="72"/>
      <c r="K20" s="73"/>
    </row>
    <row r="21" spans="1:13" s="53" customFormat="1" ht="78.75" x14ac:dyDescent="0.25">
      <c r="A21" s="69">
        <f>estimate!A23</f>
        <v>3</v>
      </c>
      <c r="B21" s="70" t="str">
        <f>estimate!B23</f>
        <v>Laying and fixing of Geo-Textile all complete as per specification., Providing  and laying of a geotextile filter between pitching and embankment slopes as per Drawing and Technical Specifications.</v>
      </c>
      <c r="C21" s="71" t="str">
        <f>estimate!H25</f>
        <v>m2</v>
      </c>
      <c r="D21" s="71">
        <f>estimate!G25</f>
        <v>12</v>
      </c>
      <c r="E21" s="71">
        <f>estimate!I25</f>
        <v>161.58000000000001</v>
      </c>
      <c r="F21" s="71">
        <f>D21*E21</f>
        <v>1938.96</v>
      </c>
      <c r="G21" s="71">
        <f>V!G24</f>
        <v>12</v>
      </c>
      <c r="H21" s="71">
        <f>V!I24</f>
        <v>161.58000000000001</v>
      </c>
      <c r="I21" s="71">
        <f>G21*H21</f>
        <v>1938.96</v>
      </c>
      <c r="J21" s="72">
        <f>I21-F21</f>
        <v>0</v>
      </c>
      <c r="K21" s="73"/>
    </row>
    <row r="22" spans="1:13" s="53" customFormat="1" ht="15.75" x14ac:dyDescent="0.25">
      <c r="A22" s="69"/>
      <c r="B22" s="74" t="str">
        <f>estimate!B26</f>
        <v>-13% VAT for stone</v>
      </c>
      <c r="C22" s="71"/>
      <c r="D22" s="71"/>
      <c r="E22" s="71"/>
      <c r="F22" s="71">
        <f>estimate!J26</f>
        <v>235.87200000000001</v>
      </c>
      <c r="G22" s="71"/>
      <c r="H22" s="71"/>
      <c r="I22" s="71">
        <f>V!J25</f>
        <v>235.87200000000001</v>
      </c>
      <c r="J22" s="72">
        <f>I22-F22</f>
        <v>0</v>
      </c>
      <c r="K22" s="73"/>
    </row>
    <row r="23" spans="1:13" s="53" customFormat="1" x14ac:dyDescent="0.25">
      <c r="A23" s="75"/>
      <c r="B23" s="76"/>
      <c r="C23" s="71"/>
      <c r="D23" s="71"/>
      <c r="E23" s="71"/>
      <c r="F23" s="71"/>
      <c r="G23" s="71"/>
      <c r="H23" s="71"/>
      <c r="I23" s="71"/>
      <c r="J23" s="72"/>
      <c r="K23" s="73"/>
      <c r="M23" s="77"/>
    </row>
    <row r="24" spans="1:13" s="53" customFormat="1" x14ac:dyDescent="0.25">
      <c r="A24" s="69">
        <f>estimate!A28</f>
        <v>4</v>
      </c>
      <c r="B24" s="78" t="str">
        <f>estimate!B28</f>
        <v>Information board (सुचना पाटि)</v>
      </c>
      <c r="C24" s="71" t="str">
        <f>estimate!H28</f>
        <v>no.</v>
      </c>
      <c r="D24" s="71">
        <f>estimate!G28</f>
        <v>1</v>
      </c>
      <c r="E24" s="71">
        <f>estimate!I28</f>
        <v>500</v>
      </c>
      <c r="F24" s="71">
        <f>D24*E24</f>
        <v>500</v>
      </c>
      <c r="G24" s="71">
        <f>V!G27</f>
        <v>1</v>
      </c>
      <c r="H24" s="71">
        <f>V!I27</f>
        <v>500</v>
      </c>
      <c r="I24" s="71">
        <f>G24*H24</f>
        <v>500</v>
      </c>
      <c r="J24" s="72">
        <f>I24-F24</f>
        <v>0</v>
      </c>
      <c r="K24" s="73"/>
    </row>
    <row r="25" spans="1:13" s="53" customFormat="1" x14ac:dyDescent="0.25">
      <c r="A25" s="76"/>
      <c r="B25" s="76"/>
      <c r="C25" s="71"/>
      <c r="D25" s="71"/>
      <c r="E25" s="71"/>
      <c r="F25" s="71"/>
      <c r="G25" s="71"/>
      <c r="H25" s="71"/>
      <c r="I25" s="71"/>
      <c r="J25" s="72"/>
      <c r="K25" s="73"/>
    </row>
    <row r="26" spans="1:13" x14ac:dyDescent="0.25">
      <c r="A26" s="79"/>
      <c r="B26" s="80" t="s">
        <v>21</v>
      </c>
      <c r="C26" s="80"/>
      <c r="D26" s="81"/>
      <c r="E26" s="81"/>
      <c r="F26" s="81">
        <f>SUM(F13:F24)</f>
        <v>169416.86951250001</v>
      </c>
      <c r="G26" s="81"/>
      <c r="H26" s="81"/>
      <c r="I26" s="81">
        <f>SUM(I13:I24)</f>
        <v>169416.86951250001</v>
      </c>
      <c r="J26" s="82">
        <f>I26-F26</f>
        <v>0</v>
      </c>
      <c r="K26" s="79"/>
    </row>
  </sheetData>
  <mergeCells count="20">
    <mergeCell ref="K11:K12"/>
    <mergeCell ref="A11:A12"/>
    <mergeCell ref="B11:B12"/>
    <mergeCell ref="C11:C12"/>
    <mergeCell ref="D11:F11"/>
    <mergeCell ref="G11:I11"/>
    <mergeCell ref="J11:J12"/>
    <mergeCell ref="F7:G7"/>
    <mergeCell ref="I7:K7"/>
    <mergeCell ref="A8:F8"/>
    <mergeCell ref="I8:K8"/>
    <mergeCell ref="A9:F9"/>
    <mergeCell ref="I9:K9"/>
    <mergeCell ref="A1:K1"/>
    <mergeCell ref="A2:K2"/>
    <mergeCell ref="A3:K3"/>
    <mergeCell ref="A4:K4"/>
    <mergeCell ref="A5:K5"/>
    <mergeCell ref="C6:D6"/>
    <mergeCell ref="J6:K6"/>
  </mergeCells>
  <printOptions horizontalCentered="1"/>
  <pageMargins left="0.7" right="0.7" top="0.75" bottom="0.75" header="0.3" footer="0.3"/>
  <pageSetup scale="80" orientation="landscape" horizontalDpi="300" verticalDpi="300" r:id="rId1"/>
  <headerFooter>
    <oddFooter xml:space="preserve">&amp;LPrepared By:
&amp;CChecked By:
&amp;RApproved By: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9C3D2-74A2-4D2F-9C80-4E81F12CF3D9}">
  <dimension ref="A1:Q36"/>
  <sheetViews>
    <sheetView tabSelected="1" zoomScale="90" zoomScaleNormal="90" zoomScaleSheetLayoutView="95" workbookViewId="0">
      <selection activeCell="D22" sqref="D2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hidden="1" customWidth="1"/>
    <col min="10" max="10" width="10.7109375" style="19" hidden="1" customWidth="1"/>
    <col min="11" max="12" width="9.140625" style="19"/>
    <col min="13" max="16" width="0" style="19" hidden="1" customWidth="1"/>
    <col min="17" max="16384" width="9.140625" style="19"/>
  </cols>
  <sheetData>
    <row r="1" spans="1:16" x14ac:dyDescent="0.25">
      <c r="A1" s="46" t="s">
        <v>0</v>
      </c>
      <c r="B1" s="46"/>
      <c r="C1" s="46"/>
      <c r="D1" s="46"/>
      <c r="E1" s="46"/>
      <c r="F1" s="46"/>
      <c r="G1" s="46"/>
      <c r="H1" s="46"/>
      <c r="I1" s="46"/>
      <c r="J1" s="46"/>
      <c r="K1" s="46"/>
    </row>
    <row r="2" spans="1:16" ht="22.5" x14ac:dyDescent="0.25">
      <c r="A2" s="47" t="s">
        <v>1</v>
      </c>
      <c r="B2" s="47"/>
      <c r="C2" s="47"/>
      <c r="D2" s="47"/>
      <c r="E2" s="47"/>
      <c r="F2" s="47"/>
      <c r="G2" s="47"/>
      <c r="H2" s="47"/>
      <c r="I2" s="47"/>
      <c r="J2" s="47"/>
      <c r="K2" s="47"/>
    </row>
    <row r="3" spans="1:16" x14ac:dyDescent="0.25">
      <c r="A3" s="48" t="s">
        <v>2</v>
      </c>
      <c r="B3" s="48"/>
      <c r="C3" s="48"/>
      <c r="D3" s="48"/>
      <c r="E3" s="48"/>
      <c r="F3" s="48"/>
      <c r="G3" s="48"/>
      <c r="H3" s="48"/>
      <c r="I3" s="48"/>
      <c r="J3" s="48"/>
      <c r="K3" s="48"/>
    </row>
    <row r="4" spans="1:16" x14ac:dyDescent="0.25">
      <c r="A4" s="48" t="s">
        <v>3</v>
      </c>
      <c r="B4" s="48"/>
      <c r="C4" s="48"/>
      <c r="D4" s="48"/>
      <c r="E4" s="48"/>
      <c r="F4" s="48"/>
      <c r="G4" s="48"/>
      <c r="H4" s="48"/>
      <c r="I4" s="48"/>
      <c r="J4" s="48"/>
      <c r="K4" s="48"/>
    </row>
    <row r="5" spans="1:16" ht="18.75" x14ac:dyDescent="0.3">
      <c r="A5" s="49" t="s">
        <v>59</v>
      </c>
      <c r="B5" s="49"/>
      <c r="C5" s="49"/>
      <c r="D5" s="49"/>
      <c r="E5" s="49"/>
      <c r="F5" s="49"/>
      <c r="G5" s="49"/>
      <c r="H5" s="49"/>
      <c r="I5" s="49"/>
      <c r="J5" s="49"/>
      <c r="K5" s="49"/>
    </row>
    <row r="6" spans="1:16" ht="15.75" x14ac:dyDescent="0.25">
      <c r="A6" s="44" t="s">
        <v>29</v>
      </c>
      <c r="B6" s="44"/>
      <c r="C6" s="44"/>
      <c r="D6" s="44"/>
      <c r="E6" s="44"/>
      <c r="F6" s="44"/>
      <c r="G6" s="10"/>
      <c r="H6" s="45" t="s">
        <v>26</v>
      </c>
      <c r="I6" s="45"/>
      <c r="J6" s="45"/>
      <c r="K6" s="45"/>
    </row>
    <row r="7" spans="1:16" ht="15.75" x14ac:dyDescent="0.25">
      <c r="A7" s="39" t="s">
        <v>41</v>
      </c>
      <c r="B7" s="39"/>
      <c r="C7" s="39"/>
      <c r="D7" s="39"/>
      <c r="E7" s="39"/>
      <c r="F7" s="39"/>
      <c r="G7" s="11"/>
      <c r="H7" s="40" t="s">
        <v>43</v>
      </c>
      <c r="I7" s="40"/>
      <c r="J7" s="40"/>
      <c r="K7" s="40"/>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41.75" x14ac:dyDescent="0.25">
      <c r="A9" s="16">
        <v>1</v>
      </c>
      <c r="B9" s="35" t="s">
        <v>30</v>
      </c>
      <c r="C9" s="17"/>
      <c r="D9" s="17"/>
      <c r="E9" s="17"/>
      <c r="F9" s="17"/>
      <c r="G9" s="17"/>
      <c r="H9" s="17"/>
      <c r="I9" s="17"/>
      <c r="J9" s="17"/>
      <c r="K9" s="17"/>
    </row>
    <row r="10" spans="1:16" x14ac:dyDescent="0.25">
      <c r="A10" s="16"/>
      <c r="B10" s="32" t="s">
        <v>31</v>
      </c>
      <c r="C10" s="17">
        <v>1</v>
      </c>
      <c r="D10" s="33">
        <v>6</v>
      </c>
      <c r="E10" s="33">
        <v>1</v>
      </c>
      <c r="F10" s="33">
        <v>1</v>
      </c>
      <c r="G10" s="33">
        <f>PRODUCT(C10:F10)</f>
        <v>6</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6</v>
      </c>
      <c r="H11" s="7" t="s">
        <v>17</v>
      </c>
      <c r="I11" s="6">
        <v>866.66</v>
      </c>
      <c r="J11" s="18">
        <f>G11*I11</f>
        <v>5199.96</v>
      </c>
      <c r="K11" s="5"/>
    </row>
    <row r="12" spans="1:16" x14ac:dyDescent="0.25">
      <c r="A12" s="16"/>
      <c r="B12" s="17"/>
      <c r="C12" s="17"/>
      <c r="D12" s="17"/>
      <c r="E12" s="17"/>
      <c r="F12" s="17"/>
      <c r="G12" s="17"/>
      <c r="H12" s="17"/>
      <c r="I12" s="17"/>
      <c r="J12" s="17"/>
      <c r="K12" s="17"/>
    </row>
    <row r="13" spans="1:16" ht="254.25" customHeight="1" x14ac:dyDescent="0.25">
      <c r="A13" s="16">
        <v>2</v>
      </c>
      <c r="B13" s="35" t="s">
        <v>32</v>
      </c>
      <c r="C13" s="17"/>
      <c r="D13" s="17"/>
      <c r="E13" s="17"/>
      <c r="F13" s="17"/>
      <c r="G13" s="17"/>
      <c r="H13" s="17"/>
      <c r="I13" s="17"/>
      <c r="J13" s="17"/>
      <c r="K13" s="17"/>
    </row>
    <row r="14" spans="1:16" x14ac:dyDescent="0.25">
      <c r="A14" s="16"/>
      <c r="B14" s="32" t="s">
        <v>33</v>
      </c>
      <c r="C14" s="17">
        <v>7</v>
      </c>
      <c r="D14" s="33">
        <v>3</v>
      </c>
      <c r="E14" s="33">
        <v>1</v>
      </c>
      <c r="F14" s="33">
        <v>1</v>
      </c>
      <c r="G14" s="33">
        <f>PRODUCT(C14:F14)</f>
        <v>21</v>
      </c>
      <c r="H14" s="17"/>
      <c r="I14" s="17"/>
      <c r="J14" s="17"/>
      <c r="K14" s="17"/>
      <c r="M14" s="33">
        <f>7</f>
        <v>7</v>
      </c>
      <c r="N14" s="33">
        <f>2</f>
        <v>2</v>
      </c>
      <c r="O14" s="33"/>
      <c r="P14" s="33">
        <f>PI()*M14*SQRT(M14^2+N14^2)</f>
        <v>160.09797821843054</v>
      </c>
    </row>
    <row r="15" spans="1:16" x14ac:dyDescent="0.25">
      <c r="A15" s="16"/>
      <c r="B15" s="32"/>
      <c r="C15" s="17">
        <v>1</v>
      </c>
      <c r="D15" s="33">
        <v>2</v>
      </c>
      <c r="E15" s="33">
        <v>1</v>
      </c>
      <c r="F15" s="33">
        <v>1</v>
      </c>
      <c r="G15" s="33">
        <f>PRODUCT(C15:F15)</f>
        <v>2</v>
      </c>
      <c r="H15" s="17"/>
      <c r="I15" s="17"/>
      <c r="J15" s="17"/>
      <c r="K15" s="17"/>
      <c r="M15" s="36"/>
      <c r="N15" s="36"/>
      <c r="O15" s="36"/>
      <c r="P15" s="36"/>
    </row>
    <row r="16" spans="1:16" ht="15" customHeight="1" x14ac:dyDescent="0.25">
      <c r="A16" s="2"/>
      <c r="B16" s="34" t="s">
        <v>16</v>
      </c>
      <c r="C16" s="3"/>
      <c r="D16" s="4"/>
      <c r="E16" s="5"/>
      <c r="F16" s="5"/>
      <c r="G16" s="6">
        <f>SUM(G14:G15)</f>
        <v>23</v>
      </c>
      <c r="H16" s="7" t="s">
        <v>17</v>
      </c>
      <c r="I16" s="6">
        <v>6421.62</v>
      </c>
      <c r="J16" s="18">
        <f>G16*I16</f>
        <v>147697.26</v>
      </c>
      <c r="K16" s="5"/>
    </row>
    <row r="17" spans="1:17" hidden="1" x14ac:dyDescent="0.25">
      <c r="A17" s="16"/>
      <c r="B17" s="32" t="s">
        <v>27</v>
      </c>
      <c r="C17" s="17"/>
      <c r="D17" s="17"/>
      <c r="E17" s="17"/>
      <c r="F17" s="17"/>
      <c r="G17" s="17"/>
      <c r="H17" s="17"/>
      <c r="I17" s="17"/>
      <c r="J17" s="18">
        <f>0.13*G16*(16299.36/6+16299.36/6+16299.36/6+16299.36/6)/4</f>
        <v>8122.5144</v>
      </c>
      <c r="K17" s="17"/>
    </row>
    <row r="18" spans="1:17" hidden="1" x14ac:dyDescent="0.25">
      <c r="A18" s="16"/>
      <c r="B18" s="32" t="s">
        <v>34</v>
      </c>
      <c r="C18" s="17"/>
      <c r="D18" s="17"/>
      <c r="E18" s="17"/>
      <c r="F18" s="17"/>
      <c r="G18" s="17"/>
      <c r="H18" s="17"/>
      <c r="I18" s="17"/>
      <c r="J18" s="18">
        <f>0.13*G16*(9055.8/6+9346.05/6+10191/6+10185.84/6)/4</f>
        <v>4831.1784625000009</v>
      </c>
      <c r="K18" s="17"/>
    </row>
    <row r="19" spans="1:17" hidden="1" x14ac:dyDescent="0.25">
      <c r="A19" s="16"/>
      <c r="B19" s="32" t="s">
        <v>35</v>
      </c>
      <c r="C19" s="17"/>
      <c r="D19" s="17"/>
      <c r="E19" s="17"/>
      <c r="F19" s="17"/>
      <c r="G19" s="17"/>
      <c r="H19" s="17"/>
      <c r="I19" s="17"/>
      <c r="J19" s="18">
        <f>0.13*G16*(1008.78/6+1145.52/6+1393.2/6+1555.74/6)/4</f>
        <v>635.77864999999997</v>
      </c>
      <c r="K19" s="17"/>
    </row>
    <row r="20" spans="1:17" hidden="1" x14ac:dyDescent="0.25">
      <c r="A20" s="16"/>
      <c r="B20" s="32" t="s">
        <v>36</v>
      </c>
      <c r="C20" s="17"/>
      <c r="D20" s="17"/>
      <c r="E20" s="17"/>
      <c r="F20" s="17"/>
      <c r="G20" s="17"/>
      <c r="H20" s="17"/>
      <c r="I20" s="17"/>
      <c r="J20" s="18">
        <f>0.13*G16*(434.4/6+468/6+600/6+547.2/6)/4</f>
        <v>255.346</v>
      </c>
      <c r="K20" s="17"/>
    </row>
    <row r="21" spans="1:17" x14ac:dyDescent="0.25">
      <c r="A21" s="16"/>
      <c r="B21" s="32"/>
      <c r="C21" s="17"/>
      <c r="D21" s="17"/>
      <c r="E21" s="17"/>
      <c r="F21" s="17"/>
      <c r="G21" s="17"/>
      <c r="H21" s="17"/>
      <c r="I21" s="17"/>
      <c r="J21" s="18"/>
      <c r="K21" s="17"/>
    </row>
    <row r="22" spans="1:17" ht="123" customHeight="1" x14ac:dyDescent="0.25">
      <c r="A22" s="16">
        <v>3</v>
      </c>
      <c r="B22" s="35" t="s">
        <v>37</v>
      </c>
      <c r="C22" s="17"/>
      <c r="D22" s="17"/>
      <c r="E22" s="17"/>
      <c r="F22" s="17"/>
      <c r="G22" s="17"/>
      <c r="H22" s="17"/>
      <c r="I22" s="17"/>
      <c r="J22" s="17"/>
      <c r="K22" s="17"/>
    </row>
    <row r="23" spans="1:17" x14ac:dyDescent="0.25">
      <c r="A23" s="16"/>
      <c r="B23" s="32" t="s">
        <v>38</v>
      </c>
      <c r="C23" s="17">
        <v>1</v>
      </c>
      <c r="D23" s="17">
        <v>6</v>
      </c>
      <c r="E23" s="17"/>
      <c r="F23" s="17">
        <v>2</v>
      </c>
      <c r="G23" s="33">
        <f>PRODUCT(C23:F23)</f>
        <v>12</v>
      </c>
      <c r="H23" s="17"/>
      <c r="I23" s="17"/>
      <c r="J23" s="18"/>
      <c r="K23" s="17"/>
    </row>
    <row r="24" spans="1:17" ht="15" customHeight="1" x14ac:dyDescent="0.25">
      <c r="A24" s="2"/>
      <c r="B24" s="34" t="s">
        <v>16</v>
      </c>
      <c r="C24" s="3"/>
      <c r="D24" s="4"/>
      <c r="E24" s="5"/>
      <c r="F24" s="5"/>
      <c r="G24" s="6">
        <f>SUM(G21:G23)</f>
        <v>12</v>
      </c>
      <c r="H24" s="7" t="s">
        <v>39</v>
      </c>
      <c r="I24" s="6">
        <v>161.58000000000001</v>
      </c>
      <c r="J24" s="18">
        <f>G24*I24</f>
        <v>1938.96</v>
      </c>
      <c r="K24" s="5"/>
    </row>
    <row r="25" spans="1:17" hidden="1" x14ac:dyDescent="0.25">
      <c r="A25" s="16"/>
      <c r="B25" s="32" t="s">
        <v>27</v>
      </c>
      <c r="C25" s="17"/>
      <c r="D25" s="17"/>
      <c r="E25" s="17"/>
      <c r="F25" s="17"/>
      <c r="G25" s="17"/>
      <c r="H25" s="17"/>
      <c r="I25" s="17"/>
      <c r="J25" s="18">
        <f>0.13*G24*45360/300</f>
        <v>235.87200000000001</v>
      </c>
      <c r="K25" s="17"/>
    </row>
    <row r="26" spans="1:17" x14ac:dyDescent="0.25">
      <c r="A26" s="16"/>
      <c r="B26" s="17"/>
      <c r="C26" s="17"/>
      <c r="D26" s="17"/>
      <c r="E26" s="17"/>
      <c r="F26" s="17"/>
      <c r="G26" s="17"/>
      <c r="H26" s="17"/>
      <c r="I26" s="17"/>
      <c r="J26" s="17"/>
      <c r="K26" s="17"/>
    </row>
    <row r="27" spans="1:17" ht="15" customHeight="1" x14ac:dyDescent="0.25">
      <c r="A27" s="2">
        <v>4</v>
      </c>
      <c r="B27" s="1" t="s">
        <v>18</v>
      </c>
      <c r="C27" s="3">
        <v>1</v>
      </c>
      <c r="D27" s="4"/>
      <c r="E27" s="5"/>
      <c r="F27" s="5"/>
      <c r="G27" s="7">
        <f t="shared" ref="G27" si="0">PRODUCT(C27:F27)</f>
        <v>1</v>
      </c>
      <c r="H27" s="7" t="s">
        <v>19</v>
      </c>
      <c r="I27" s="6">
        <v>500</v>
      </c>
      <c r="J27" s="7">
        <f>G27*I27</f>
        <v>500</v>
      </c>
      <c r="K27" s="5"/>
    </row>
    <row r="28" spans="1:17" x14ac:dyDescent="0.25">
      <c r="A28" s="2"/>
      <c r="B28" s="8"/>
      <c r="C28" s="3"/>
      <c r="D28" s="4"/>
      <c r="E28" s="5"/>
      <c r="F28" s="5"/>
      <c r="G28" s="6"/>
      <c r="H28" s="7"/>
      <c r="I28" s="6"/>
      <c r="J28" s="18"/>
      <c r="K28" s="5"/>
    </row>
    <row r="29" spans="1:17" x14ac:dyDescent="0.25">
      <c r="A29" s="21"/>
      <c r="B29" s="22" t="s">
        <v>21</v>
      </c>
      <c r="C29" s="23"/>
      <c r="D29" s="24"/>
      <c r="E29" s="24"/>
      <c r="F29" s="24"/>
      <c r="G29" s="18"/>
      <c r="H29" s="18"/>
      <c r="I29" s="18"/>
      <c r="J29" s="18">
        <f>SUM(J9:J27)</f>
        <v>169416.86951250001</v>
      </c>
      <c r="K29" s="25"/>
    </row>
    <row r="30" spans="1:17" x14ac:dyDescent="0.25">
      <c r="M30" s="20"/>
      <c r="N30" s="20"/>
      <c r="O30" s="20"/>
      <c r="P30" s="20"/>
      <c r="Q30" s="20"/>
    </row>
    <row r="31" spans="1:17" s="20" customFormat="1" hidden="1" x14ac:dyDescent="0.25">
      <c r="A31" s="26"/>
      <c r="B31" s="27" t="s">
        <v>44</v>
      </c>
      <c r="C31" s="37">
        <f>J29</f>
        <v>169416.86951250001</v>
      </c>
      <c r="D31" s="38"/>
      <c r="E31" s="9">
        <v>100</v>
      </c>
      <c r="F31" s="26"/>
      <c r="G31" s="28"/>
      <c r="H31" s="26"/>
      <c r="I31" s="29"/>
      <c r="J31" s="30"/>
      <c r="K31" s="31"/>
      <c r="M31" s="19"/>
      <c r="N31" s="19"/>
      <c r="O31" s="19"/>
      <c r="P31" s="19"/>
      <c r="Q31" s="19"/>
    </row>
    <row r="32" spans="1:17" hidden="1" x14ac:dyDescent="0.25">
      <c r="B32" s="27" t="s">
        <v>22</v>
      </c>
      <c r="C32" s="41">
        <v>150000</v>
      </c>
      <c r="D32" s="42"/>
      <c r="E32" s="9"/>
    </row>
    <row r="33" spans="2:5" hidden="1" x14ac:dyDescent="0.25">
      <c r="B33" s="27" t="s">
        <v>23</v>
      </c>
      <c r="C33" s="41">
        <f>C32-C35-C36</f>
        <v>142500</v>
      </c>
      <c r="D33" s="42"/>
      <c r="E33" s="9">
        <f>C33/C31*100</f>
        <v>84.112048823736515</v>
      </c>
    </row>
    <row r="34" spans="2:5" hidden="1" x14ac:dyDescent="0.25">
      <c r="B34" s="27" t="s">
        <v>28</v>
      </c>
      <c r="C34" s="43">
        <f>C31-C33</f>
        <v>26916.869512500009</v>
      </c>
      <c r="D34" s="43"/>
      <c r="E34" s="9">
        <f>100-E33</f>
        <v>15.887951176263485</v>
      </c>
    </row>
    <row r="35" spans="2:5" hidden="1" x14ac:dyDescent="0.25">
      <c r="B35" s="27" t="s">
        <v>24</v>
      </c>
      <c r="C35" s="37">
        <f>C32*0.03</f>
        <v>4500</v>
      </c>
      <c r="D35" s="38"/>
      <c r="E35" s="9">
        <v>3</v>
      </c>
    </row>
    <row r="36" spans="2:5" hidden="1" x14ac:dyDescent="0.25">
      <c r="B36" s="27" t="s">
        <v>25</v>
      </c>
      <c r="C36" s="37">
        <f>C32*0.02</f>
        <v>3000</v>
      </c>
      <c r="D36" s="38"/>
      <c r="E36" s="9">
        <v>2</v>
      </c>
    </row>
  </sheetData>
  <mergeCells count="15">
    <mergeCell ref="C35:D35"/>
    <mergeCell ref="C36:D36"/>
    <mergeCell ref="A7:F7"/>
    <mergeCell ref="H7:K7"/>
    <mergeCell ref="C31:D31"/>
    <mergeCell ref="C32:D32"/>
    <mergeCell ref="C33:D33"/>
    <mergeCell ref="C34:D34"/>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2"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estimate</vt:lpstr>
      <vt:lpstr>V</vt:lpstr>
      <vt:lpstr>WCR</vt:lpstr>
      <vt:lpstr>M</vt:lpstr>
      <vt:lpstr>estimate!Print_Area</vt:lpstr>
      <vt:lpstr>M!Print_Area</vt:lpstr>
      <vt:lpstr>V!Print_Area</vt:lpstr>
      <vt:lpstr>WCR!Print_Area</vt:lpstr>
      <vt:lpstr>estimate!Print_Titles</vt:lpstr>
      <vt:lpstr>M!Print_Titles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2026-02-04T05:58:06Z</dcterms:modified>
</cp:coreProperties>
</file>