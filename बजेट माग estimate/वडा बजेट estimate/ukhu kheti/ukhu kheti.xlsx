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0" documentId="13_ncr:1_{B8FAAD9F-8893-4C7D-804F-75C2FAB8D90D}" xr6:coauthVersionLast="47" xr6:coauthVersionMax="47" xr10:uidLastSave="{00000000-0000-0000-0000-000000000000}"/>
  <bookViews>
    <workbookView xWindow="-120" yWindow="-120" windowWidth="20730" windowHeight="11040" xr2:uid="{00000000-000D-0000-FFFF-FFFF00000000}"/>
  </bookViews>
  <sheets>
    <sheet name="estimate" sheetId="12"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estimate!$A$1:$K$70</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12" l="1"/>
  <c r="D22" i="12"/>
  <c r="G22" i="12" s="1"/>
  <c r="C13" i="12"/>
  <c r="C12" i="12"/>
  <c r="F12" i="12" s="1"/>
  <c r="G12" i="12" s="1"/>
  <c r="D13" i="12"/>
  <c r="D12" i="12"/>
  <c r="F13" i="12" l="1"/>
  <c r="G13" i="12" s="1"/>
  <c r="C11" i="12" l="1"/>
  <c r="C10" i="12"/>
  <c r="D37" i="12"/>
  <c r="D54" i="12"/>
  <c r="C54" i="12"/>
  <c r="D30" i="12"/>
  <c r="D11" i="12"/>
  <c r="D10" i="12"/>
  <c r="C44" i="12"/>
  <c r="G44" i="12" s="1"/>
  <c r="C43" i="12"/>
  <c r="C37" i="12"/>
  <c r="C46" i="12" s="1"/>
  <c r="C36" i="12"/>
  <c r="C31" i="12"/>
  <c r="C30" i="12"/>
  <c r="C21" i="12"/>
  <c r="C16" i="12"/>
  <c r="C15" i="12"/>
  <c r="C14" i="12"/>
  <c r="E37" i="12"/>
  <c r="E46" i="12"/>
  <c r="D46" i="12"/>
  <c r="B45" i="12"/>
  <c r="E36" i="12"/>
  <c r="E45" i="12" s="1"/>
  <c r="D36" i="12"/>
  <c r="D45" i="12" s="1"/>
  <c r="E21" i="12"/>
  <c r="D21" i="12"/>
  <c r="D16" i="12"/>
  <c r="D15" i="12"/>
  <c r="D14" i="12"/>
  <c r="G36" i="12" l="1"/>
  <c r="G46" i="12"/>
  <c r="C45" i="12"/>
  <c r="G45" i="12" s="1"/>
  <c r="G37" i="12"/>
  <c r="F11" i="12"/>
  <c r="G11" i="12" s="1"/>
  <c r="F15" i="12"/>
  <c r="G15" i="12" s="1"/>
  <c r="G43" i="12"/>
  <c r="E35" i="12"/>
  <c r="D35" i="12"/>
  <c r="C35" i="12"/>
  <c r="B35" i="12"/>
  <c r="B43" i="12" s="1"/>
  <c r="G31" i="12"/>
  <c r="N54" i="12"/>
  <c r="M54" i="12"/>
  <c r="G47" i="12" l="1"/>
  <c r="G35" i="12"/>
  <c r="P54" i="12"/>
  <c r="G38" i="12" l="1"/>
  <c r="G30" i="12"/>
  <c r="G32" i="12" s="1"/>
  <c r="J51" i="12" l="1"/>
  <c r="J50" i="12"/>
  <c r="J48" i="12"/>
  <c r="J49" i="12"/>
  <c r="J40" i="12"/>
  <c r="J39" i="12"/>
  <c r="J47" i="12"/>
  <c r="J32" i="12"/>
  <c r="J38" i="12"/>
  <c r="G21" i="12" l="1"/>
  <c r="G23" i="12" l="1"/>
  <c r="J24" i="12" s="1"/>
  <c r="J25" i="12"/>
  <c r="J27" i="12"/>
  <c r="J26" i="12"/>
  <c r="J23" i="12" l="1"/>
  <c r="G54" i="12"/>
  <c r="G55" i="12" s="1"/>
  <c r="F16" i="12"/>
  <c r="G16" i="12" s="1"/>
  <c r="Q14" i="12"/>
  <c r="R14" i="12" s="1"/>
  <c r="J59" i="12" l="1"/>
  <c r="J57" i="12"/>
  <c r="J56" i="12"/>
  <c r="J58" i="12"/>
  <c r="J55" i="12"/>
  <c r="F10" i="12"/>
  <c r="G10" i="12" s="1"/>
  <c r="G17" i="12" s="1"/>
  <c r="F14" i="12"/>
  <c r="G14" i="12" s="1"/>
  <c r="J17" i="12" l="1"/>
  <c r="J18" i="12" l="1"/>
  <c r="C69" i="12" l="1"/>
  <c r="C70" i="12" l="1"/>
  <c r="C67" i="12" s="1"/>
  <c r="G61" i="12"/>
  <c r="J61" i="12" s="1"/>
  <c r="J63" i="12" s="1"/>
  <c r="C65" i="12" l="1"/>
  <c r="C68" i="12" s="1"/>
  <c r="E67" i="12" l="1"/>
  <c r="E68" i="12" s="1"/>
</calcChain>
</file>

<file path=xl/sharedStrings.xml><?xml version="1.0" encoding="utf-8"?>
<sst xmlns="http://schemas.openxmlformats.org/spreadsheetml/2006/main" count="76" uniqueCount="63">
  <si>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</si>
  <si>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</si>
  <si>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</si>
  <si>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</si>
  <si>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</si>
  <si>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</si>
  <si>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</si>
  <si>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</si>
  <si>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</si>
  <si>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</si>
  <si>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</si>
  <si>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</si>
  <si>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</si>
  <si>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</si>
  <si>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</si>
  <si>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</si>
  <si>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</si>
  <si>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</si>
  <si>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</si>
  <si>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</si>
  <si>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</si>
  <si>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</si>
  <si>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</si>
  <si>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</si>
  <si>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</si>
  <si>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</si>
  <si>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-13% VAT for cement</t>
  </si>
  <si>
    <t>-13% VAT for sand</t>
  </si>
  <si>
    <t>-13% VAT for aggregate</t>
  </si>
  <si>
    <t>-13% VAT for stone</t>
  </si>
  <si>
    <t>-13% VAT for water</t>
  </si>
  <si>
    <t>User contribution</t>
  </si>
  <si>
    <t>sfnf] kmnfd] kfO{ksf] 6«; agfO{ h8fg ug]{ sfd</t>
  </si>
  <si>
    <t>Length (m)</t>
  </si>
  <si>
    <t>Unit length (Kg/m)</t>
  </si>
  <si>
    <t>Total Weight (kg)</t>
  </si>
  <si>
    <t>sub-total</t>
  </si>
  <si>
    <t>Kg</t>
  </si>
  <si>
    <t>-VAT 13% for materials</t>
  </si>
  <si>
    <t>-upper portion</t>
  </si>
  <si>
    <t>sqm</t>
  </si>
  <si>
    <t>-13% VAT for sheet</t>
  </si>
  <si>
    <t>-13% VAT for nut bolt</t>
  </si>
  <si>
    <t>-13% VAT for j-hook</t>
  </si>
  <si>
    <t>-13% VAT for bitumen washer</t>
  </si>
  <si>
    <t>-Masonary wall</t>
  </si>
  <si>
    <t>cum</t>
  </si>
  <si>
    <t>-for footing of vertical post</t>
  </si>
  <si>
    <t>Location:- Shankharapur Municipality 1</t>
  </si>
  <si>
    <t>g/d k|sf/sf] Sn] / l;N6L df6f]df ;j} lsl;dsf] vGg] sfd</t>
  </si>
  <si>
    <t>husf] vf8ndf 9'+uf eg]{ / n]en ug]{ sfddf</t>
  </si>
  <si>
    <t>-13% VAT for block stone</t>
  </si>
  <si>
    <t>-13% VAT for bond stone</t>
  </si>
  <si>
    <t>hu leQf kvf{ndf l;d]G6 s+lqm6 ug]{ sfd -lk=;L=;L= !M@M$_</t>
  </si>
  <si>
    <t>9'Ëfsf] uf/f] df6f] nufpg] sfd</t>
  </si>
  <si>
    <t>-for flooring</t>
  </si>
  <si>
    <t>-deduction for tunnel</t>
  </si>
  <si>
    <t>-MS square pipe of 3" * 3" of 2mm thickness for vertical post</t>
  </si>
  <si>
    <t>-MS square pipe horizontal of 2" * 2" of 2mm thickness for binding post</t>
  </si>
  <si>
    <t>-MS square pipe horizontal of 1.5" * 1.5" of 2mm thickness as purlin  at mid portion of upper part</t>
  </si>
  <si>
    <r>
      <t xml:space="preserve">Project:- </t>
    </r>
    <r>
      <rPr>
        <sz val="12"/>
        <rFont val="Preeti"/>
      </rPr>
      <t>v'bf] ksfpg] el6 r'nf]</t>
    </r>
  </si>
  <si>
    <t>Date:2082/09/13</t>
  </si>
  <si>
    <t>).#^ lblv ).$ dL.dL.afSnf] sf]?u]6]8 /+lug ss{6 kftfsf] 5fgf 5fpg] sfd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</si>
</sst>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b/>
      <sz val="12"/>
      <name val="Preeti"/>
    </font>
    <font>
      <sz val="12"/>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7">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0" fillId="0" borderId="0" xfId="0" applyAlignment="1">
      <alignment vertical="center"/>
    </xf>
    <xf numFmtId="0" fontId="12" fillId="2" borderId="2" xfId="0" applyFont="1" applyFill="1" applyBorder="1" applyAlignment="1">
      <alignment vertical="center" wrapText="1"/>
    </xf>
    <xf numFmtId="2" fontId="2" fillId="0" borderId="2" xfId="1" applyNumberFormat="1" applyFont="1" applyFill="1" applyBorder="1" applyAlignment="1">
      <alignment vertical="center" wrapText="1"/>
    </xf>
    <xf numFmtId="2" fontId="2" fillId="0" borderId="2" xfId="0" applyNumberFormat="1" applyFont="1" applyBorder="1" applyAlignment="1">
      <alignment vertical="center" wrapText="1"/>
    </xf>
    <xf numFmtId="2" fontId="6" fillId="0" borderId="2" xfId="0" applyNumberFormat="1" applyFont="1" applyBorder="1" applyAlignment="1">
      <alignment vertical="center"/>
    </xf>
    <xf numFmtId="0" fontId="2" fillId="0" borderId="2" xfId="0" quotePrefix="1" applyFont="1" applyBorder="1" applyAlignment="1">
      <alignment horizontal="right" vertical="center" wrapText="1"/>
    </xf>
    <xf numFmtId="164" fontId="4" fillId="0" borderId="2" xfId="0" applyNumberFormat="1" applyFont="1" applyBorder="1" applyAlignment="1">
      <alignment vertical="center"/>
    </xf>
    <xf numFmtId="0" fontId="4" fillId="0" borderId="2" xfId="0" quotePrefix="1" applyFont="1" applyBorder="1" applyAlignment="1">
      <alignment wrapText="1"/>
    </xf>
    <xf numFmtId="0" fontId="12" fillId="2" borderId="2" xfId="0" applyFont="1" applyFill="1" applyBorder="1" applyAlignment="1">
      <alignment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0"/>
  <sheetViews>
    <sheetView tabSelected="1" view="pageBreakPreview" topLeftCell="A42" zoomScale="95" zoomScaleNormal="90" zoomScaleSheetLayoutView="95" workbookViewId="0">
      <selection activeCell="I9" sqref="I9"/>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customWidth="1"/>
    <col min="10" max="10" width="10.7109375" style="19" bestFit="1" customWidth="1"/>
    <col min="11" max="12" width="9.140625" style="19"/>
    <col min="13" max="16" width="0" style="19" hidden="1" customWidth="1"/>
    <col min="17" max="16384" width="9.140625" style="19"/>
  </cols>
  <sheetData>
    <row r="1" spans="1:18" x14ac:dyDescent="0.25">
      <c r="A1" s="53" t="s">
        <v>0</v>
      </c>
      <c r="B1" s="53"/>
      <c r="C1" s="53"/>
      <c r="D1" s="53"/>
      <c r="E1" s="53"/>
      <c r="F1" s="53"/>
      <c r="G1" s="53"/>
      <c r="H1" s="53"/>
      <c r="I1" s="53"/>
      <c r="J1" s="53"/>
      <c r="K1" s="53"/>
    </row>
    <row r="2" spans="1:18" ht="22.5" x14ac:dyDescent="0.25">
      <c r="A2" s="54" t="s">
        <v>1</v>
      </c>
      <c r="B2" s="54"/>
      <c r="C2" s="54"/>
      <c r="D2" s="54"/>
      <c r="E2" s="54"/>
      <c r="F2" s="54"/>
      <c r="G2" s="54"/>
      <c r="H2" s="54"/>
      <c r="I2" s="54"/>
      <c r="J2" s="54"/>
      <c r="K2" s="54"/>
    </row>
    <row r="3" spans="1:18" x14ac:dyDescent="0.25">
      <c r="A3" s="55" t="s">
        <v>2</v>
      </c>
      <c r="B3" s="55"/>
      <c r="C3" s="55"/>
      <c r="D3" s="55"/>
      <c r="E3" s="55"/>
      <c r="F3" s="55"/>
      <c r="G3" s="55"/>
      <c r="H3" s="55"/>
      <c r="I3" s="55"/>
      <c r="J3" s="55"/>
      <c r="K3" s="55"/>
    </row>
    <row r="4" spans="1:18" x14ac:dyDescent="0.25">
      <c r="A4" s="55" t="s">
        <v>3</v>
      </c>
      <c r="B4" s="55"/>
      <c r="C4" s="55"/>
      <c r="D4" s="55"/>
      <c r="E4" s="55"/>
      <c r="F4" s="55"/>
      <c r="G4" s="55"/>
      <c r="H4" s="55"/>
      <c r="I4" s="55"/>
      <c r="J4" s="55"/>
      <c r="K4" s="55"/>
    </row>
    <row r="5" spans="1:18" ht="18.75" x14ac:dyDescent="0.3">
      <c r="A5" s="56" t="s">
        <v>4</v>
      </c>
      <c r="B5" s="56"/>
      <c r="C5" s="56"/>
      <c r="D5" s="56"/>
      <c r="E5" s="56"/>
      <c r="F5" s="56"/>
      <c r="G5" s="56"/>
      <c r="H5" s="56"/>
      <c r="I5" s="56"/>
      <c r="J5" s="56"/>
      <c r="K5" s="56"/>
    </row>
    <row r="6" spans="1:18" ht="15.75" x14ac:dyDescent="0.25">
      <c r="A6" s="51" t="s">
        <v>60</v>
      </c>
      <c r="B6" s="51"/>
      <c r="C6" s="51"/>
      <c r="D6" s="51"/>
      <c r="E6" s="51"/>
      <c r="F6" s="51"/>
      <c r="G6" s="10"/>
      <c r="H6" s="52" t="s">
        <v>25</v>
      </c>
      <c r="I6" s="52"/>
      <c r="J6" s="52"/>
      <c r="K6" s="52"/>
    </row>
    <row r="7" spans="1:18" ht="15.75" x14ac:dyDescent="0.25">
      <c r="A7" s="46" t="s">
        <v>48</v>
      </c>
      <c r="B7" s="46"/>
      <c r="C7" s="46"/>
      <c r="D7" s="46"/>
      <c r="E7" s="46"/>
      <c r="F7" s="46"/>
      <c r="G7" s="11"/>
      <c r="H7" s="47" t="s">
        <v>61</v>
      </c>
      <c r="I7" s="47"/>
      <c r="J7" s="47"/>
      <c r="K7" s="47"/>
    </row>
    <row r="8" spans="1:18" ht="15.75" x14ac:dyDescent="0.25">
      <c r="A8" s="12" t="s">
        <v>5</v>
      </c>
      <c r="B8" s="13" t="s">
        <v>6</v>
      </c>
      <c r="C8" s="12" t="s">
        <v>7</v>
      </c>
      <c r="D8" s="14" t="s">
        <v>8</v>
      </c>
      <c r="E8" s="14" t="s">
        <v>9</v>
      </c>
      <c r="F8" s="14" t="s">
        <v>10</v>
      </c>
      <c r="G8" s="14" t="s">
        <v>11</v>
      </c>
      <c r="H8" s="12" t="s">
        <v>12</v>
      </c>
      <c r="I8" s="14" t="s">
        <v>13</v>
      </c>
      <c r="J8" s="14" t="s">
        <v>14</v>
      </c>
      <c r="K8" s="15" t="s">
        <v>15</v>
      </c>
    </row>
    <row r="9" spans="1:18" s="35" customFormat="1" ht="45" x14ac:dyDescent="0.25">
      <c r="A9" s="2">
        <v>1</v>
      </c>
      <c r="B9" s="36" t="s">
        <v>32</v>
      </c>
      <c r="C9" s="3" t="s">
        <v>7</v>
      </c>
      <c r="D9" s="37" t="s">
        <v>33</v>
      </c>
      <c r="E9" s="38" t="s">
        <v>34</v>
      </c>
      <c r="F9" s="38" t="s">
        <v>35</v>
      </c>
      <c r="G9" s="38"/>
      <c r="H9" s="7"/>
      <c r="I9" s="6"/>
      <c r="J9" s="39"/>
      <c r="K9" s="5"/>
    </row>
    <row r="10" spans="1:18" s="35" customFormat="1" ht="30" x14ac:dyDescent="0.25">
      <c r="A10" s="16"/>
      <c r="B10" s="40" t="s">
        <v>57</v>
      </c>
      <c r="C10" s="41">
        <f>2*3</f>
        <v>6</v>
      </c>
      <c r="D10" s="9">
        <f>(11+1+2)/3.281</f>
        <v>4.2669917708015843</v>
      </c>
      <c r="E10" s="9">
        <v>4.4000000000000004</v>
      </c>
      <c r="F10" s="9">
        <f t="shared" ref="F10:F14" si="0">PRODUCT(C10:E10)</f>
        <v>112.64858274916183</v>
      </c>
      <c r="G10" s="9">
        <f t="shared" ref="G10:G14" si="1">F10</f>
        <v>112.64858274916183</v>
      </c>
      <c r="H10" s="39"/>
      <c r="I10" s="39"/>
      <c r="J10" s="39"/>
      <c r="K10" s="27"/>
    </row>
    <row r="11" spans="1:18" s="35" customFormat="1" x14ac:dyDescent="0.25">
      <c r="A11" s="16"/>
      <c r="B11" s="40"/>
      <c r="C11" s="41">
        <f>2*3</f>
        <v>6</v>
      </c>
      <c r="D11" s="9">
        <f>(11+1+1+2)/3.281</f>
        <v>4.5717768972874122</v>
      </c>
      <c r="E11" s="9">
        <v>4.4000000000000004</v>
      </c>
      <c r="F11" s="9">
        <f t="shared" ref="F11:F12" si="2">PRODUCT(C11:E11)</f>
        <v>120.69491008838769</v>
      </c>
      <c r="G11" s="9">
        <f t="shared" ref="G11:G12" si="3">F11</f>
        <v>120.69491008838769</v>
      </c>
      <c r="H11" s="39"/>
      <c r="I11" s="39"/>
      <c r="J11" s="39"/>
      <c r="K11" s="27"/>
    </row>
    <row r="12" spans="1:18" s="35" customFormat="1" x14ac:dyDescent="0.25">
      <c r="A12" s="16"/>
      <c r="B12" s="40"/>
      <c r="C12" s="41">
        <f>2</f>
        <v>2</v>
      </c>
      <c r="D12" s="9">
        <f>(11+1+2)/3.281</f>
        <v>4.2669917708015843</v>
      </c>
      <c r="E12" s="9">
        <v>4.4000000000000004</v>
      </c>
      <c r="F12" s="9">
        <f t="shared" si="2"/>
        <v>37.549527583053944</v>
      </c>
      <c r="G12" s="9">
        <f t="shared" si="3"/>
        <v>37.549527583053944</v>
      </c>
      <c r="H12" s="39"/>
      <c r="I12" s="39"/>
      <c r="J12" s="39"/>
      <c r="K12" s="27"/>
    </row>
    <row r="13" spans="1:18" s="35" customFormat="1" x14ac:dyDescent="0.25">
      <c r="A13" s="16"/>
      <c r="B13" s="40"/>
      <c r="C13" s="41">
        <f>2</f>
        <v>2</v>
      </c>
      <c r="D13" s="9">
        <f>(11+1+1+2)/3.281</f>
        <v>4.5717768972874122</v>
      </c>
      <c r="E13" s="9">
        <v>4.4000000000000004</v>
      </c>
      <c r="F13" s="9">
        <f t="shared" ref="F13" si="4">PRODUCT(C13:E13)</f>
        <v>40.231636696129229</v>
      </c>
      <c r="G13" s="9">
        <f t="shared" ref="G13" si="5">F13</f>
        <v>40.231636696129229</v>
      </c>
      <c r="H13" s="39"/>
      <c r="I13" s="39"/>
      <c r="J13" s="39"/>
      <c r="K13" s="27"/>
    </row>
    <row r="14" spans="1:18" s="35" customFormat="1" ht="45" x14ac:dyDescent="0.25">
      <c r="A14" s="16"/>
      <c r="B14" s="40" t="s">
        <v>58</v>
      </c>
      <c r="C14" s="41">
        <f>2*(2+1)</f>
        <v>6</v>
      </c>
      <c r="D14" s="9">
        <f>(12+3)/3.281</f>
        <v>4.5717768972874122</v>
      </c>
      <c r="E14" s="9">
        <v>3.01</v>
      </c>
      <c r="F14" s="9">
        <f t="shared" si="0"/>
        <v>82.566290765010663</v>
      </c>
      <c r="G14" s="9">
        <f t="shared" si="1"/>
        <v>82.566290765010663</v>
      </c>
      <c r="H14" s="39"/>
      <c r="I14" s="39"/>
      <c r="J14" s="39"/>
      <c r="K14" s="27"/>
      <c r="Q14" s="35">
        <f>PRODUCT(C14:D14)</f>
        <v>27.430661383724473</v>
      </c>
      <c r="R14" s="35">
        <f>CONVERT(Q14,"m","ft")</f>
        <v>89.995608214319134</v>
      </c>
    </row>
    <row r="15" spans="1:18" s="35" customFormat="1" x14ac:dyDescent="0.25">
      <c r="A15" s="16"/>
      <c r="B15" s="40"/>
      <c r="C15" s="41">
        <f>2*(2+1)</f>
        <v>6</v>
      </c>
      <c r="D15" s="9">
        <f>(10+3)/3.281</f>
        <v>3.9622066443157573</v>
      </c>
      <c r="E15" s="9">
        <v>3.01</v>
      </c>
      <c r="F15" s="9">
        <f t="shared" ref="F15" si="6">PRODUCT(C15:E15)</f>
        <v>71.557451996342579</v>
      </c>
      <c r="G15" s="9">
        <f t="shared" ref="G15" si="7">F15</f>
        <v>71.557451996342579</v>
      </c>
      <c r="H15" s="39"/>
      <c r="I15" s="39"/>
      <c r="J15" s="39"/>
      <c r="K15" s="27"/>
    </row>
    <row r="16" spans="1:18" s="35" customFormat="1" ht="45" x14ac:dyDescent="0.25">
      <c r="A16" s="16"/>
      <c r="B16" s="40" t="s">
        <v>59</v>
      </c>
      <c r="C16" s="41">
        <f>2*2</f>
        <v>4</v>
      </c>
      <c r="D16" s="9">
        <f>(12+3)/3.281</f>
        <v>4.5717768972874122</v>
      </c>
      <c r="E16" s="9">
        <v>2.2599999999999998</v>
      </c>
      <c r="F16" s="9">
        <f t="shared" ref="F16" si="8">PRODUCT(C16:E16)</f>
        <v>41.328863151478203</v>
      </c>
      <c r="G16" s="9">
        <f t="shared" ref="G16" si="9">F16</f>
        <v>41.328863151478203</v>
      </c>
      <c r="H16" s="39"/>
      <c r="I16" s="39"/>
      <c r="J16" s="39"/>
      <c r="K16" s="27"/>
    </row>
    <row r="17" spans="1:11" s="35" customFormat="1" x14ac:dyDescent="0.25">
      <c r="A17" s="2"/>
      <c r="B17" s="40" t="s">
        <v>36</v>
      </c>
      <c r="C17" s="3"/>
      <c r="D17" s="4"/>
      <c r="E17" s="5"/>
      <c r="F17" s="5"/>
      <c r="G17" s="39">
        <f>SUM(G10:G16)</f>
        <v>506.57726302956416</v>
      </c>
      <c r="H17" s="7" t="s">
        <v>37</v>
      </c>
      <c r="I17" s="6">
        <v>182.51</v>
      </c>
      <c r="J17" s="39">
        <f>G17*I17</f>
        <v>92455.416275525757</v>
      </c>
      <c r="K17" s="5"/>
    </row>
    <row r="18" spans="1:11" s="35" customFormat="1" x14ac:dyDescent="0.25">
      <c r="A18" s="2"/>
      <c r="B18" s="40" t="s">
        <v>38</v>
      </c>
      <c r="C18" s="3"/>
      <c r="D18" s="4"/>
      <c r="E18" s="5"/>
      <c r="F18" s="5"/>
      <c r="G18" s="39"/>
      <c r="H18" s="7"/>
      <c r="I18" s="6"/>
      <c r="J18" s="39">
        <f>0.13*G17*(1871.42/18.94)</f>
        <v>6506.9929675418325</v>
      </c>
      <c r="K18" s="5"/>
    </row>
    <row r="19" spans="1:11" s="35" customFormat="1" x14ac:dyDescent="0.25">
      <c r="A19" s="2"/>
      <c r="B19" s="40"/>
      <c r="C19" s="3"/>
      <c r="D19" s="4"/>
      <c r="E19" s="5"/>
      <c r="F19" s="5"/>
      <c r="G19" s="39"/>
      <c r="H19" s="7"/>
      <c r="I19" s="6"/>
      <c r="J19" s="39"/>
      <c r="K19" s="5"/>
    </row>
    <row r="20" spans="1:11" s="35" customFormat="1" ht="45" x14ac:dyDescent="0.25">
      <c r="A20" s="2">
        <v>2</v>
      </c>
      <c r="B20" s="36" t="s">
        <v>62</v>
      </c>
      <c r="C20" s="3"/>
      <c r="D20" s="4"/>
      <c r="E20" s="5"/>
      <c r="F20" s="5"/>
      <c r="G20" s="39"/>
      <c r="H20" s="7"/>
      <c r="I20" s="6"/>
      <c r="J20" s="39"/>
      <c r="K20" s="5"/>
    </row>
    <row r="21" spans="1:11" s="35" customFormat="1" x14ac:dyDescent="0.25">
      <c r="A21" s="2"/>
      <c r="B21" s="40" t="s">
        <v>39</v>
      </c>
      <c r="C21" s="3">
        <f>2*1</f>
        <v>2</v>
      </c>
      <c r="D21" s="4">
        <f>(10+3)/3.281</f>
        <v>3.9622066443157573</v>
      </c>
      <c r="E21" s="5">
        <f>(12+3)/3.281</f>
        <v>4.5717768972874122</v>
      </c>
      <c r="F21" s="5"/>
      <c r="G21" s="33">
        <f t="shared" ref="G21" si="10">PRODUCT(C21:F21)</f>
        <v>36.228649597522924</v>
      </c>
      <c r="H21" s="7"/>
      <c r="I21" s="6"/>
      <c r="J21" s="39"/>
      <c r="K21" s="5"/>
    </row>
    <row r="22" spans="1:11" s="35" customFormat="1" x14ac:dyDescent="0.25">
      <c r="A22" s="2"/>
      <c r="B22" s="40"/>
      <c r="C22" s="3">
        <v>1</v>
      </c>
      <c r="D22" s="4">
        <f>(10+3)/3.281</f>
        <v>3.9622066443157573</v>
      </c>
      <c r="E22" s="5">
        <f>(10+3)/3.281</f>
        <v>3.9622066443157573</v>
      </c>
      <c r="F22" s="5"/>
      <c r="G22" s="33">
        <f t="shared" ref="G22" si="11">PRODUCT(C22:F22)</f>
        <v>15.699081492259934</v>
      </c>
      <c r="H22" s="7"/>
      <c r="I22" s="6"/>
      <c r="J22" s="39"/>
      <c r="K22" s="5"/>
    </row>
    <row r="23" spans="1:11" s="35" customFormat="1" x14ac:dyDescent="0.25">
      <c r="A23" s="2"/>
      <c r="B23" s="40" t="s">
        <v>36</v>
      </c>
      <c r="C23" s="3"/>
      <c r="D23" s="4"/>
      <c r="E23" s="5"/>
      <c r="F23" s="5"/>
      <c r="G23" s="39">
        <f>SUM(G21:G22)</f>
        <v>51.92773108978286</v>
      </c>
      <c r="H23" s="7" t="s">
        <v>40</v>
      </c>
      <c r="I23" s="6">
        <v>1074.98</v>
      </c>
      <c r="J23" s="39">
        <f>G23*I23</f>
        <v>55821.27236689478</v>
      </c>
      <c r="K23" s="5"/>
    </row>
    <row r="24" spans="1:11" x14ac:dyDescent="0.25">
      <c r="A24" s="16"/>
      <c r="B24" s="32" t="s">
        <v>41</v>
      </c>
      <c r="C24" s="17"/>
      <c r="D24" s="17"/>
      <c r="E24" s="17"/>
      <c r="F24" s="17"/>
      <c r="G24" s="17"/>
      <c r="H24" s="17"/>
      <c r="I24" s="17"/>
      <c r="J24" s="18">
        <f>0.13*G23*6674.66/10</f>
        <v>4505.7993447444915</v>
      </c>
      <c r="K24" s="17"/>
    </row>
    <row r="25" spans="1:11" x14ac:dyDescent="0.25">
      <c r="A25" s="16"/>
      <c r="B25" s="32" t="s">
        <v>42</v>
      </c>
      <c r="C25" s="17"/>
      <c r="D25" s="17"/>
      <c r="E25" s="17"/>
      <c r="F25" s="17"/>
      <c r="G25" s="17"/>
      <c r="H25" s="17"/>
      <c r="I25" s="17"/>
      <c r="J25" s="18">
        <f>0.13*G23*1023.75/10</f>
        <v>691.09319114114771</v>
      </c>
      <c r="K25" s="17"/>
    </row>
    <row r="26" spans="1:11" x14ac:dyDescent="0.25">
      <c r="A26" s="16"/>
      <c r="B26" s="32" t="s">
        <v>43</v>
      </c>
      <c r="C26" s="17"/>
      <c r="D26" s="17"/>
      <c r="E26" s="17"/>
      <c r="F26" s="17"/>
      <c r="G26" s="17"/>
      <c r="H26" s="17"/>
      <c r="I26" s="17"/>
      <c r="J26" s="18">
        <f>0.13*G23*348.21/10</f>
        <v>235.06281815605274</v>
      </c>
      <c r="K26" s="17"/>
    </row>
    <row r="27" spans="1:11" x14ac:dyDescent="0.25">
      <c r="A27" s="16"/>
      <c r="B27" s="32" t="s">
        <v>44</v>
      </c>
      <c r="C27" s="17"/>
      <c r="D27" s="17"/>
      <c r="E27" s="17"/>
      <c r="F27" s="17"/>
      <c r="G27" s="17"/>
      <c r="H27" s="17"/>
      <c r="I27" s="17"/>
      <c r="J27" s="18">
        <f>0.13*G23*165/10</f>
        <v>111.38498318758425</v>
      </c>
      <c r="K27" s="17"/>
    </row>
    <row r="28" spans="1:11" x14ac:dyDescent="0.25">
      <c r="A28" s="16"/>
      <c r="B28" s="32"/>
      <c r="C28" s="17"/>
      <c r="D28" s="17"/>
      <c r="E28" s="17"/>
      <c r="F28" s="17"/>
      <c r="G28" s="17"/>
      <c r="H28" s="17"/>
      <c r="I28" s="17"/>
      <c r="J28" s="18"/>
      <c r="K28" s="17"/>
    </row>
    <row r="29" spans="1:11" ht="30.75" x14ac:dyDescent="0.25">
      <c r="A29" s="16">
        <v>3</v>
      </c>
      <c r="B29" s="43" t="s">
        <v>49</v>
      </c>
      <c r="C29" s="17"/>
      <c r="D29" s="17"/>
      <c r="E29" s="17"/>
      <c r="F29" s="17"/>
      <c r="G29" s="17"/>
      <c r="H29" s="17"/>
      <c r="I29" s="17"/>
      <c r="J29" s="18"/>
      <c r="K29" s="17"/>
    </row>
    <row r="30" spans="1:11" x14ac:dyDescent="0.25">
      <c r="A30" s="16"/>
      <c r="B30" s="32" t="s">
        <v>45</v>
      </c>
      <c r="C30" s="17">
        <f>2*2</f>
        <v>4</v>
      </c>
      <c r="D30" s="33">
        <f>8/3.281</f>
        <v>2.4382810118866196</v>
      </c>
      <c r="E30" s="17">
        <v>0.45</v>
      </c>
      <c r="F30" s="17">
        <v>0.9</v>
      </c>
      <c r="G30" s="33">
        <f t="shared" ref="G30:G31" si="12">PRODUCT(C30:F30)</f>
        <v>3.9500152392563237</v>
      </c>
      <c r="H30" s="17"/>
      <c r="I30" s="17"/>
      <c r="J30" s="18"/>
      <c r="K30" s="17"/>
    </row>
    <row r="31" spans="1:11" x14ac:dyDescent="0.25">
      <c r="A31" s="16"/>
      <c r="B31" s="32" t="s">
        <v>47</v>
      </c>
      <c r="C31" s="17">
        <f>2*4</f>
        <v>8</v>
      </c>
      <c r="D31" s="33">
        <v>0.6</v>
      </c>
      <c r="E31" s="17">
        <v>0.6</v>
      </c>
      <c r="F31" s="17">
        <v>0.6</v>
      </c>
      <c r="G31" s="33">
        <f t="shared" si="12"/>
        <v>1.728</v>
      </c>
      <c r="H31" s="17"/>
      <c r="I31" s="17"/>
      <c r="J31" s="18"/>
      <c r="K31" s="17"/>
    </row>
    <row r="32" spans="1:11" s="35" customFormat="1" x14ac:dyDescent="0.25">
      <c r="A32" s="2"/>
      <c r="B32" s="40" t="s">
        <v>36</v>
      </c>
      <c r="C32" s="3"/>
      <c r="D32" s="4"/>
      <c r="E32" s="5"/>
      <c r="F32" s="5"/>
      <c r="G32" s="39">
        <f>SUM(G30:G31)</f>
        <v>5.6780152392563235</v>
      </c>
      <c r="H32" s="7" t="s">
        <v>46</v>
      </c>
      <c r="I32" s="6">
        <v>674.12</v>
      </c>
      <c r="J32" s="39">
        <f>G32*I32</f>
        <v>3827.6636330874726</v>
      </c>
      <c r="K32" s="5"/>
    </row>
    <row r="33" spans="1:11" x14ac:dyDescent="0.25">
      <c r="A33" s="16"/>
      <c r="B33" s="32"/>
      <c r="C33" s="17"/>
      <c r="D33" s="17"/>
      <c r="E33" s="17"/>
      <c r="F33" s="17"/>
      <c r="G33" s="17"/>
      <c r="H33" s="17"/>
      <c r="I33" s="17"/>
      <c r="J33" s="18"/>
      <c r="K33" s="17"/>
    </row>
    <row r="34" spans="1:11" ht="30.75" x14ac:dyDescent="0.25">
      <c r="A34" s="16">
        <v>4</v>
      </c>
      <c r="B34" s="43" t="s">
        <v>50</v>
      </c>
      <c r="C34" s="17"/>
      <c r="D34" s="17"/>
      <c r="E34" s="17"/>
      <c r="F34" s="17"/>
      <c r="G34" s="17"/>
      <c r="H34" s="17"/>
      <c r="I34" s="17"/>
      <c r="J34" s="18"/>
      <c r="K34" s="17"/>
    </row>
    <row r="35" spans="1:11" x14ac:dyDescent="0.25">
      <c r="A35" s="16"/>
      <c r="B35" s="32" t="str">
        <f>B31</f>
        <v>-for footing of vertical post</v>
      </c>
      <c r="C35" s="17">
        <f>C31</f>
        <v>8</v>
      </c>
      <c r="D35" s="33">
        <f>D31</f>
        <v>0.6</v>
      </c>
      <c r="E35" s="33">
        <f>E31</f>
        <v>0.6</v>
      </c>
      <c r="F35" s="33">
        <v>0.15</v>
      </c>
      <c r="G35" s="33">
        <f t="shared" ref="G35:G37" si="13">PRODUCT(C35:F35)</f>
        <v>0.432</v>
      </c>
      <c r="H35" s="17"/>
      <c r="I35" s="17"/>
      <c r="J35" s="18"/>
      <c r="K35" s="17"/>
    </row>
    <row r="36" spans="1:11" x14ac:dyDescent="0.25">
      <c r="A36" s="16"/>
      <c r="B36" s="32" t="s">
        <v>55</v>
      </c>
      <c r="C36" s="17">
        <f>2*1</f>
        <v>2</v>
      </c>
      <c r="D36" s="33">
        <f>10/3.281</f>
        <v>3.047851264858275</v>
      </c>
      <c r="E36" s="33">
        <f>12/3.281</f>
        <v>3.6574215178299299</v>
      </c>
      <c r="F36" s="33">
        <v>0.15</v>
      </c>
      <c r="G36" s="33">
        <f t="shared" si="13"/>
        <v>3.3441830397713472</v>
      </c>
      <c r="H36" s="17"/>
      <c r="I36" s="17"/>
      <c r="J36" s="18"/>
      <c r="K36" s="17"/>
    </row>
    <row r="37" spans="1:11" x14ac:dyDescent="0.25">
      <c r="A37" s="16"/>
      <c r="B37" s="32" t="s">
        <v>56</v>
      </c>
      <c r="C37" s="17">
        <f>2*-1</f>
        <v>-2</v>
      </c>
      <c r="D37" s="33">
        <f>8/3.281</f>
        <v>2.4382810118866196</v>
      </c>
      <c r="E37" s="33">
        <f>0.6+0.45+0.45</f>
        <v>1.5</v>
      </c>
      <c r="F37" s="33">
        <v>0.15</v>
      </c>
      <c r="G37" s="33">
        <f t="shared" si="13"/>
        <v>-1.0972264553489788</v>
      </c>
      <c r="H37" s="17"/>
      <c r="I37" s="17"/>
      <c r="J37" s="18"/>
      <c r="K37" s="17"/>
    </row>
    <row r="38" spans="1:11" s="35" customFormat="1" x14ac:dyDescent="0.25">
      <c r="A38" s="2"/>
      <c r="B38" s="40" t="s">
        <v>36</v>
      </c>
      <c r="C38" s="3"/>
      <c r="D38" s="4"/>
      <c r="E38" s="5"/>
      <c r="F38" s="5"/>
      <c r="G38" s="39">
        <f>SUM(G35:G37)</f>
        <v>2.6789565844223686</v>
      </c>
      <c r="H38" s="7" t="s">
        <v>46</v>
      </c>
      <c r="I38" s="6">
        <v>4495.6400000000003</v>
      </c>
      <c r="J38" s="39">
        <f>G38*I38</f>
        <v>12043.624379192579</v>
      </c>
      <c r="K38" s="5"/>
    </row>
    <row r="39" spans="1:11" x14ac:dyDescent="0.25">
      <c r="A39" s="16"/>
      <c r="B39" s="32" t="s">
        <v>51</v>
      </c>
      <c r="C39" s="17"/>
      <c r="D39" s="17"/>
      <c r="E39" s="17"/>
      <c r="F39" s="17"/>
      <c r="G39" s="17"/>
      <c r="H39" s="17"/>
      <c r="I39" s="17"/>
      <c r="J39" s="18">
        <f>0.13*G38*2577.63</f>
        <v>897.69665189160207</v>
      </c>
      <c r="K39" s="17"/>
    </row>
    <row r="40" spans="1:11" x14ac:dyDescent="0.25">
      <c r="A40" s="16"/>
      <c r="B40" s="32" t="s">
        <v>52</v>
      </c>
      <c r="C40" s="17"/>
      <c r="D40" s="17"/>
      <c r="E40" s="17"/>
      <c r="F40" s="17"/>
      <c r="G40" s="17"/>
      <c r="H40" s="17"/>
      <c r="I40" s="17"/>
      <c r="J40" s="18">
        <f>0.13*G38*515.52</f>
        <v>179.53724079218455</v>
      </c>
      <c r="K40" s="17"/>
    </row>
    <row r="41" spans="1:11" x14ac:dyDescent="0.25">
      <c r="A41" s="16"/>
      <c r="B41" s="42"/>
      <c r="C41" s="17"/>
      <c r="D41" s="17"/>
      <c r="E41" s="17"/>
      <c r="F41" s="17"/>
      <c r="G41" s="17"/>
      <c r="H41" s="17"/>
      <c r="I41" s="17"/>
      <c r="J41" s="18"/>
      <c r="K41" s="17"/>
    </row>
    <row r="42" spans="1:11" ht="30.75" x14ac:dyDescent="0.25">
      <c r="A42" s="16">
        <v>5</v>
      </c>
      <c r="B42" s="43" t="s">
        <v>53</v>
      </c>
      <c r="C42" s="17"/>
      <c r="D42" s="17"/>
      <c r="E42" s="17"/>
      <c r="F42" s="17"/>
      <c r="G42" s="17"/>
      <c r="H42" s="17"/>
      <c r="I42" s="17"/>
      <c r="J42" s="17"/>
      <c r="K42" s="17"/>
    </row>
    <row r="43" spans="1:11" x14ac:dyDescent="0.25">
      <c r="A43" s="16"/>
      <c r="B43" s="32" t="str">
        <f>B35</f>
        <v>-for footing of vertical post</v>
      </c>
      <c r="C43" s="17">
        <f>2*4</f>
        <v>8</v>
      </c>
      <c r="D43" s="33">
        <v>0.6</v>
      </c>
      <c r="E43" s="17">
        <v>0.6</v>
      </c>
      <c r="F43" s="33">
        <v>7.4999999999999997E-2</v>
      </c>
      <c r="G43" s="33">
        <f t="shared" ref="G43" si="14">PRODUCT(C43:F43)</f>
        <v>0.216</v>
      </c>
      <c r="H43" s="17"/>
      <c r="I43" s="17"/>
      <c r="J43" s="18"/>
      <c r="K43" s="17"/>
    </row>
    <row r="44" spans="1:11" x14ac:dyDescent="0.25">
      <c r="A44" s="16"/>
      <c r="B44" s="32"/>
      <c r="C44" s="17">
        <f>2*4</f>
        <v>8</v>
      </c>
      <c r="D44" s="33">
        <v>0.45</v>
      </c>
      <c r="E44" s="17">
        <v>0.45</v>
      </c>
      <c r="F44" s="33">
        <v>0.45</v>
      </c>
      <c r="G44" s="33">
        <f t="shared" ref="G44:G46" si="15">PRODUCT(C44:F44)</f>
        <v>0.72900000000000009</v>
      </c>
      <c r="H44" s="17"/>
      <c r="I44" s="17"/>
      <c r="J44" s="18"/>
      <c r="K44" s="17"/>
    </row>
    <row r="45" spans="1:11" x14ac:dyDescent="0.25">
      <c r="A45" s="16"/>
      <c r="B45" s="32" t="str">
        <f>B36</f>
        <v>-for flooring</v>
      </c>
      <c r="C45" s="17">
        <f>C36</f>
        <v>2</v>
      </c>
      <c r="D45" s="33">
        <f>D36</f>
        <v>3.047851264858275</v>
      </c>
      <c r="E45" s="33">
        <f>E36</f>
        <v>3.6574215178299299</v>
      </c>
      <c r="F45" s="33">
        <v>0.1</v>
      </c>
      <c r="G45" s="33">
        <f t="shared" si="15"/>
        <v>2.2294553598475648</v>
      </c>
      <c r="H45" s="17"/>
      <c r="I45" s="17"/>
      <c r="J45" s="18"/>
      <c r="K45" s="17"/>
    </row>
    <row r="46" spans="1:11" x14ac:dyDescent="0.25">
      <c r="A46" s="16"/>
      <c r="B46" s="32" t="s">
        <v>56</v>
      </c>
      <c r="C46" s="17">
        <f>C37</f>
        <v>-2</v>
      </c>
      <c r="D46" s="33">
        <f>12/3.281</f>
        <v>3.6574215178299299</v>
      </c>
      <c r="E46" s="33">
        <f>0.6+0.45+0.45</f>
        <v>1.5</v>
      </c>
      <c r="F46" s="33">
        <v>0.1</v>
      </c>
      <c r="G46" s="33">
        <f t="shared" si="15"/>
        <v>-1.097226455348979</v>
      </c>
      <c r="H46" s="17"/>
      <c r="I46" s="17"/>
      <c r="J46" s="18"/>
      <c r="K46" s="17"/>
    </row>
    <row r="47" spans="1:11" s="35" customFormat="1" x14ac:dyDescent="0.25">
      <c r="A47" s="2"/>
      <c r="B47" s="40" t="s">
        <v>36</v>
      </c>
      <c r="C47" s="3"/>
      <c r="D47" s="4"/>
      <c r="E47" s="5"/>
      <c r="F47" s="5"/>
      <c r="G47" s="39">
        <f>SUM(G43:G46)</f>
        <v>2.0772289044985861</v>
      </c>
      <c r="H47" s="7" t="s">
        <v>46</v>
      </c>
      <c r="I47" s="6">
        <v>13351.1</v>
      </c>
      <c r="J47" s="39">
        <f>G47*I47</f>
        <v>27733.290826851073</v>
      </c>
      <c r="K47" s="5"/>
    </row>
    <row r="48" spans="1:11" x14ac:dyDescent="0.25">
      <c r="A48" s="16"/>
      <c r="B48" s="32" t="s">
        <v>26</v>
      </c>
      <c r="C48" s="17"/>
      <c r="D48" s="17"/>
      <c r="E48" s="17"/>
      <c r="F48" s="17"/>
      <c r="G48" s="17"/>
      <c r="H48" s="17"/>
      <c r="I48" s="17"/>
      <c r="J48" s="18">
        <f>0.13*G47*4169.92</f>
        <v>1126.0441859480768</v>
      </c>
      <c r="K48" s="17"/>
    </row>
    <row r="49" spans="1:19" x14ac:dyDescent="0.25">
      <c r="A49" s="16"/>
      <c r="B49" s="32" t="s">
        <v>27</v>
      </c>
      <c r="C49" s="17"/>
      <c r="D49" s="17"/>
      <c r="E49" s="17"/>
      <c r="F49" s="17"/>
      <c r="G49" s="17"/>
      <c r="H49" s="17"/>
      <c r="I49" s="17"/>
      <c r="J49" s="18">
        <f>0.13*G47*1414.16</f>
        <v>381.87942358614367</v>
      </c>
      <c r="K49" s="17"/>
    </row>
    <row r="50" spans="1:19" x14ac:dyDescent="0.25">
      <c r="A50" s="16"/>
      <c r="B50" s="32" t="s">
        <v>28</v>
      </c>
      <c r="C50" s="17"/>
      <c r="D50" s="17"/>
      <c r="E50" s="17"/>
      <c r="F50" s="17"/>
      <c r="G50" s="17"/>
      <c r="H50" s="17"/>
      <c r="I50" s="17"/>
      <c r="J50" s="18">
        <f>0.13*G47*(1652.5+737.97+349.56)</f>
        <v>739.91703697512401</v>
      </c>
      <c r="K50" s="17"/>
    </row>
    <row r="51" spans="1:19" x14ac:dyDescent="0.25">
      <c r="A51" s="16"/>
      <c r="B51" s="32" t="s">
        <v>30</v>
      </c>
      <c r="C51" s="17"/>
      <c r="D51" s="17"/>
      <c r="E51" s="17"/>
      <c r="F51" s="17"/>
      <c r="G51" s="17"/>
      <c r="H51" s="17"/>
      <c r="I51" s="17"/>
      <c r="J51" s="18">
        <f>0.13*G47*42</f>
        <v>11.341669818562281</v>
      </c>
      <c r="K51" s="17"/>
    </row>
    <row r="52" spans="1:19" x14ac:dyDescent="0.25">
      <c r="A52" s="16"/>
      <c r="B52" s="32"/>
      <c r="C52" s="17"/>
      <c r="D52" s="17"/>
      <c r="E52" s="17"/>
      <c r="F52" s="17"/>
      <c r="G52" s="17"/>
      <c r="H52" s="17"/>
      <c r="I52" s="17"/>
      <c r="J52" s="18"/>
      <c r="K52" s="17"/>
    </row>
    <row r="53" spans="1:19" ht="15.75" x14ac:dyDescent="0.25">
      <c r="A53" s="16">
        <v>6</v>
      </c>
      <c r="B53" s="43" t="s">
        <v>54</v>
      </c>
      <c r="C53" s="17"/>
      <c r="D53" s="17"/>
      <c r="E53" s="17"/>
      <c r="F53" s="17"/>
      <c r="G53" s="17"/>
      <c r="H53" s="17"/>
      <c r="I53" s="17"/>
      <c r="J53" s="17"/>
      <c r="K53" s="17"/>
    </row>
    <row r="54" spans="1:19" x14ac:dyDescent="0.25">
      <c r="A54" s="16"/>
      <c r="B54" s="32" t="s">
        <v>45</v>
      </c>
      <c r="C54" s="17">
        <f>2*2</f>
        <v>4</v>
      </c>
      <c r="D54" s="33">
        <f>8/3.281</f>
        <v>2.4382810118866196</v>
      </c>
      <c r="E54" s="33">
        <v>0.45</v>
      </c>
      <c r="F54" s="33">
        <v>0.9</v>
      </c>
      <c r="G54" s="33">
        <f>PRODUCT(C54:F54)</f>
        <v>3.9500152392563237</v>
      </c>
      <c r="H54" s="17"/>
      <c r="I54" s="17"/>
      <c r="J54" s="17"/>
      <c r="K54" s="17"/>
      <c r="M54" s="33">
        <f>7</f>
        <v>7</v>
      </c>
      <c r="N54" s="33">
        <f>2</f>
        <v>2</v>
      </c>
      <c r="O54" s="33"/>
      <c r="P54" s="33">
        <f>PI()*M54*SQRT(M54^2+N54^2)</f>
        <v>160.09797821843054</v>
      </c>
    </row>
    <row r="55" spans="1:19" ht="15" customHeight="1" x14ac:dyDescent="0.25">
      <c r="A55" s="2"/>
      <c r="B55" s="34" t="s">
        <v>16</v>
      </c>
      <c r="C55" s="3"/>
      <c r="D55" s="4"/>
      <c r="E55" s="5"/>
      <c r="F55" s="5"/>
      <c r="G55" s="6">
        <f>SUM(G54:G54)</f>
        <v>3.9500152392563237</v>
      </c>
      <c r="H55" s="7" t="s">
        <v>46</v>
      </c>
      <c r="I55" s="6">
        <v>6337.3</v>
      </c>
      <c r="J55" s="18">
        <f>G55*I55</f>
        <v>25032.431575739101</v>
      </c>
      <c r="K55" s="5"/>
    </row>
    <row r="56" spans="1:19" x14ac:dyDescent="0.25">
      <c r="A56" s="16"/>
      <c r="B56" s="32" t="s">
        <v>51</v>
      </c>
      <c r="C56" s="17"/>
      <c r="D56" s="17"/>
      <c r="E56" s="17"/>
      <c r="F56" s="17"/>
      <c r="G56" s="17"/>
      <c r="H56" s="17"/>
      <c r="I56" s="17"/>
      <c r="J56" s="18">
        <f>0.13*G55*2577.63</f>
        <v>1323.6181115513564</v>
      </c>
      <c r="K56" s="17"/>
    </row>
    <row r="57" spans="1:19" x14ac:dyDescent="0.25">
      <c r="A57" s="16"/>
      <c r="B57" s="32" t="s">
        <v>52</v>
      </c>
      <c r="C57" s="17"/>
      <c r="D57" s="17"/>
      <c r="E57" s="17"/>
      <c r="F57" s="17"/>
      <c r="G57" s="17"/>
      <c r="H57" s="17"/>
      <c r="I57" s="17"/>
      <c r="J57" s="18">
        <f>0.13*G55*257.76</f>
        <v>132.3602706491923</v>
      </c>
      <c r="K57" s="17"/>
    </row>
    <row r="58" spans="1:19" x14ac:dyDescent="0.25">
      <c r="A58" s="16"/>
      <c r="B58" s="32" t="s">
        <v>29</v>
      </c>
      <c r="C58" s="17"/>
      <c r="D58" s="17"/>
      <c r="E58" s="17"/>
      <c r="F58" s="17"/>
      <c r="G58" s="17"/>
      <c r="H58" s="17"/>
      <c r="I58" s="17"/>
      <c r="J58" s="18">
        <f>0.13*G55*133.56</f>
        <v>68.583324596159699</v>
      </c>
      <c r="K58" s="17"/>
    </row>
    <row r="59" spans="1:19" x14ac:dyDescent="0.25">
      <c r="A59" s="16"/>
      <c r="B59" s="32" t="s">
        <v>30</v>
      </c>
      <c r="C59" s="17"/>
      <c r="D59" s="17"/>
      <c r="E59" s="17"/>
      <c r="F59" s="17"/>
      <c r="G59" s="17"/>
      <c r="H59" s="17"/>
      <c r="I59" s="17"/>
      <c r="J59" s="18">
        <f>0.13*G55*19.6</f>
        <v>10.064638829625114</v>
      </c>
      <c r="K59" s="17"/>
    </row>
    <row r="60" spans="1:19" x14ac:dyDescent="0.25">
      <c r="A60" s="16"/>
      <c r="B60" s="32"/>
      <c r="C60" s="17"/>
      <c r="D60" s="17"/>
      <c r="E60" s="17"/>
      <c r="F60" s="17"/>
      <c r="G60" s="17"/>
      <c r="H60" s="17"/>
      <c r="I60" s="17"/>
      <c r="J60" s="18"/>
      <c r="K60" s="17"/>
    </row>
    <row r="61" spans="1:19" ht="15" customHeight="1" x14ac:dyDescent="0.25">
      <c r="A61" s="2">
        <v>7</v>
      </c>
      <c r="B61" s="1" t="s">
        <v>17</v>
      </c>
      <c r="C61" s="3">
        <v>1</v>
      </c>
      <c r="D61" s="4"/>
      <c r="E61" s="5"/>
      <c r="F61" s="5"/>
      <c r="G61" s="7">
        <f t="shared" ref="G61" si="16">PRODUCT(C61:F61)</f>
        <v>1</v>
      </c>
      <c r="H61" s="7" t="s">
        <v>18</v>
      </c>
      <c r="I61" s="6">
        <v>1000</v>
      </c>
      <c r="J61" s="7">
        <f>G61*I61</f>
        <v>1000</v>
      </c>
      <c r="K61" s="5"/>
    </row>
    <row r="62" spans="1:19" x14ac:dyDescent="0.25">
      <c r="A62" s="2"/>
      <c r="B62" s="8"/>
      <c r="C62" s="3"/>
      <c r="D62" s="4"/>
      <c r="E62" s="5"/>
      <c r="F62" s="5"/>
      <c r="G62" s="6"/>
      <c r="H62" s="7"/>
      <c r="I62" s="6"/>
      <c r="J62" s="18"/>
      <c r="K62" s="5"/>
    </row>
    <row r="63" spans="1:19" x14ac:dyDescent="0.25">
      <c r="A63" s="21"/>
      <c r="B63" s="22" t="s">
        <v>20</v>
      </c>
      <c r="C63" s="23"/>
      <c r="D63" s="24"/>
      <c r="E63" s="24"/>
      <c r="F63" s="24"/>
      <c r="G63" s="18"/>
      <c r="H63" s="18"/>
      <c r="I63" s="18"/>
      <c r="J63" s="18">
        <f>SUM(J9:J61)</f>
        <v>234835.07491669987</v>
      </c>
      <c r="K63" s="25"/>
    </row>
    <row r="64" spans="1:19" x14ac:dyDescent="0.25">
      <c r="M64" s="20"/>
      <c r="N64" s="20"/>
      <c r="O64" s="20"/>
      <c r="P64" s="20"/>
      <c r="Q64" s="20"/>
      <c r="R64" s="20"/>
      <c r="S64" s="20"/>
    </row>
    <row r="65" spans="1:19" s="20" customFormat="1" x14ac:dyDescent="0.25">
      <c r="A65" s="26"/>
      <c r="B65" s="27" t="s">
        <v>19</v>
      </c>
      <c r="C65" s="44">
        <f>J63</f>
        <v>234835.07491669987</v>
      </c>
      <c r="D65" s="45"/>
      <c r="E65" s="9">
        <v>100</v>
      </c>
      <c r="F65" s="26"/>
      <c r="G65" s="28"/>
      <c r="H65" s="26"/>
      <c r="I65" s="29"/>
      <c r="J65" s="30"/>
      <c r="K65" s="31"/>
      <c r="M65" s="19"/>
      <c r="N65" s="19"/>
      <c r="O65" s="19"/>
      <c r="P65" s="19"/>
      <c r="Q65" s="19"/>
      <c r="R65" s="19"/>
      <c r="S65" s="19"/>
    </row>
    <row r="66" spans="1:19" x14ac:dyDescent="0.25">
      <c r="B66" s="27" t="s">
        <v>21</v>
      </c>
      <c r="C66" s="48">
        <v>200000</v>
      </c>
      <c r="D66" s="49"/>
      <c r="E66" s="9"/>
    </row>
    <row r="67" spans="1:19" x14ac:dyDescent="0.25">
      <c r="B67" s="27" t="s">
        <v>22</v>
      </c>
      <c r="C67" s="48">
        <f>C66-C69-C70</f>
        <v>190000</v>
      </c>
      <c r="D67" s="49"/>
      <c r="E67" s="9">
        <f>C67/C65*100</f>
        <v>80.907845673137345</v>
      </c>
    </row>
    <row r="68" spans="1:19" x14ac:dyDescent="0.25">
      <c r="B68" s="27" t="s">
        <v>31</v>
      </c>
      <c r="C68" s="50">
        <f>C65-C67</f>
        <v>44835.074916699872</v>
      </c>
      <c r="D68" s="50"/>
      <c r="E68" s="9">
        <f>100-E67</f>
        <v>19.092154326862655</v>
      </c>
    </row>
    <row r="69" spans="1:19" x14ac:dyDescent="0.25">
      <c r="B69" s="27" t="s">
        <v>23</v>
      </c>
      <c r="C69" s="44">
        <f>C66*0.03</f>
        <v>6000</v>
      </c>
      <c r="D69" s="45"/>
      <c r="E69" s="9">
        <v>3</v>
      </c>
    </row>
    <row r="70" spans="1:19" x14ac:dyDescent="0.25">
      <c r="B70" s="27" t="s">
        <v>24</v>
      </c>
      <c r="C70" s="44">
        <f>C66*0.02</f>
        <v>4000</v>
      </c>
      <c r="D70" s="45"/>
      <c r="E70" s="9">
        <v>2</v>
      </c>
    </row>
  </sheetData>
  <mergeCells count="15">
    <mergeCell ref="A6:F6"/>
    <mergeCell ref="H6:K6"/>
    <mergeCell ref="A1:K1"/>
    <mergeCell ref="A2:K2"/>
    <mergeCell ref="A3:K3"/>
    <mergeCell ref="A4:K4"/>
    <mergeCell ref="A5:K5"/>
    <mergeCell ref="C69:D69"/>
    <mergeCell ref="C70:D70"/>
    <mergeCell ref="A7:F7"/>
    <mergeCell ref="H7:K7"/>
    <mergeCell ref="C65:D65"/>
    <mergeCell ref="C66:D66"/>
    <mergeCell ref="C67:D67"/>
    <mergeCell ref="C68:D68"/>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45"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2025-12-29T07:13:54Z</dcterms:modified>
</cp:coreProperties>
</file>