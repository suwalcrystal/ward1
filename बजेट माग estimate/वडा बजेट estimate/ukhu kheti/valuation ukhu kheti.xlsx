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F1BEA951-EC57-45DA-AC2A-308901476F3C}" xr6:coauthVersionLast="47" xr6:coauthVersionMax="47" xr10:uidLastSave="{00000000-0000-0000-0000-000000000000}"/>
  <bookViews>
    <workbookView xWindow="-120" yWindow="-120" windowWidth="20730" windowHeight="11040" activeTab="3" xr2:uid="{00000000-000D-0000-FFFF-FFFF00000000}"/>
  </bookViews>
  <sheets>
    <sheet name="estimate" sheetId="12" r:id="rId1"/>
    <sheet name="V" sheetId="13" r:id="rId2"/>
    <sheet name="WCR" sheetId="14" r:id="rId3"/>
    <sheet name="M" sheetId="15" r:id="rId4"/>
  </sheets>
  <externalReferences>
    <externalReference r:id="rId5"/>
    <externalReference r:id="rId6"/>
    <externalReference r:id="rId7"/>
    <externalReference r:id="rId8"/>
    <externalReference r:id="rId9"/>
    <externalReference r:id="rId10"/>
    <externalReference r:id="rId11"/>
  </externalReferences>
  <definedNames>
    <definedName name="description_103">[1]Abstract!$B$16</definedName>
    <definedName name="description_124" localSheetId="0">#REF!</definedName>
    <definedName name="description_124" localSheetId="3">#REF!</definedName>
    <definedName name="description_124" localSheetId="1">#REF!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3">#REF!</definedName>
    <definedName name="description_310" localSheetId="1">#REF!</definedName>
    <definedName name="description_310" localSheetId="2">[4]Abstract!$B$60</definedName>
    <definedName name="description_310">#REF!</definedName>
    <definedName name="description_312" localSheetId="0">#REF!</definedName>
    <definedName name="description_312" localSheetId="3">#REF!</definedName>
    <definedName name="description_312" localSheetId="1">#REF!</definedName>
    <definedName name="description_312" localSheetId="2">[5]Abstract!$B$61</definedName>
    <definedName name="description_312">#REF!</definedName>
    <definedName name="description_5">[1]Abstract!$B$171</definedName>
    <definedName name="description_6" localSheetId="0">#REF!</definedName>
    <definedName name="description_6" localSheetId="3">#REF!</definedName>
    <definedName name="description_6" localSheetId="1">#REF!</definedName>
    <definedName name="description_6" localSheetId="2">[4]Abstract!$B$172</definedName>
    <definedName name="description_6">#REF!</definedName>
    <definedName name="description_759">[1]Abstract!$B$278</definedName>
    <definedName name="description_781" localSheetId="0">#REF!</definedName>
    <definedName name="description_781" localSheetId="3">#REF!</definedName>
    <definedName name="description_781" localSheetId="1">#REF!</definedName>
    <definedName name="description_781" localSheetId="2">[6]Abstract!$B$299</definedName>
    <definedName name="description_781">#REF!</definedName>
    <definedName name="description_783">[1]Abstract!$B$301</definedName>
    <definedName name="description_784">[3]Abstract!$B$300</definedName>
    <definedName name="_xlnm.Print_Area" localSheetId="0">estimate!$A$1:$K$70</definedName>
    <definedName name="_xlnm.Print_Area" localSheetId="3">M!$A$1:$K$89</definedName>
    <definedName name="_xlnm.Print_Area" localSheetId="1">V!$A$1:$K$89</definedName>
    <definedName name="_xlnm.Print_Area" localSheetId="2">WCR!$A$1:$K$42</definedName>
    <definedName name="_xlnm.Print_Titles" localSheetId="0">estimate!$1:$8</definedName>
    <definedName name="_xlnm.Print_Titles" localSheetId="3">M!$1:$8</definedName>
    <definedName name="_xlnm.Print_Titles" localSheetId="1">V!$1:$8</definedName>
    <definedName name="_xlnm.Print_Titles" localSheetId="2">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9" i="15" l="1"/>
  <c r="C88" i="15"/>
  <c r="C86" i="15" s="1"/>
  <c r="G80" i="15"/>
  <c r="J80" i="15" s="1"/>
  <c r="G73" i="15"/>
  <c r="D73" i="15"/>
  <c r="N72" i="15"/>
  <c r="M72" i="15"/>
  <c r="P72" i="15" s="1"/>
  <c r="G72" i="15"/>
  <c r="G74" i="15" s="1"/>
  <c r="G64" i="15"/>
  <c r="E63" i="15"/>
  <c r="G63" i="15" s="1"/>
  <c r="G62" i="15"/>
  <c r="G61" i="15"/>
  <c r="B61" i="15"/>
  <c r="B60" i="15"/>
  <c r="G54" i="15"/>
  <c r="G53" i="15"/>
  <c r="E52" i="15"/>
  <c r="D52" i="15"/>
  <c r="C52" i="15"/>
  <c r="G52" i="15" s="1"/>
  <c r="E51" i="15"/>
  <c r="D51" i="15"/>
  <c r="C51" i="15"/>
  <c r="G51" i="15" s="1"/>
  <c r="G50" i="15"/>
  <c r="E50" i="15"/>
  <c r="D50" i="15"/>
  <c r="C50" i="15"/>
  <c r="E49" i="15"/>
  <c r="D49" i="15"/>
  <c r="B49" i="15"/>
  <c r="D45" i="15"/>
  <c r="G45" i="15" s="1"/>
  <c r="D44" i="15"/>
  <c r="G44" i="15" s="1"/>
  <c r="E43" i="15"/>
  <c r="D43" i="15"/>
  <c r="G43" i="15" s="1"/>
  <c r="C42" i="15"/>
  <c r="D41" i="15"/>
  <c r="G41" i="15" s="1"/>
  <c r="G33" i="15"/>
  <c r="E33" i="15"/>
  <c r="D33" i="15"/>
  <c r="E32" i="15"/>
  <c r="D32" i="15"/>
  <c r="G32" i="15" s="1"/>
  <c r="E31" i="15"/>
  <c r="D31" i="15"/>
  <c r="G31" i="15" s="1"/>
  <c r="G34" i="15" s="1"/>
  <c r="D26" i="15"/>
  <c r="F26" i="15" s="1"/>
  <c r="G26" i="15" s="1"/>
  <c r="D25" i="15"/>
  <c r="F25" i="15" s="1"/>
  <c r="G25" i="15" s="1"/>
  <c r="D24" i="15"/>
  <c r="F24" i="15" s="1"/>
  <c r="G24" i="15" s="1"/>
  <c r="D23" i="15"/>
  <c r="F23" i="15" s="1"/>
  <c r="G23" i="15" s="1"/>
  <c r="D22" i="15"/>
  <c r="F22" i="15" s="1"/>
  <c r="G22" i="15" s="1"/>
  <c r="D21" i="15"/>
  <c r="F21" i="15" s="1"/>
  <c r="G21" i="15" s="1"/>
  <c r="F20" i="15"/>
  <c r="G20" i="15" s="1"/>
  <c r="D20" i="15"/>
  <c r="D19" i="15"/>
  <c r="F19" i="15" s="1"/>
  <c r="G19" i="15" s="1"/>
  <c r="D18" i="15"/>
  <c r="F18" i="15" s="1"/>
  <c r="G18" i="15" s="1"/>
  <c r="F17" i="15"/>
  <c r="G17" i="15" s="1"/>
  <c r="F16" i="15"/>
  <c r="G16" i="15" s="1"/>
  <c r="D15" i="15"/>
  <c r="F15" i="15" s="1"/>
  <c r="G15" i="15" s="1"/>
  <c r="F14" i="15"/>
  <c r="G14" i="15" s="1"/>
  <c r="F13" i="15"/>
  <c r="G13" i="15" s="1"/>
  <c r="F12" i="15"/>
  <c r="G12" i="15" s="1"/>
  <c r="D11" i="15"/>
  <c r="F11" i="15" s="1"/>
  <c r="G11" i="15" s="1"/>
  <c r="D10" i="15"/>
  <c r="F10" i="15" s="1"/>
  <c r="G10" i="15" s="1"/>
  <c r="G27" i="13"/>
  <c r="G34" i="13"/>
  <c r="G46" i="13"/>
  <c r="G55" i="13"/>
  <c r="G65" i="13"/>
  <c r="G74" i="13"/>
  <c r="D33" i="13"/>
  <c r="E32" i="13"/>
  <c r="D32" i="13"/>
  <c r="E33" i="13"/>
  <c r="G64" i="13"/>
  <c r="D22" i="13"/>
  <c r="G54" i="13"/>
  <c r="G53" i="13"/>
  <c r="D73" i="13"/>
  <c r="G73" i="13" s="1"/>
  <c r="D45" i="13"/>
  <c r="G45" i="13" s="1"/>
  <c r="D44" i="13"/>
  <c r="G44" i="13" s="1"/>
  <c r="D20" i="13"/>
  <c r="D26" i="13"/>
  <c r="F26" i="13" s="1"/>
  <c r="G26" i="13" s="1"/>
  <c r="D25" i="13"/>
  <c r="F25" i="13" s="1"/>
  <c r="G25" i="13" s="1"/>
  <c r="D24" i="13"/>
  <c r="F24" i="13"/>
  <c r="G24" i="13" s="1"/>
  <c r="D23" i="13"/>
  <c r="F23" i="13" s="1"/>
  <c r="G23" i="13" s="1"/>
  <c r="D31" i="13"/>
  <c r="H40" i="14"/>
  <c r="E40" i="14"/>
  <c r="C40" i="14"/>
  <c r="B40" i="14"/>
  <c r="A40" i="14"/>
  <c r="H34" i="14"/>
  <c r="E34" i="14"/>
  <c r="C34" i="14"/>
  <c r="B36" i="14"/>
  <c r="B37" i="14"/>
  <c r="B38" i="14"/>
  <c r="B35" i="14"/>
  <c r="B34" i="14"/>
  <c r="A34" i="14"/>
  <c r="H28" i="14"/>
  <c r="E28" i="14"/>
  <c r="C28" i="14"/>
  <c r="B30" i="14"/>
  <c r="B31" i="14"/>
  <c r="B32" i="14"/>
  <c r="B29" i="14"/>
  <c r="B28" i="14"/>
  <c r="A28" i="14"/>
  <c r="H24" i="14"/>
  <c r="E24" i="14"/>
  <c r="C24" i="14"/>
  <c r="B26" i="14"/>
  <c r="B25" i="14"/>
  <c r="B24" i="14"/>
  <c r="A24" i="14"/>
  <c r="H22" i="14"/>
  <c r="E22" i="14"/>
  <c r="C22" i="14"/>
  <c r="B22" i="14"/>
  <c r="A22" i="14"/>
  <c r="H16" i="14"/>
  <c r="E16" i="14"/>
  <c r="C16" i="14"/>
  <c r="B18" i="14"/>
  <c r="B19" i="14"/>
  <c r="B20" i="14"/>
  <c r="B17" i="14"/>
  <c r="B16" i="14"/>
  <c r="A16" i="14"/>
  <c r="H13" i="14"/>
  <c r="B14" i="14"/>
  <c r="E13" i="14"/>
  <c r="C13" i="14"/>
  <c r="B13" i="14"/>
  <c r="A13" i="14"/>
  <c r="A9" i="14"/>
  <c r="J74" i="15" l="1"/>
  <c r="J75" i="15"/>
  <c r="J76" i="15"/>
  <c r="J77" i="15"/>
  <c r="J78" i="15"/>
  <c r="C49" i="15"/>
  <c r="G49" i="15" s="1"/>
  <c r="G55" i="15" s="1"/>
  <c r="G42" i="15"/>
  <c r="G46" i="15" s="1"/>
  <c r="J46" i="15" s="1"/>
  <c r="C60" i="15"/>
  <c r="G60" i="15" s="1"/>
  <c r="G65" i="15" s="1"/>
  <c r="J37" i="15"/>
  <c r="J34" i="15"/>
  <c r="J35" i="15"/>
  <c r="J36" i="15"/>
  <c r="J38" i="15"/>
  <c r="G27" i="15"/>
  <c r="G33" i="13"/>
  <c r="J56" i="15" l="1"/>
  <c r="J57" i="15"/>
  <c r="J55" i="15"/>
  <c r="J67" i="15"/>
  <c r="J68" i="15"/>
  <c r="J69" i="15"/>
  <c r="J66" i="15"/>
  <c r="J65" i="15"/>
  <c r="J28" i="15"/>
  <c r="J27" i="15"/>
  <c r="J82" i="15" s="1"/>
  <c r="C84" i="15" s="1"/>
  <c r="E86" i="15" l="1"/>
  <c r="E87" i="15" s="1"/>
  <c r="C87" i="15"/>
  <c r="F22" i="13"/>
  <c r="G22" i="13" s="1"/>
  <c r="D21" i="13"/>
  <c r="F21" i="13" s="1"/>
  <c r="G21" i="13" s="1"/>
  <c r="F20" i="13"/>
  <c r="G20" i="13" s="1"/>
  <c r="D52" i="13" l="1"/>
  <c r="C52" i="13"/>
  <c r="C51" i="13"/>
  <c r="D51" i="13"/>
  <c r="E51" i="13"/>
  <c r="E50" i="13"/>
  <c r="D50" i="13"/>
  <c r="C50" i="13"/>
  <c r="E43" i="13"/>
  <c r="D43" i="13"/>
  <c r="C42" i="13"/>
  <c r="C60" i="13" s="1"/>
  <c r="G60" i="13" s="1"/>
  <c r="G62" i="13"/>
  <c r="E31" i="13"/>
  <c r="D19" i="13"/>
  <c r="F19" i="13" s="1"/>
  <c r="G19" i="13" s="1"/>
  <c r="D18" i="13"/>
  <c r="F18" i="13" s="1"/>
  <c r="G18" i="13" s="1"/>
  <c r="F17" i="13"/>
  <c r="G17" i="13" s="1"/>
  <c r="D15" i="13"/>
  <c r="F15" i="13" s="1"/>
  <c r="G15" i="13" s="1"/>
  <c r="F16" i="13"/>
  <c r="G16" i="13" s="1"/>
  <c r="F14" i="13"/>
  <c r="G14" i="13" s="1"/>
  <c r="F13" i="13"/>
  <c r="G13" i="13" s="1"/>
  <c r="F12" i="13"/>
  <c r="G12" i="13" s="1"/>
  <c r="D11" i="13"/>
  <c r="F11" i="13" s="1"/>
  <c r="G11" i="13" s="1"/>
  <c r="D10" i="13"/>
  <c r="F10" i="13" s="1"/>
  <c r="G10" i="13" s="1"/>
  <c r="C89" i="13"/>
  <c r="C88" i="13"/>
  <c r="G80" i="13"/>
  <c r="N72" i="13"/>
  <c r="M72" i="13"/>
  <c r="G72" i="13"/>
  <c r="E63" i="13"/>
  <c r="E52" i="13" s="1"/>
  <c r="B61" i="13"/>
  <c r="E49" i="13"/>
  <c r="D49" i="13"/>
  <c r="B49" i="13"/>
  <c r="B60" i="13" s="1"/>
  <c r="D41" i="13"/>
  <c r="E22" i="12"/>
  <c r="D22" i="12"/>
  <c r="G22" i="12" s="1"/>
  <c r="C13" i="12"/>
  <c r="C12" i="12"/>
  <c r="D13" i="12"/>
  <c r="D12" i="12"/>
  <c r="F12" i="12" l="1"/>
  <c r="G12" i="12" s="1"/>
  <c r="G51" i="13"/>
  <c r="G43" i="13"/>
  <c r="J75" i="13"/>
  <c r="I35" i="14" s="1"/>
  <c r="G13" i="14"/>
  <c r="I13" i="14" s="1"/>
  <c r="J80" i="13"/>
  <c r="G40" i="14"/>
  <c r="I40" i="14" s="1"/>
  <c r="C86" i="13"/>
  <c r="P72" i="13"/>
  <c r="G41" i="13"/>
  <c r="G31" i="13"/>
  <c r="G61" i="13"/>
  <c r="G50" i="13"/>
  <c r="G32" i="13"/>
  <c r="G52" i="13"/>
  <c r="G63" i="13"/>
  <c r="C49" i="13"/>
  <c r="G49" i="13" s="1"/>
  <c r="G42" i="13"/>
  <c r="F13" i="12"/>
  <c r="G13" i="12" s="1"/>
  <c r="J76" i="13" l="1"/>
  <c r="I36" i="14" s="1"/>
  <c r="G28" i="14"/>
  <c r="I28" i="14" s="1"/>
  <c r="G24" i="14"/>
  <c r="I24" i="14" s="1"/>
  <c r="J46" i="13"/>
  <c r="G34" i="14"/>
  <c r="I34" i="14" s="1"/>
  <c r="J77" i="13"/>
  <c r="I37" i="14" s="1"/>
  <c r="J78" i="13"/>
  <c r="I38" i="14" s="1"/>
  <c r="J74" i="13"/>
  <c r="G16" i="14"/>
  <c r="I16" i="14" s="1"/>
  <c r="C11" i="12"/>
  <c r="C10" i="12"/>
  <c r="D37" i="12"/>
  <c r="D54" i="12"/>
  <c r="C54" i="12"/>
  <c r="D30" i="12"/>
  <c r="D11" i="12"/>
  <c r="D10" i="12"/>
  <c r="C44" i="12"/>
  <c r="G44" i="12" s="1"/>
  <c r="C43" i="12"/>
  <c r="C37" i="12"/>
  <c r="C46" i="12" s="1"/>
  <c r="C36" i="12"/>
  <c r="C31" i="12"/>
  <c r="C30" i="12"/>
  <c r="C21" i="12"/>
  <c r="C16" i="12"/>
  <c r="C15" i="12"/>
  <c r="C14" i="12"/>
  <c r="E37" i="12"/>
  <c r="E46" i="12"/>
  <c r="D46" i="12"/>
  <c r="B45" i="12"/>
  <c r="E36" i="12"/>
  <c r="E45" i="12" s="1"/>
  <c r="D36" i="12"/>
  <c r="D45" i="12" s="1"/>
  <c r="E21" i="12"/>
  <c r="D21" i="12"/>
  <c r="D16" i="12"/>
  <c r="D15" i="12"/>
  <c r="D14" i="12"/>
  <c r="J55" i="13" l="1"/>
  <c r="G22" i="14"/>
  <c r="I22" i="14" s="1"/>
  <c r="J56" i="13"/>
  <c r="I25" i="14" s="1"/>
  <c r="J57" i="13"/>
  <c r="I26" i="14" s="1"/>
  <c r="J27" i="13"/>
  <c r="J28" i="13"/>
  <c r="I14" i="14" s="1"/>
  <c r="J67" i="13"/>
  <c r="I30" i="14" s="1"/>
  <c r="J66" i="13"/>
  <c r="I29" i="14" s="1"/>
  <c r="J65" i="13"/>
  <c r="J68" i="13"/>
  <c r="I31" i="14" s="1"/>
  <c r="J69" i="13"/>
  <c r="I32" i="14" s="1"/>
  <c r="J37" i="13"/>
  <c r="I19" i="14" s="1"/>
  <c r="J38" i="13"/>
  <c r="I20" i="14" s="1"/>
  <c r="J36" i="13"/>
  <c r="I18" i="14" s="1"/>
  <c r="J35" i="13"/>
  <c r="I17" i="14" s="1"/>
  <c r="J34" i="13"/>
  <c r="G36" i="12"/>
  <c r="G46" i="12"/>
  <c r="C45" i="12"/>
  <c r="G45" i="12" s="1"/>
  <c r="G37" i="12"/>
  <c r="F11" i="12"/>
  <c r="G11" i="12" s="1"/>
  <c r="F15" i="12"/>
  <c r="G15" i="12" s="1"/>
  <c r="G43" i="12"/>
  <c r="E35" i="12"/>
  <c r="D35" i="12"/>
  <c r="C35" i="12"/>
  <c r="B35" i="12"/>
  <c r="B43" i="12" s="1"/>
  <c r="G31" i="12"/>
  <c r="N54" i="12"/>
  <c r="M54" i="12"/>
  <c r="I42" i="14" l="1"/>
  <c r="J82" i="13"/>
  <c r="C84" i="13" s="1"/>
  <c r="G47" i="12"/>
  <c r="D28" i="14" s="1"/>
  <c r="F28" i="14" s="1"/>
  <c r="G35" i="12"/>
  <c r="P54" i="12"/>
  <c r="J28" i="14" l="1"/>
  <c r="M28" i="14"/>
  <c r="J6" i="14"/>
  <c r="C87" i="13"/>
  <c r="E86" i="13"/>
  <c r="E87" i="13" s="1"/>
  <c r="G38" i="12"/>
  <c r="D24" i="14" s="1"/>
  <c r="F24" i="14" s="1"/>
  <c r="G30" i="12"/>
  <c r="G32" i="12" s="1"/>
  <c r="D22" i="14" s="1"/>
  <c r="F22" i="14" s="1"/>
  <c r="J24" i="14" l="1"/>
  <c r="M24" i="14"/>
  <c r="J22" i="14"/>
  <c r="M22" i="14"/>
  <c r="J51" i="12"/>
  <c r="F32" i="14" s="1"/>
  <c r="J50" i="12"/>
  <c r="F31" i="14" s="1"/>
  <c r="J48" i="12"/>
  <c r="F29" i="14" s="1"/>
  <c r="J49" i="12"/>
  <c r="F30" i="14" s="1"/>
  <c r="J40" i="12"/>
  <c r="F26" i="14" s="1"/>
  <c r="J39" i="12"/>
  <c r="F25" i="14" s="1"/>
  <c r="J47" i="12"/>
  <c r="J32" i="12"/>
  <c r="J38" i="12"/>
  <c r="J32" i="14" l="1"/>
  <c r="M32" i="14"/>
  <c r="J31" i="14"/>
  <c r="M31" i="14"/>
  <c r="J29" i="14"/>
  <c r="M29" i="14"/>
  <c r="J30" i="14"/>
  <c r="M30" i="14"/>
  <c r="J26" i="14"/>
  <c r="M26" i="14"/>
  <c r="J25" i="14"/>
  <c r="M25" i="14"/>
  <c r="G21" i="12"/>
  <c r="G23" i="12" l="1"/>
  <c r="J24" i="12" l="1"/>
  <c r="F17" i="14" s="1"/>
  <c r="J25" i="12"/>
  <c r="F18" i="14" s="1"/>
  <c r="J27" i="12"/>
  <c r="F20" i="14" s="1"/>
  <c r="J26" i="12"/>
  <c r="F19" i="14" s="1"/>
  <c r="D16" i="14"/>
  <c r="F16" i="14" s="1"/>
  <c r="J23" i="12"/>
  <c r="G54" i="12"/>
  <c r="G55" i="12" s="1"/>
  <c r="D34" i="14" s="1"/>
  <c r="F34" i="14" s="1"/>
  <c r="F16" i="12"/>
  <c r="G16" i="12" s="1"/>
  <c r="Q14" i="12"/>
  <c r="R14" i="12" s="1"/>
  <c r="J17" i="14" l="1"/>
  <c r="M17" i="14"/>
  <c r="J18" i="14"/>
  <c r="M18" i="14"/>
  <c r="J20" i="14"/>
  <c r="M20" i="14"/>
  <c r="J19" i="14"/>
  <c r="M19" i="14"/>
  <c r="J16" i="14"/>
  <c r="M16" i="14"/>
  <c r="J34" i="14"/>
  <c r="M34" i="14"/>
  <c r="J59" i="12"/>
  <c r="F38" i="14" s="1"/>
  <c r="J57" i="12"/>
  <c r="F36" i="14" s="1"/>
  <c r="J56" i="12"/>
  <c r="F35" i="14" s="1"/>
  <c r="J58" i="12"/>
  <c r="F37" i="14" s="1"/>
  <c r="J55" i="12"/>
  <c r="F10" i="12"/>
  <c r="G10" i="12" s="1"/>
  <c r="G17" i="12" s="1"/>
  <c r="D13" i="14" s="1"/>
  <c r="F13" i="14" s="1"/>
  <c r="F14" i="12"/>
  <c r="G14" i="12" s="1"/>
  <c r="J38" i="14" l="1"/>
  <c r="M38" i="14"/>
  <c r="J36" i="14"/>
  <c r="M36" i="14"/>
  <c r="J35" i="14"/>
  <c r="M35" i="14"/>
  <c r="J37" i="14"/>
  <c r="M37" i="14"/>
  <c r="J13" i="14"/>
  <c r="M13" i="14"/>
  <c r="J17" i="12"/>
  <c r="J18" i="12" l="1"/>
  <c r="F14" i="14" s="1"/>
  <c r="J14" i="14" l="1"/>
  <c r="M14" i="14"/>
  <c r="C69" i="12"/>
  <c r="C70" i="12" l="1"/>
  <c r="C67" i="12" s="1"/>
  <c r="G61" i="12"/>
  <c r="J61" i="12" l="1"/>
  <c r="J63" i="12" s="1"/>
  <c r="D40" i="14"/>
  <c r="F40" i="14" s="1"/>
  <c r="C65" i="12"/>
  <c r="C68" i="12" s="1"/>
  <c r="F42" i="14" l="1"/>
  <c r="J40" i="14"/>
  <c r="E67" i="12"/>
  <c r="E68" i="12" s="1"/>
  <c r="J42" i="14" l="1"/>
  <c r="C6" i="14"/>
</calcChain>
</file>

<file path=xl/sharedStrings.xml><?xml version="1.0" encoding="utf-8"?>
<sst xmlns="http://schemas.openxmlformats.org/spreadsheetml/2006/main" count="284" uniqueCount="93">
  <si>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</si>
  <si>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</si>
  <si>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</si>
  <si>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</si>
  <si>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</si>
  <si>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</si>
  <si>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</si>
  <si>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</si>
  <si>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</si>
  <si>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</si>
  <si>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</si>
  <si>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</si>
  <si>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</si>
  <si>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</si>
  <si>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</si>
  <si>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</si>
  <si>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</si>
  <si>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</si>
  <si>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</si>
  <si>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</si>
  <si>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</si>
  <si>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</si>
  <si>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</si>
  <si>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</si>
  <si>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</si>
  <si>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</si>
  <si>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-13% VAT for cement</t>
  </si>
  <si>
    <t>-13% VAT for sand</t>
  </si>
  <si>
    <t>-13% VAT for aggregate</t>
  </si>
  <si>
    <t>-13% VAT for stone</t>
  </si>
  <si>
    <t>-13% VAT for water</t>
  </si>
  <si>
    <t>User contribution</t>
  </si>
  <si>
    <t>sfnf] kmnfd] kfO{ksf] 6«; agfO{ h8fg ug]{ sfd</t>
  </si>
  <si>
    <t>Length (m)</t>
  </si>
  <si>
    <t>Unit length (Kg/m)</t>
  </si>
  <si>
    <t>Total Weight (kg)</t>
  </si>
  <si>
    <t>sub-total</t>
  </si>
  <si>
    <t>Kg</t>
  </si>
  <si>
    <t>-VAT 13% for materials</t>
  </si>
  <si>
    <t>-upper portion</t>
  </si>
  <si>
    <t>sqm</t>
  </si>
  <si>
    <t>-13% VAT for sheet</t>
  </si>
  <si>
    <t>-13% VAT for nut bolt</t>
  </si>
  <si>
    <t>-13% VAT for j-hook</t>
  </si>
  <si>
    <t>-13% VAT for bitumen washer</t>
  </si>
  <si>
    <t>-Masonary wall</t>
  </si>
  <si>
    <t>cum</t>
  </si>
  <si>
    <t>-for footing of vertical post</t>
  </si>
  <si>
    <t>Location:- Shankharapur Municipality 1</t>
  </si>
  <si>
    <t>g/d k|sf/sf] Sn] / l;N6L df6f]df ;j} lsl;dsf] vGg] sfd</t>
  </si>
  <si>
    <t>husf] vf8ndf 9'+uf eg]{ / n]en ug]{ sfddf</t>
  </si>
  <si>
    <t>-13% VAT for block stone</t>
  </si>
  <si>
    <t>-13% VAT for bond stone</t>
  </si>
  <si>
    <t>hu leQf kvf{ndf l;d]G6 s+lqm6 ug]{ sfd -lk=;L=;L= !M@M$_</t>
  </si>
  <si>
    <t>9'Ëfsf] uf/f] df6f] nufpg] sfd</t>
  </si>
  <si>
    <t>-for flooring</t>
  </si>
  <si>
    <t>-deduction for tunnel</t>
  </si>
  <si>
    <t>-MS square pipe of 3" * 3" of 2mm thickness for vertical post</t>
  </si>
  <si>
    <t>-MS square pipe horizontal of 2" * 2" of 2mm thickness for binding post</t>
  </si>
  <si>
    <t>-MS square pipe horizontal of 1.5" * 1.5" of 2mm thickness as purlin  at mid portion of upper part</t>
  </si>
  <si>
    <r>
      <t xml:space="preserve">Project:- </t>
    </r>
    <r>
      <rPr>
        <sz val="12"/>
        <rFont val="Preeti"/>
      </rPr>
      <t>v'bf] ksfpg] el6 r'nf]</t>
    </r>
  </si>
  <si>
    <t>Date:2082/09/13</t>
  </si>
  <si>
    <t>).#^ lblv ).$ dL.dL.afSnf] sf]?u]6]8 /+lug ss{6 kftfsf] 5fgf 5fpg] sfd</t>
  </si>
  <si>
    <t>Detail Valuated Sheet</t>
  </si>
  <si>
    <t>Total Valuated</t>
  </si>
  <si>
    <t>-MS square pipe of 3" * 3" of 1.6mm thickness for vertical post</t>
  </si>
  <si>
    <t>-MS square pipe of 66mm*33mm of 1.4mm thickness for vertical post</t>
  </si>
  <si>
    <t>-MS square pipe of 2" * 2" of 1.4mm thickness for vertical post</t>
  </si>
  <si>
    <t>-MS square pipe of 2" * 2" of 1.4mm thickness for purlins</t>
  </si>
  <si>
    <t>-MS square pipe of 3" * 3" of 1.6mm thickness for vertical post for cooking area</t>
  </si>
  <si>
    <t>-MS square pipe of 1.5" * 1.5" of 1.2mm thickness for purlins</t>
  </si>
  <si>
    <t>-MS square pipe of 1.5" * 1.5" of 1.2mm thickness for horizontal support in mid-height section</t>
  </si>
  <si>
    <t>-MS square pipe of 2" * 2" of 1.4mm thickness for horizontal support of roof</t>
  </si>
  <si>
    <t>-cooking area</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</si>
  <si>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</si>
  <si>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</si>
  <si>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</si>
  <si>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</si>
  <si>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</si>
  <si>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</si>
  <si>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</si>
  <si>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</si>
  <si>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</si>
  <si>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</si>
  <si>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</si>
  <si>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</si>
  <si>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</si>
  <si>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t>-MS square pipe of 66mm*33mm of 1.4mm thickness for horizontal member</t>
  </si>
  <si>
    <t>-MS square pipe of 1.5" * 1.5" of 1.2mm thickness for horizontal support at walls</t>
  </si>
  <si>
    <t>for tunnel</t>
  </si>
  <si>
    <t>Date:2082/11/10</t>
  </si>
  <si>
    <t>Detail Quantity Measurement Sheet</t>
  </si>
  <si>
    <t xml:space="preserve">Date:2082/11/10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</si>
</sst>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2"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b/>
      <sz val="12"/>
      <name val="Preeti"/>
    </font>
    <font>
      <sz val="12"/>
      <name val="Preeti"/>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9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0" fontId="12"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0" fontId="4" fillId="0" borderId="2" xfId="0" quotePrefix="1" applyFont="1" applyBorder="1" applyAlignment="1">
      <alignment wrapText="1"/>
    </xf>
    <xf numFmtId="0" fontId="12" fillId="2" borderId="2" xfId="0" applyFont="1" applyFill="1" applyBorder="1" applyAlignment="1">
      <alignment wrapText="1"/>
    </xf>
    <xf numFmtId="2" fontId="4" fillId="0" borderId="0" xfId="0" applyNumberFormat="1" applyFont="1"/>
    <xf numFmtId="0" fontId="8" fillId="0" borderId="0" xfId="0" applyFont="1" applyAlignment="1">
      <alignment horizontal="right"/>
    </xf>
    <xf numFmtId="0" fontId="8" fillId="0" borderId="1" xfId="0" applyFont="1" applyBorder="1" applyAlignment="1">
      <alignment horizontal="right"/>
    </xf>
    <xf numFmtId="0" fontId="18" fillId="0" borderId="0" xfId="0" applyFont="1"/>
    <xf numFmtId="0" fontId="19" fillId="0" borderId="0" xfId="0" applyFont="1" applyAlignment="1">
      <alignment horizontal="center"/>
    </xf>
    <xf numFmtId="0" fontId="0" fillId="0" borderId="0" xfId="0" applyAlignment="1">
      <alignment horizontal="left"/>
    </xf>
    <xf numFmtId="0" fontId="0" fillId="3" borderId="2" xfId="0" applyFill="1" applyBorder="1"/>
    <xf numFmtId="1" fontId="15" fillId="0" borderId="2" xfId="0" applyNumberFormat="1" applyFont="1" applyBorder="1" applyAlignment="1">
      <alignment vertical="center"/>
    </xf>
    <xf numFmtId="2" fontId="0" fillId="0" borderId="2" xfId="0" applyNumberFormat="1" applyBorder="1" applyAlignment="1">
      <alignment vertical="center"/>
    </xf>
    <xf numFmtId="43" fontId="14" fillId="0" borderId="2" xfId="1" applyFont="1" applyBorder="1" applyAlignment="1">
      <alignment vertical="center"/>
    </xf>
    <xf numFmtId="0" fontId="0" fillId="0" borderId="2" xfId="0" applyBorder="1" applyAlignment="1">
      <alignment vertical="center" wrapText="1"/>
    </xf>
    <xf numFmtId="1" fontId="20" fillId="0" borderId="2" xfId="0" applyNumberFormat="1" applyFont="1" applyBorder="1" applyAlignment="1">
      <alignment horizontal="right" vertical="center" wrapText="1"/>
    </xf>
    <xf numFmtId="0" fontId="15" fillId="0" borderId="2" xfId="0" applyFont="1" applyBorder="1" applyAlignment="1">
      <alignment vertical="center"/>
    </xf>
    <xf numFmtId="0" fontId="21" fillId="0" borderId="2" xfId="0" applyFont="1" applyBorder="1" applyAlignment="1">
      <alignment vertical="center"/>
    </xf>
    <xf numFmtId="43" fontId="0" fillId="0" borderId="0" xfId="0" applyNumberFormat="1" applyAlignment="1">
      <alignment vertical="center"/>
    </xf>
    <xf numFmtId="1" fontId="21" fillId="0" borderId="2" xfId="0" applyNumberFormat="1" applyFont="1" applyBorder="1" applyAlignment="1">
      <alignment vertical="center" wrapText="1"/>
    </xf>
    <xf numFmtId="0" fontId="0" fillId="0" borderId="2" xfId="0" applyBorder="1"/>
    <xf numFmtId="0" fontId="14" fillId="0" borderId="2" xfId="0" applyFont="1" applyBorder="1" applyAlignment="1">
      <alignment horizontal="right"/>
    </xf>
    <xf numFmtId="2" fontId="14" fillId="0" borderId="2" xfId="0" applyNumberFormat="1" applyFont="1" applyBorder="1"/>
    <xf numFmtId="43" fontId="14" fillId="0" borderId="2" xfId="1" applyFont="1" applyBorder="1"/>
    <xf numFmtId="0" fontId="8" fillId="0" borderId="1" xfId="0"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0" fontId="8" fillId="0" borderId="1" xfId="0" applyFont="1" applyBorder="1" applyAlignment="1">
      <alignment horizontal="right"/>
    </xf>
    <xf numFmtId="43" fontId="18" fillId="0" borderId="0" xfId="0" applyNumberFormat="1" applyFont="1" applyAlignment="1">
      <alignment horizontal="center"/>
    </xf>
    <xf numFmtId="0" fontId="18"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center"/>
    </xf>
    <xf numFmtId="0" fontId="17"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0" fontId="0" fillId="3" borderId="2" xfId="0"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
  <sheetViews>
    <sheetView view="pageBreakPreview" topLeftCell="A52" zoomScale="95" zoomScaleNormal="90" zoomScaleSheetLayoutView="95" workbookViewId="0">
      <selection activeCell="A6" sqref="A6:F6"/>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8" x14ac:dyDescent="0.25">
      <c r="A1" s="71" t="s">
        <v>0</v>
      </c>
      <c r="B1" s="71"/>
      <c r="C1" s="71"/>
      <c r="D1" s="71"/>
      <c r="E1" s="71"/>
      <c r="F1" s="71"/>
      <c r="G1" s="71"/>
      <c r="H1" s="71"/>
      <c r="I1" s="71"/>
      <c r="J1" s="71"/>
      <c r="K1" s="71"/>
    </row>
    <row r="2" spans="1:18" ht="22.5" x14ac:dyDescent="0.25">
      <c r="A2" s="72" t="s">
        <v>1</v>
      </c>
      <c r="B2" s="72"/>
      <c r="C2" s="72"/>
      <c r="D2" s="72"/>
      <c r="E2" s="72"/>
      <c r="F2" s="72"/>
      <c r="G2" s="72"/>
      <c r="H2" s="72"/>
      <c r="I2" s="72"/>
      <c r="J2" s="72"/>
      <c r="K2" s="72"/>
    </row>
    <row r="3" spans="1:18" x14ac:dyDescent="0.25">
      <c r="A3" s="73" t="s">
        <v>2</v>
      </c>
      <c r="B3" s="73"/>
      <c r="C3" s="73"/>
      <c r="D3" s="73"/>
      <c r="E3" s="73"/>
      <c r="F3" s="73"/>
      <c r="G3" s="73"/>
      <c r="H3" s="73"/>
      <c r="I3" s="73"/>
      <c r="J3" s="73"/>
      <c r="K3" s="73"/>
    </row>
    <row r="4" spans="1:18" x14ac:dyDescent="0.25">
      <c r="A4" s="73" t="s">
        <v>3</v>
      </c>
      <c r="B4" s="73"/>
      <c r="C4" s="73"/>
      <c r="D4" s="73"/>
      <c r="E4" s="73"/>
      <c r="F4" s="73"/>
      <c r="G4" s="73"/>
      <c r="H4" s="73"/>
      <c r="I4" s="73"/>
      <c r="J4" s="73"/>
      <c r="K4" s="73"/>
    </row>
    <row r="5" spans="1:18" ht="18.75" x14ac:dyDescent="0.3">
      <c r="A5" s="74" t="s">
        <v>4</v>
      </c>
      <c r="B5" s="74"/>
      <c r="C5" s="74"/>
      <c r="D5" s="74"/>
      <c r="E5" s="74"/>
      <c r="F5" s="74"/>
      <c r="G5" s="74"/>
      <c r="H5" s="74"/>
      <c r="I5" s="74"/>
      <c r="J5" s="74"/>
      <c r="K5" s="74"/>
    </row>
    <row r="6" spans="1:18" ht="15.75" x14ac:dyDescent="0.25">
      <c r="A6" s="75" t="s">
        <v>60</v>
      </c>
      <c r="B6" s="75"/>
      <c r="C6" s="75"/>
      <c r="D6" s="75"/>
      <c r="E6" s="75"/>
      <c r="F6" s="75"/>
      <c r="G6" s="10"/>
      <c r="H6" s="76" t="s">
        <v>25</v>
      </c>
      <c r="I6" s="76"/>
      <c r="J6" s="76"/>
      <c r="K6" s="76"/>
    </row>
    <row r="7" spans="1:18" ht="15.75" x14ac:dyDescent="0.25">
      <c r="A7" s="67" t="s">
        <v>48</v>
      </c>
      <c r="B7" s="67"/>
      <c r="C7" s="67"/>
      <c r="D7" s="67"/>
      <c r="E7" s="67"/>
      <c r="F7" s="67"/>
      <c r="G7" s="11"/>
      <c r="H7" s="77" t="s">
        <v>61</v>
      </c>
      <c r="I7" s="77"/>
      <c r="J7" s="77"/>
      <c r="K7" s="77"/>
    </row>
    <row r="8" spans="1:18" ht="15.75" x14ac:dyDescent="0.25">
      <c r="A8" s="12" t="s">
        <v>5</v>
      </c>
      <c r="B8" s="13" t="s">
        <v>6</v>
      </c>
      <c r="C8" s="12" t="s">
        <v>7</v>
      </c>
      <c r="D8" s="14" t="s">
        <v>8</v>
      </c>
      <c r="E8" s="14" t="s">
        <v>9</v>
      </c>
      <c r="F8" s="14" t="s">
        <v>10</v>
      </c>
      <c r="G8" s="14" t="s">
        <v>11</v>
      </c>
      <c r="H8" s="12" t="s">
        <v>12</v>
      </c>
      <c r="I8" s="14" t="s">
        <v>13</v>
      </c>
      <c r="J8" s="14" t="s">
        <v>14</v>
      </c>
      <c r="K8" s="15" t="s">
        <v>15</v>
      </c>
    </row>
    <row r="9" spans="1:18" s="35" customFormat="1" ht="45" x14ac:dyDescent="0.25">
      <c r="A9" s="2">
        <v>1</v>
      </c>
      <c r="B9" s="36" t="s">
        <v>32</v>
      </c>
      <c r="C9" s="3" t="s">
        <v>7</v>
      </c>
      <c r="D9" s="37" t="s">
        <v>33</v>
      </c>
      <c r="E9" s="38" t="s">
        <v>34</v>
      </c>
      <c r="F9" s="38" t="s">
        <v>35</v>
      </c>
      <c r="G9" s="38"/>
      <c r="H9" s="7"/>
      <c r="I9" s="6"/>
      <c r="J9" s="39"/>
      <c r="K9" s="5"/>
    </row>
    <row r="10" spans="1:18" s="35" customFormat="1" ht="30" x14ac:dyDescent="0.25">
      <c r="A10" s="16"/>
      <c r="B10" s="40" t="s">
        <v>57</v>
      </c>
      <c r="C10" s="41">
        <f>2*3</f>
        <v>6</v>
      </c>
      <c r="D10" s="9">
        <f>(11+1+2)/3.281</f>
        <v>4.2669917708015843</v>
      </c>
      <c r="E10" s="9">
        <v>4.4000000000000004</v>
      </c>
      <c r="F10" s="9">
        <f t="shared" ref="F10:F14" si="0">PRODUCT(C10:E10)</f>
        <v>112.64858274916183</v>
      </c>
      <c r="G10" s="9">
        <f t="shared" ref="G10:G14" si="1">F10</f>
        <v>112.64858274916183</v>
      </c>
      <c r="H10" s="39"/>
      <c r="I10" s="39"/>
      <c r="J10" s="39"/>
      <c r="K10" s="27"/>
    </row>
    <row r="11" spans="1:18" s="35" customFormat="1" x14ac:dyDescent="0.25">
      <c r="A11" s="16"/>
      <c r="B11" s="40"/>
      <c r="C11" s="41">
        <f>2*3</f>
        <v>6</v>
      </c>
      <c r="D11" s="9">
        <f>(11+1+1+2)/3.281</f>
        <v>4.5717768972874122</v>
      </c>
      <c r="E11" s="9">
        <v>4.4000000000000004</v>
      </c>
      <c r="F11" s="9">
        <f t="shared" ref="F11:F12" si="2">PRODUCT(C11:E11)</f>
        <v>120.69491008838769</v>
      </c>
      <c r="G11" s="9">
        <f t="shared" ref="G11:G12" si="3">F11</f>
        <v>120.69491008838769</v>
      </c>
      <c r="H11" s="39"/>
      <c r="I11" s="39"/>
      <c r="J11" s="39"/>
      <c r="K11" s="27"/>
    </row>
    <row r="12" spans="1:18" s="35" customFormat="1" x14ac:dyDescent="0.25">
      <c r="A12" s="16"/>
      <c r="B12" s="40"/>
      <c r="C12" s="41">
        <f>2</f>
        <v>2</v>
      </c>
      <c r="D12" s="9">
        <f>(11+1+2)/3.281</f>
        <v>4.2669917708015843</v>
      </c>
      <c r="E12" s="9">
        <v>4.4000000000000004</v>
      </c>
      <c r="F12" s="9">
        <f t="shared" si="2"/>
        <v>37.549527583053944</v>
      </c>
      <c r="G12" s="9">
        <f t="shared" si="3"/>
        <v>37.549527583053944</v>
      </c>
      <c r="H12" s="39"/>
      <c r="I12" s="39"/>
      <c r="J12" s="39"/>
      <c r="K12" s="27"/>
    </row>
    <row r="13" spans="1:18" s="35" customFormat="1" x14ac:dyDescent="0.25">
      <c r="A13" s="16"/>
      <c r="B13" s="40"/>
      <c r="C13" s="41">
        <f>2</f>
        <v>2</v>
      </c>
      <c r="D13" s="9">
        <f>(11+1+1+2)/3.281</f>
        <v>4.5717768972874122</v>
      </c>
      <c r="E13" s="9">
        <v>4.4000000000000004</v>
      </c>
      <c r="F13" s="9">
        <f t="shared" ref="F13" si="4">PRODUCT(C13:E13)</f>
        <v>40.231636696129229</v>
      </c>
      <c r="G13" s="9">
        <f t="shared" ref="G13" si="5">F13</f>
        <v>40.231636696129229</v>
      </c>
      <c r="H13" s="39"/>
      <c r="I13" s="39"/>
      <c r="J13" s="39"/>
      <c r="K13" s="27"/>
    </row>
    <row r="14" spans="1:18" s="35" customFormat="1" ht="45" x14ac:dyDescent="0.25">
      <c r="A14" s="16"/>
      <c r="B14" s="40" t="s">
        <v>58</v>
      </c>
      <c r="C14" s="41">
        <f>2*(2+1)</f>
        <v>6</v>
      </c>
      <c r="D14" s="9">
        <f>(12+3)/3.281</f>
        <v>4.5717768972874122</v>
      </c>
      <c r="E14" s="9">
        <v>3.01</v>
      </c>
      <c r="F14" s="9">
        <f t="shared" si="0"/>
        <v>82.566290765010663</v>
      </c>
      <c r="G14" s="9">
        <f t="shared" si="1"/>
        <v>82.566290765010663</v>
      </c>
      <c r="H14" s="39"/>
      <c r="I14" s="39"/>
      <c r="J14" s="39"/>
      <c r="K14" s="27"/>
      <c r="Q14" s="35">
        <f>PRODUCT(C14:D14)</f>
        <v>27.430661383724473</v>
      </c>
      <c r="R14" s="35">
        <f>CONVERT(Q14,"m","ft")</f>
        <v>89.995608214319134</v>
      </c>
    </row>
    <row r="15" spans="1:18" s="35" customFormat="1" x14ac:dyDescent="0.25">
      <c r="A15" s="16"/>
      <c r="B15" s="40"/>
      <c r="C15" s="41">
        <f>2*(2+1)</f>
        <v>6</v>
      </c>
      <c r="D15" s="9">
        <f>(10+3)/3.281</f>
        <v>3.9622066443157573</v>
      </c>
      <c r="E15" s="9">
        <v>3.01</v>
      </c>
      <c r="F15" s="9">
        <f t="shared" ref="F15" si="6">PRODUCT(C15:E15)</f>
        <v>71.557451996342579</v>
      </c>
      <c r="G15" s="9">
        <f t="shared" ref="G15" si="7">F15</f>
        <v>71.557451996342579</v>
      </c>
      <c r="H15" s="39"/>
      <c r="I15" s="39"/>
      <c r="J15" s="39"/>
      <c r="K15" s="27"/>
    </row>
    <row r="16" spans="1:18" s="35" customFormat="1" ht="45" x14ac:dyDescent="0.25">
      <c r="A16" s="16"/>
      <c r="B16" s="40" t="s">
        <v>59</v>
      </c>
      <c r="C16" s="41">
        <f>2*2</f>
        <v>4</v>
      </c>
      <c r="D16" s="9">
        <f>(12+3)/3.281</f>
        <v>4.5717768972874122</v>
      </c>
      <c r="E16" s="9">
        <v>2.2599999999999998</v>
      </c>
      <c r="F16" s="9">
        <f t="shared" ref="F16" si="8">PRODUCT(C16:E16)</f>
        <v>41.328863151478203</v>
      </c>
      <c r="G16" s="9">
        <f t="shared" ref="G16" si="9">F16</f>
        <v>41.328863151478203</v>
      </c>
      <c r="H16" s="39"/>
      <c r="I16" s="39"/>
      <c r="J16" s="39"/>
      <c r="K16" s="27"/>
    </row>
    <row r="17" spans="1:11" s="35" customFormat="1" x14ac:dyDescent="0.25">
      <c r="A17" s="2"/>
      <c r="B17" s="40" t="s">
        <v>36</v>
      </c>
      <c r="C17" s="3"/>
      <c r="D17" s="4"/>
      <c r="E17" s="5"/>
      <c r="F17" s="5"/>
      <c r="G17" s="39">
        <f>SUM(G10:G16)</f>
        <v>506.57726302956416</v>
      </c>
      <c r="H17" s="7" t="s">
        <v>37</v>
      </c>
      <c r="I17" s="6">
        <v>182.51</v>
      </c>
      <c r="J17" s="39">
        <f>G17*I17</f>
        <v>92455.416275525757</v>
      </c>
      <c r="K17" s="5"/>
    </row>
    <row r="18" spans="1:11" s="35" customFormat="1" x14ac:dyDescent="0.25">
      <c r="A18" s="2"/>
      <c r="B18" s="40" t="s">
        <v>38</v>
      </c>
      <c r="C18" s="3"/>
      <c r="D18" s="4"/>
      <c r="E18" s="5"/>
      <c r="F18" s="5"/>
      <c r="G18" s="39"/>
      <c r="H18" s="7"/>
      <c r="I18" s="6"/>
      <c r="J18" s="39">
        <f>0.13*G17*(1871.42/18.94)</f>
        <v>6506.9929675418325</v>
      </c>
      <c r="K18" s="5"/>
    </row>
    <row r="19" spans="1:11" s="35" customFormat="1" x14ac:dyDescent="0.25">
      <c r="A19" s="2"/>
      <c r="B19" s="40"/>
      <c r="C19" s="3"/>
      <c r="D19" s="4"/>
      <c r="E19" s="5"/>
      <c r="F19" s="5"/>
      <c r="G19" s="39"/>
      <c r="H19" s="7"/>
      <c r="I19" s="6"/>
      <c r="J19" s="39"/>
      <c r="K19" s="5"/>
    </row>
    <row r="20" spans="1:11" s="35" customFormat="1" ht="45" x14ac:dyDescent="0.25">
      <c r="A20" s="2">
        <v>2</v>
      </c>
      <c r="B20" s="36" t="s">
        <v>62</v>
      </c>
      <c r="C20" s="3"/>
      <c r="D20" s="4"/>
      <c r="E20" s="5"/>
      <c r="F20" s="5"/>
      <c r="G20" s="39"/>
      <c r="H20" s="7"/>
      <c r="I20" s="6"/>
      <c r="J20" s="39"/>
      <c r="K20" s="5"/>
    </row>
    <row r="21" spans="1:11" s="35" customFormat="1" x14ac:dyDescent="0.25">
      <c r="A21" s="2"/>
      <c r="B21" s="40" t="s">
        <v>39</v>
      </c>
      <c r="C21" s="3">
        <f>2*1</f>
        <v>2</v>
      </c>
      <c r="D21" s="4">
        <f>(10+3)/3.281</f>
        <v>3.9622066443157573</v>
      </c>
      <c r="E21" s="5">
        <f>(12+3)/3.281</f>
        <v>4.5717768972874122</v>
      </c>
      <c r="F21" s="5"/>
      <c r="G21" s="33">
        <f t="shared" ref="G21" si="10">PRODUCT(C21:F21)</f>
        <v>36.228649597522924</v>
      </c>
      <c r="H21" s="7"/>
      <c r="I21" s="6"/>
      <c r="J21" s="39"/>
      <c r="K21" s="5"/>
    </row>
    <row r="22" spans="1:11" s="35" customFormat="1" x14ac:dyDescent="0.25">
      <c r="A22" s="2"/>
      <c r="B22" s="40"/>
      <c r="C22" s="3">
        <v>1</v>
      </c>
      <c r="D22" s="4">
        <f>(10+3)/3.281</f>
        <v>3.9622066443157573</v>
      </c>
      <c r="E22" s="5">
        <f>(10+3)/3.281</f>
        <v>3.9622066443157573</v>
      </c>
      <c r="F22" s="5"/>
      <c r="G22" s="33">
        <f t="shared" ref="G22" si="11">PRODUCT(C22:F22)</f>
        <v>15.699081492259934</v>
      </c>
      <c r="H22" s="7"/>
      <c r="I22" s="6"/>
      <c r="J22" s="39"/>
      <c r="K22" s="5"/>
    </row>
    <row r="23" spans="1:11" s="35" customFormat="1" x14ac:dyDescent="0.25">
      <c r="A23" s="2"/>
      <c r="B23" s="40" t="s">
        <v>36</v>
      </c>
      <c r="C23" s="3"/>
      <c r="D23" s="4"/>
      <c r="E23" s="5"/>
      <c r="F23" s="5"/>
      <c r="G23" s="39">
        <f>SUM(G21:G22)</f>
        <v>51.92773108978286</v>
      </c>
      <c r="H23" s="7" t="s">
        <v>40</v>
      </c>
      <c r="I23" s="6">
        <v>1074.98</v>
      </c>
      <c r="J23" s="39">
        <f>G23*I23</f>
        <v>55821.27236689478</v>
      </c>
      <c r="K23" s="5"/>
    </row>
    <row r="24" spans="1:11" x14ac:dyDescent="0.25">
      <c r="A24" s="16"/>
      <c r="B24" s="32" t="s">
        <v>41</v>
      </c>
      <c r="C24" s="17"/>
      <c r="D24" s="17"/>
      <c r="E24" s="17"/>
      <c r="F24" s="17"/>
      <c r="G24" s="17"/>
      <c r="H24" s="17"/>
      <c r="I24" s="17"/>
      <c r="J24" s="18">
        <f>0.13*G23*6674.66/10</f>
        <v>4505.7993447444915</v>
      </c>
      <c r="K24" s="17"/>
    </row>
    <row r="25" spans="1:11" x14ac:dyDescent="0.25">
      <c r="A25" s="16"/>
      <c r="B25" s="32" t="s">
        <v>42</v>
      </c>
      <c r="C25" s="17"/>
      <c r="D25" s="17"/>
      <c r="E25" s="17"/>
      <c r="F25" s="17"/>
      <c r="G25" s="17"/>
      <c r="H25" s="17"/>
      <c r="I25" s="17"/>
      <c r="J25" s="18">
        <f>0.13*G23*1023.75/10</f>
        <v>691.09319114114771</v>
      </c>
      <c r="K25" s="17"/>
    </row>
    <row r="26" spans="1:11" x14ac:dyDescent="0.25">
      <c r="A26" s="16"/>
      <c r="B26" s="32" t="s">
        <v>43</v>
      </c>
      <c r="C26" s="17"/>
      <c r="D26" s="17"/>
      <c r="E26" s="17"/>
      <c r="F26" s="17"/>
      <c r="G26" s="17"/>
      <c r="H26" s="17"/>
      <c r="I26" s="17"/>
      <c r="J26" s="18">
        <f>0.13*G23*348.21/10</f>
        <v>235.06281815605274</v>
      </c>
      <c r="K26" s="17"/>
    </row>
    <row r="27" spans="1:11" x14ac:dyDescent="0.25">
      <c r="A27" s="16"/>
      <c r="B27" s="32" t="s">
        <v>44</v>
      </c>
      <c r="C27" s="17"/>
      <c r="D27" s="17"/>
      <c r="E27" s="17"/>
      <c r="F27" s="17"/>
      <c r="G27" s="17"/>
      <c r="H27" s="17"/>
      <c r="I27" s="17"/>
      <c r="J27" s="18">
        <f>0.13*G23*165/10</f>
        <v>111.38498318758425</v>
      </c>
      <c r="K27" s="17"/>
    </row>
    <row r="28" spans="1:11" x14ac:dyDescent="0.25">
      <c r="A28" s="16"/>
      <c r="B28" s="32"/>
      <c r="C28" s="17"/>
      <c r="D28" s="17"/>
      <c r="E28" s="17"/>
      <c r="F28" s="17"/>
      <c r="G28" s="17"/>
      <c r="H28" s="17"/>
      <c r="I28" s="17"/>
      <c r="J28" s="18"/>
      <c r="K28" s="17"/>
    </row>
    <row r="29" spans="1:11" ht="30.75" x14ac:dyDescent="0.25">
      <c r="A29" s="16">
        <v>3</v>
      </c>
      <c r="B29" s="43" t="s">
        <v>49</v>
      </c>
      <c r="C29" s="17"/>
      <c r="D29" s="17"/>
      <c r="E29" s="17"/>
      <c r="F29" s="17"/>
      <c r="G29" s="17"/>
      <c r="H29" s="17"/>
      <c r="I29" s="17"/>
      <c r="J29" s="18"/>
      <c r="K29" s="17"/>
    </row>
    <row r="30" spans="1:11" x14ac:dyDescent="0.25">
      <c r="A30" s="16"/>
      <c r="B30" s="32" t="s">
        <v>45</v>
      </c>
      <c r="C30" s="17">
        <f>2*2</f>
        <v>4</v>
      </c>
      <c r="D30" s="33">
        <f>8/3.281</f>
        <v>2.4382810118866196</v>
      </c>
      <c r="E30" s="17">
        <v>0.45</v>
      </c>
      <c r="F30" s="17">
        <v>0.9</v>
      </c>
      <c r="G30" s="33">
        <f t="shared" ref="G30:G31" si="12">PRODUCT(C30:F30)</f>
        <v>3.9500152392563237</v>
      </c>
      <c r="H30" s="17"/>
      <c r="I30" s="17"/>
      <c r="J30" s="18"/>
      <c r="K30" s="17"/>
    </row>
    <row r="31" spans="1:11" x14ac:dyDescent="0.25">
      <c r="A31" s="16"/>
      <c r="B31" s="32" t="s">
        <v>47</v>
      </c>
      <c r="C31" s="17">
        <f>2*4</f>
        <v>8</v>
      </c>
      <c r="D31" s="33">
        <v>0.6</v>
      </c>
      <c r="E31" s="17">
        <v>0.6</v>
      </c>
      <c r="F31" s="17">
        <v>0.6</v>
      </c>
      <c r="G31" s="33">
        <f t="shared" si="12"/>
        <v>1.728</v>
      </c>
      <c r="H31" s="17"/>
      <c r="I31" s="17"/>
      <c r="J31" s="18"/>
      <c r="K31" s="17"/>
    </row>
    <row r="32" spans="1:11" s="35" customFormat="1" x14ac:dyDescent="0.25">
      <c r="A32" s="2"/>
      <c r="B32" s="40" t="s">
        <v>36</v>
      </c>
      <c r="C32" s="3"/>
      <c r="D32" s="4"/>
      <c r="E32" s="5"/>
      <c r="F32" s="5"/>
      <c r="G32" s="39">
        <f>SUM(G30:G31)</f>
        <v>5.6780152392563235</v>
      </c>
      <c r="H32" s="7" t="s">
        <v>46</v>
      </c>
      <c r="I32" s="6">
        <v>674.12</v>
      </c>
      <c r="J32" s="39">
        <f>G32*I32</f>
        <v>3827.6636330874726</v>
      </c>
      <c r="K32" s="5"/>
    </row>
    <row r="33" spans="1:11" x14ac:dyDescent="0.25">
      <c r="A33" s="16"/>
      <c r="B33" s="32"/>
      <c r="C33" s="17"/>
      <c r="D33" s="17"/>
      <c r="E33" s="17"/>
      <c r="F33" s="17"/>
      <c r="G33" s="17"/>
      <c r="H33" s="17"/>
      <c r="I33" s="17"/>
      <c r="J33" s="18"/>
      <c r="K33" s="17"/>
    </row>
    <row r="34" spans="1:11" ht="30.75" x14ac:dyDescent="0.25">
      <c r="A34" s="16">
        <v>4</v>
      </c>
      <c r="B34" s="43" t="s">
        <v>50</v>
      </c>
      <c r="C34" s="17"/>
      <c r="D34" s="17"/>
      <c r="E34" s="17"/>
      <c r="F34" s="17"/>
      <c r="G34" s="17"/>
      <c r="H34" s="17"/>
      <c r="I34" s="17"/>
      <c r="J34" s="18"/>
      <c r="K34" s="17"/>
    </row>
    <row r="35" spans="1:11" x14ac:dyDescent="0.25">
      <c r="A35" s="16"/>
      <c r="B35" s="32" t="str">
        <f>B31</f>
        <v>-for footing of vertical post</v>
      </c>
      <c r="C35" s="17">
        <f>C31</f>
        <v>8</v>
      </c>
      <c r="D35" s="33">
        <f>D31</f>
        <v>0.6</v>
      </c>
      <c r="E35" s="33">
        <f>E31</f>
        <v>0.6</v>
      </c>
      <c r="F35" s="33">
        <v>0.15</v>
      </c>
      <c r="G35" s="33">
        <f t="shared" ref="G35:G37" si="13">PRODUCT(C35:F35)</f>
        <v>0.432</v>
      </c>
      <c r="H35" s="17"/>
      <c r="I35" s="17"/>
      <c r="J35" s="18"/>
      <c r="K35" s="17"/>
    </row>
    <row r="36" spans="1:11" x14ac:dyDescent="0.25">
      <c r="A36" s="16"/>
      <c r="B36" s="32" t="s">
        <v>55</v>
      </c>
      <c r="C36" s="17">
        <f>2*1</f>
        <v>2</v>
      </c>
      <c r="D36" s="33">
        <f>10/3.281</f>
        <v>3.047851264858275</v>
      </c>
      <c r="E36" s="33">
        <f>12/3.281</f>
        <v>3.6574215178299299</v>
      </c>
      <c r="F36" s="33">
        <v>0.15</v>
      </c>
      <c r="G36" s="33">
        <f t="shared" si="13"/>
        <v>3.3441830397713472</v>
      </c>
      <c r="H36" s="17"/>
      <c r="I36" s="17"/>
      <c r="J36" s="18"/>
      <c r="K36" s="17"/>
    </row>
    <row r="37" spans="1:11" x14ac:dyDescent="0.25">
      <c r="A37" s="16"/>
      <c r="B37" s="32" t="s">
        <v>56</v>
      </c>
      <c r="C37" s="17">
        <f>2*-1</f>
        <v>-2</v>
      </c>
      <c r="D37" s="33">
        <f>8/3.281</f>
        <v>2.4382810118866196</v>
      </c>
      <c r="E37" s="33">
        <f>0.6+0.45+0.45</f>
        <v>1.5</v>
      </c>
      <c r="F37" s="33">
        <v>0.15</v>
      </c>
      <c r="G37" s="33">
        <f t="shared" si="13"/>
        <v>-1.0972264553489788</v>
      </c>
      <c r="H37" s="17"/>
      <c r="I37" s="17"/>
      <c r="J37" s="18"/>
      <c r="K37" s="17"/>
    </row>
    <row r="38" spans="1:11" s="35" customFormat="1" x14ac:dyDescent="0.25">
      <c r="A38" s="2"/>
      <c r="B38" s="40" t="s">
        <v>36</v>
      </c>
      <c r="C38" s="3"/>
      <c r="D38" s="4"/>
      <c r="E38" s="5"/>
      <c r="F38" s="5"/>
      <c r="G38" s="39">
        <f>SUM(G35:G37)</f>
        <v>2.6789565844223686</v>
      </c>
      <c r="H38" s="7" t="s">
        <v>46</v>
      </c>
      <c r="I38" s="6">
        <v>4495.6400000000003</v>
      </c>
      <c r="J38" s="39">
        <f>G38*I38</f>
        <v>12043.624379192579</v>
      </c>
      <c r="K38" s="5"/>
    </row>
    <row r="39" spans="1:11" x14ac:dyDescent="0.25">
      <c r="A39" s="16"/>
      <c r="B39" s="32" t="s">
        <v>51</v>
      </c>
      <c r="C39" s="17"/>
      <c r="D39" s="17"/>
      <c r="E39" s="17"/>
      <c r="F39" s="17"/>
      <c r="G39" s="17"/>
      <c r="H39" s="17"/>
      <c r="I39" s="17"/>
      <c r="J39" s="18">
        <f>0.13*G38*2577.63</f>
        <v>897.69665189160207</v>
      </c>
      <c r="K39" s="17"/>
    </row>
    <row r="40" spans="1:11" x14ac:dyDescent="0.25">
      <c r="A40" s="16"/>
      <c r="B40" s="32" t="s">
        <v>52</v>
      </c>
      <c r="C40" s="17"/>
      <c r="D40" s="17"/>
      <c r="E40" s="17"/>
      <c r="F40" s="17"/>
      <c r="G40" s="17"/>
      <c r="H40" s="17"/>
      <c r="I40" s="17"/>
      <c r="J40" s="18">
        <f>0.13*G38*515.52</f>
        <v>179.53724079218455</v>
      </c>
      <c r="K40" s="17"/>
    </row>
    <row r="41" spans="1:11" x14ac:dyDescent="0.25">
      <c r="A41" s="16"/>
      <c r="B41" s="42"/>
      <c r="C41" s="17"/>
      <c r="D41" s="17"/>
      <c r="E41" s="17"/>
      <c r="F41" s="17"/>
      <c r="G41" s="17"/>
      <c r="H41" s="17"/>
      <c r="I41" s="17"/>
      <c r="J41" s="18"/>
      <c r="K41" s="17"/>
    </row>
    <row r="42" spans="1:11" ht="30.75" x14ac:dyDescent="0.25">
      <c r="A42" s="16">
        <v>5</v>
      </c>
      <c r="B42" s="43" t="s">
        <v>53</v>
      </c>
      <c r="C42" s="17"/>
      <c r="D42" s="17"/>
      <c r="E42" s="17"/>
      <c r="F42" s="17"/>
      <c r="G42" s="17"/>
      <c r="H42" s="17"/>
      <c r="I42" s="17"/>
      <c r="J42" s="17"/>
      <c r="K42" s="17"/>
    </row>
    <row r="43" spans="1:11" x14ac:dyDescent="0.25">
      <c r="A43" s="16"/>
      <c r="B43" s="32" t="str">
        <f>B35</f>
        <v>-for footing of vertical post</v>
      </c>
      <c r="C43" s="17">
        <f>2*4</f>
        <v>8</v>
      </c>
      <c r="D43" s="33">
        <v>0.6</v>
      </c>
      <c r="E43" s="17">
        <v>0.6</v>
      </c>
      <c r="F43" s="33">
        <v>7.4999999999999997E-2</v>
      </c>
      <c r="G43" s="33">
        <f t="shared" ref="G43" si="14">PRODUCT(C43:F43)</f>
        <v>0.216</v>
      </c>
      <c r="H43" s="17"/>
      <c r="I43" s="17"/>
      <c r="J43" s="18"/>
      <c r="K43" s="17"/>
    </row>
    <row r="44" spans="1:11" x14ac:dyDescent="0.25">
      <c r="A44" s="16"/>
      <c r="B44" s="32"/>
      <c r="C44" s="17">
        <f>2*4</f>
        <v>8</v>
      </c>
      <c r="D44" s="33">
        <v>0.45</v>
      </c>
      <c r="E44" s="17">
        <v>0.45</v>
      </c>
      <c r="F44" s="33">
        <v>0.45</v>
      </c>
      <c r="G44" s="33">
        <f t="shared" ref="G44:G46" si="15">PRODUCT(C44:F44)</f>
        <v>0.72900000000000009</v>
      </c>
      <c r="H44" s="17"/>
      <c r="I44" s="17"/>
      <c r="J44" s="18"/>
      <c r="K44" s="17"/>
    </row>
    <row r="45" spans="1:11" x14ac:dyDescent="0.25">
      <c r="A45" s="16"/>
      <c r="B45" s="32" t="str">
        <f>B36</f>
        <v>-for flooring</v>
      </c>
      <c r="C45" s="17">
        <f>C36</f>
        <v>2</v>
      </c>
      <c r="D45" s="33">
        <f>D36</f>
        <v>3.047851264858275</v>
      </c>
      <c r="E45" s="33">
        <f>E36</f>
        <v>3.6574215178299299</v>
      </c>
      <c r="F45" s="33">
        <v>0.1</v>
      </c>
      <c r="G45" s="33">
        <f t="shared" si="15"/>
        <v>2.2294553598475648</v>
      </c>
      <c r="H45" s="17"/>
      <c r="I45" s="17"/>
      <c r="J45" s="18"/>
      <c r="K45" s="17"/>
    </row>
    <row r="46" spans="1:11" x14ac:dyDescent="0.25">
      <c r="A46" s="16"/>
      <c r="B46" s="32" t="s">
        <v>56</v>
      </c>
      <c r="C46" s="17">
        <f>C37</f>
        <v>-2</v>
      </c>
      <c r="D46" s="33">
        <f>12/3.281</f>
        <v>3.6574215178299299</v>
      </c>
      <c r="E46" s="33">
        <f>0.6+0.45+0.45</f>
        <v>1.5</v>
      </c>
      <c r="F46" s="33">
        <v>0.1</v>
      </c>
      <c r="G46" s="33">
        <f t="shared" si="15"/>
        <v>-1.097226455348979</v>
      </c>
      <c r="H46" s="17"/>
      <c r="I46" s="17"/>
      <c r="J46" s="18"/>
      <c r="K46" s="17"/>
    </row>
    <row r="47" spans="1:11" s="35" customFormat="1" x14ac:dyDescent="0.25">
      <c r="A47" s="2"/>
      <c r="B47" s="40" t="s">
        <v>36</v>
      </c>
      <c r="C47" s="3"/>
      <c r="D47" s="4"/>
      <c r="E47" s="5"/>
      <c r="F47" s="5"/>
      <c r="G47" s="39">
        <f>SUM(G43:G46)</f>
        <v>2.0772289044985861</v>
      </c>
      <c r="H47" s="7" t="s">
        <v>46</v>
      </c>
      <c r="I47" s="6">
        <v>13351.1</v>
      </c>
      <c r="J47" s="39">
        <f>G47*I47</f>
        <v>27733.290826851073</v>
      </c>
      <c r="K47" s="5"/>
    </row>
    <row r="48" spans="1:11" x14ac:dyDescent="0.25">
      <c r="A48" s="16"/>
      <c r="B48" s="32" t="s">
        <v>26</v>
      </c>
      <c r="C48" s="17"/>
      <c r="D48" s="17"/>
      <c r="E48" s="17"/>
      <c r="F48" s="17"/>
      <c r="G48" s="17"/>
      <c r="H48" s="17"/>
      <c r="I48" s="17"/>
      <c r="J48" s="18">
        <f>0.13*G47*4169.92</f>
        <v>1126.0441859480768</v>
      </c>
      <c r="K48" s="17"/>
    </row>
    <row r="49" spans="1:19" x14ac:dyDescent="0.25">
      <c r="A49" s="16"/>
      <c r="B49" s="32" t="s">
        <v>27</v>
      </c>
      <c r="C49" s="17"/>
      <c r="D49" s="17"/>
      <c r="E49" s="17"/>
      <c r="F49" s="17"/>
      <c r="G49" s="17"/>
      <c r="H49" s="17"/>
      <c r="I49" s="17"/>
      <c r="J49" s="18">
        <f>0.13*G47*1414.16</f>
        <v>381.87942358614367</v>
      </c>
      <c r="K49" s="17"/>
    </row>
    <row r="50" spans="1:19" x14ac:dyDescent="0.25">
      <c r="A50" s="16"/>
      <c r="B50" s="32" t="s">
        <v>28</v>
      </c>
      <c r="C50" s="17"/>
      <c r="D50" s="17"/>
      <c r="E50" s="17"/>
      <c r="F50" s="17"/>
      <c r="G50" s="17"/>
      <c r="H50" s="17"/>
      <c r="I50" s="17"/>
      <c r="J50" s="18">
        <f>0.13*G47*(1652.5+737.97+349.56)</f>
        <v>739.91703697512401</v>
      </c>
      <c r="K50" s="17"/>
    </row>
    <row r="51" spans="1:19" x14ac:dyDescent="0.25">
      <c r="A51" s="16"/>
      <c r="B51" s="32" t="s">
        <v>30</v>
      </c>
      <c r="C51" s="17"/>
      <c r="D51" s="17"/>
      <c r="E51" s="17"/>
      <c r="F51" s="17"/>
      <c r="G51" s="17"/>
      <c r="H51" s="17"/>
      <c r="I51" s="17"/>
      <c r="J51" s="18">
        <f>0.13*G47*42</f>
        <v>11.341669818562281</v>
      </c>
      <c r="K51" s="17"/>
    </row>
    <row r="52" spans="1:19" x14ac:dyDescent="0.25">
      <c r="A52" s="16"/>
      <c r="B52" s="32"/>
      <c r="C52" s="17"/>
      <c r="D52" s="17"/>
      <c r="E52" s="17"/>
      <c r="F52" s="17"/>
      <c r="G52" s="17"/>
      <c r="H52" s="17"/>
      <c r="I52" s="17"/>
      <c r="J52" s="18"/>
      <c r="K52" s="17"/>
    </row>
    <row r="53" spans="1:19" ht="15.75" x14ac:dyDescent="0.25">
      <c r="A53" s="16">
        <v>6</v>
      </c>
      <c r="B53" s="43" t="s">
        <v>54</v>
      </c>
      <c r="C53" s="17"/>
      <c r="D53" s="17"/>
      <c r="E53" s="17"/>
      <c r="F53" s="17"/>
      <c r="G53" s="17"/>
      <c r="H53" s="17"/>
      <c r="I53" s="17"/>
      <c r="J53" s="17"/>
      <c r="K53" s="17"/>
    </row>
    <row r="54" spans="1:19" x14ac:dyDescent="0.25">
      <c r="A54" s="16"/>
      <c r="B54" s="32" t="s">
        <v>45</v>
      </c>
      <c r="C54" s="17">
        <f>2*2</f>
        <v>4</v>
      </c>
      <c r="D54" s="33">
        <f>8/3.281</f>
        <v>2.4382810118866196</v>
      </c>
      <c r="E54" s="33">
        <v>0.45</v>
      </c>
      <c r="F54" s="33">
        <v>0.9</v>
      </c>
      <c r="G54" s="33">
        <f>PRODUCT(C54:F54)</f>
        <v>3.9500152392563237</v>
      </c>
      <c r="H54" s="17"/>
      <c r="I54" s="17"/>
      <c r="J54" s="17"/>
      <c r="K54" s="17"/>
      <c r="M54" s="33">
        <f>7</f>
        <v>7</v>
      </c>
      <c r="N54" s="33">
        <f>2</f>
        <v>2</v>
      </c>
      <c r="O54" s="33"/>
      <c r="P54" s="33">
        <f>PI()*M54*SQRT(M54^2+N54^2)</f>
        <v>160.09797821843054</v>
      </c>
    </row>
    <row r="55" spans="1:19" ht="15" customHeight="1" x14ac:dyDescent="0.25">
      <c r="A55" s="2"/>
      <c r="B55" s="34" t="s">
        <v>16</v>
      </c>
      <c r="C55" s="3"/>
      <c r="D55" s="4"/>
      <c r="E55" s="5"/>
      <c r="F55" s="5"/>
      <c r="G55" s="6">
        <f>SUM(G54:G54)</f>
        <v>3.9500152392563237</v>
      </c>
      <c r="H55" s="7" t="s">
        <v>46</v>
      </c>
      <c r="I55" s="6">
        <v>6337.3</v>
      </c>
      <c r="J55" s="18">
        <f>G55*I55</f>
        <v>25032.431575739101</v>
      </c>
      <c r="K55" s="5"/>
    </row>
    <row r="56" spans="1:19" x14ac:dyDescent="0.25">
      <c r="A56" s="16"/>
      <c r="B56" s="32" t="s">
        <v>51</v>
      </c>
      <c r="C56" s="17"/>
      <c r="D56" s="17"/>
      <c r="E56" s="17"/>
      <c r="F56" s="17"/>
      <c r="G56" s="17"/>
      <c r="H56" s="17"/>
      <c r="I56" s="17"/>
      <c r="J56" s="18">
        <f>0.13*G55*2577.63</f>
        <v>1323.6181115513564</v>
      </c>
      <c r="K56" s="17"/>
    </row>
    <row r="57" spans="1:19" x14ac:dyDescent="0.25">
      <c r="A57" s="16"/>
      <c r="B57" s="32" t="s">
        <v>52</v>
      </c>
      <c r="C57" s="17"/>
      <c r="D57" s="17"/>
      <c r="E57" s="17"/>
      <c r="F57" s="17"/>
      <c r="G57" s="17"/>
      <c r="H57" s="17"/>
      <c r="I57" s="17"/>
      <c r="J57" s="18">
        <f>0.13*G55*257.76</f>
        <v>132.3602706491923</v>
      </c>
      <c r="K57" s="17"/>
    </row>
    <row r="58" spans="1:19" x14ac:dyDescent="0.25">
      <c r="A58" s="16"/>
      <c r="B58" s="32" t="s">
        <v>29</v>
      </c>
      <c r="C58" s="17"/>
      <c r="D58" s="17"/>
      <c r="E58" s="17"/>
      <c r="F58" s="17"/>
      <c r="G58" s="17"/>
      <c r="H58" s="17"/>
      <c r="I58" s="17"/>
      <c r="J58" s="18">
        <f>0.13*G55*133.56</f>
        <v>68.583324596159699</v>
      </c>
      <c r="K58" s="17"/>
    </row>
    <row r="59" spans="1:19" x14ac:dyDescent="0.25">
      <c r="A59" s="16"/>
      <c r="B59" s="32" t="s">
        <v>30</v>
      </c>
      <c r="C59" s="17"/>
      <c r="D59" s="17"/>
      <c r="E59" s="17"/>
      <c r="F59" s="17"/>
      <c r="G59" s="17"/>
      <c r="H59" s="17"/>
      <c r="I59" s="17"/>
      <c r="J59" s="18">
        <f>0.13*G55*19.6</f>
        <v>10.064638829625114</v>
      </c>
      <c r="K59" s="17"/>
    </row>
    <row r="60" spans="1:19" x14ac:dyDescent="0.25">
      <c r="A60" s="16"/>
      <c r="B60" s="32"/>
      <c r="C60" s="17"/>
      <c r="D60" s="17"/>
      <c r="E60" s="17"/>
      <c r="F60" s="17"/>
      <c r="G60" s="17"/>
      <c r="H60" s="17"/>
      <c r="I60" s="17"/>
      <c r="J60" s="18"/>
      <c r="K60" s="17"/>
    </row>
    <row r="61" spans="1:19" ht="15" customHeight="1" x14ac:dyDescent="0.25">
      <c r="A61" s="2">
        <v>7</v>
      </c>
      <c r="B61" s="1" t="s">
        <v>17</v>
      </c>
      <c r="C61" s="3">
        <v>1</v>
      </c>
      <c r="D61" s="4"/>
      <c r="E61" s="5"/>
      <c r="F61" s="5"/>
      <c r="G61" s="7">
        <f t="shared" ref="G61" si="16">PRODUCT(C61:F61)</f>
        <v>1</v>
      </c>
      <c r="H61" s="7" t="s">
        <v>18</v>
      </c>
      <c r="I61" s="6">
        <v>1000</v>
      </c>
      <c r="J61" s="7">
        <f>G61*I61</f>
        <v>1000</v>
      </c>
      <c r="K61" s="5"/>
    </row>
    <row r="62" spans="1:19" x14ac:dyDescent="0.25">
      <c r="A62" s="2"/>
      <c r="B62" s="8"/>
      <c r="C62" s="3"/>
      <c r="D62" s="4"/>
      <c r="E62" s="5"/>
      <c r="F62" s="5"/>
      <c r="G62" s="6"/>
      <c r="H62" s="7"/>
      <c r="I62" s="6"/>
      <c r="J62" s="18"/>
      <c r="K62" s="5"/>
    </row>
    <row r="63" spans="1:19" x14ac:dyDescent="0.25">
      <c r="A63" s="21"/>
      <c r="B63" s="22" t="s">
        <v>20</v>
      </c>
      <c r="C63" s="23"/>
      <c r="D63" s="24"/>
      <c r="E63" s="24"/>
      <c r="F63" s="24"/>
      <c r="G63" s="18"/>
      <c r="H63" s="18"/>
      <c r="I63" s="18"/>
      <c r="J63" s="18">
        <f>SUM(J9:J61)</f>
        <v>234835.07491669987</v>
      </c>
      <c r="K63" s="25"/>
    </row>
    <row r="64" spans="1:19" x14ac:dyDescent="0.25">
      <c r="M64" s="20"/>
      <c r="N64" s="20"/>
      <c r="O64" s="20"/>
      <c r="P64" s="20"/>
      <c r="Q64" s="20"/>
      <c r="R64" s="20"/>
      <c r="S64" s="20"/>
    </row>
    <row r="65" spans="1:19" s="20" customFormat="1" x14ac:dyDescent="0.25">
      <c r="A65" s="26"/>
      <c r="B65" s="27" t="s">
        <v>19</v>
      </c>
      <c r="C65" s="65">
        <f>J63</f>
        <v>234835.07491669987</v>
      </c>
      <c r="D65" s="66"/>
      <c r="E65" s="9">
        <v>100</v>
      </c>
      <c r="F65" s="26"/>
      <c r="G65" s="28"/>
      <c r="H65" s="26"/>
      <c r="I65" s="29"/>
      <c r="J65" s="30"/>
      <c r="K65" s="31"/>
      <c r="M65" s="19"/>
      <c r="N65" s="19"/>
      <c r="O65" s="19"/>
      <c r="P65" s="19"/>
      <c r="Q65" s="19"/>
      <c r="R65" s="19"/>
      <c r="S65" s="19"/>
    </row>
    <row r="66" spans="1:19" x14ac:dyDescent="0.25">
      <c r="B66" s="27" t="s">
        <v>21</v>
      </c>
      <c r="C66" s="68">
        <v>200000</v>
      </c>
      <c r="D66" s="69"/>
      <c r="E66" s="9"/>
    </row>
    <row r="67" spans="1:19" x14ac:dyDescent="0.25">
      <c r="B67" s="27" t="s">
        <v>22</v>
      </c>
      <c r="C67" s="68">
        <f>C66-C69-C70</f>
        <v>190000</v>
      </c>
      <c r="D67" s="69"/>
      <c r="E67" s="9">
        <f>C67/C65*100</f>
        <v>80.907845673137345</v>
      </c>
    </row>
    <row r="68" spans="1:19" x14ac:dyDescent="0.25">
      <c r="B68" s="27" t="s">
        <v>31</v>
      </c>
      <c r="C68" s="70">
        <f>C65-C67</f>
        <v>44835.074916699872</v>
      </c>
      <c r="D68" s="70"/>
      <c r="E68" s="9">
        <f>100-E67</f>
        <v>19.092154326862655</v>
      </c>
    </row>
    <row r="69" spans="1:19" x14ac:dyDescent="0.25">
      <c r="B69" s="27" t="s">
        <v>23</v>
      </c>
      <c r="C69" s="65">
        <f>C66*0.03</f>
        <v>6000</v>
      </c>
      <c r="D69" s="66"/>
      <c r="E69" s="9">
        <v>3</v>
      </c>
    </row>
    <row r="70" spans="1:19" x14ac:dyDescent="0.25">
      <c r="B70" s="27" t="s">
        <v>24</v>
      </c>
      <c r="C70" s="65">
        <f>C66*0.02</f>
        <v>4000</v>
      </c>
      <c r="D70" s="66"/>
      <c r="E70" s="9">
        <v>2</v>
      </c>
    </row>
  </sheetData>
  <mergeCells count="15">
    <mergeCell ref="C69:D69"/>
    <mergeCell ref="C70:D70"/>
    <mergeCell ref="A7:F7"/>
    <mergeCell ref="H7:K7"/>
    <mergeCell ref="C65:D65"/>
    <mergeCell ref="C66:D66"/>
    <mergeCell ref="C67:D67"/>
    <mergeCell ref="C68:D68"/>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45"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9"/>
  <sheetViews>
    <sheetView view="pageBreakPreview" topLeftCell="A73" zoomScale="95" zoomScaleNormal="90" zoomScaleSheetLayoutView="95" workbookViewId="0">
      <selection activeCell="G69" sqref="G6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1" x14ac:dyDescent="0.25">
      <c r="A1" s="71" t="s">
        <v>0</v>
      </c>
      <c r="B1" s="71"/>
      <c r="C1" s="71"/>
      <c r="D1" s="71"/>
      <c r="E1" s="71"/>
      <c r="F1" s="71"/>
      <c r="G1" s="71"/>
      <c r="H1" s="71"/>
      <c r="I1" s="71"/>
      <c r="J1" s="71"/>
      <c r="K1" s="71"/>
    </row>
    <row r="2" spans="1:11" ht="22.5" x14ac:dyDescent="0.25">
      <c r="A2" s="72" t="s">
        <v>1</v>
      </c>
      <c r="B2" s="72"/>
      <c r="C2" s="72"/>
      <c r="D2" s="72"/>
      <c r="E2" s="72"/>
      <c r="F2" s="72"/>
      <c r="G2" s="72"/>
      <c r="H2" s="72"/>
      <c r="I2" s="72"/>
      <c r="J2" s="72"/>
      <c r="K2" s="72"/>
    </row>
    <row r="3" spans="1:11" x14ac:dyDescent="0.25">
      <c r="A3" s="73" t="s">
        <v>2</v>
      </c>
      <c r="B3" s="73"/>
      <c r="C3" s="73"/>
      <c r="D3" s="73"/>
      <c r="E3" s="73"/>
      <c r="F3" s="73"/>
      <c r="G3" s="73"/>
      <c r="H3" s="73"/>
      <c r="I3" s="73"/>
      <c r="J3" s="73"/>
      <c r="K3" s="73"/>
    </row>
    <row r="4" spans="1:11" x14ac:dyDescent="0.25">
      <c r="A4" s="73" t="s">
        <v>3</v>
      </c>
      <c r="B4" s="73"/>
      <c r="C4" s="73"/>
      <c r="D4" s="73"/>
      <c r="E4" s="73"/>
      <c r="F4" s="73"/>
      <c r="G4" s="73"/>
      <c r="H4" s="73"/>
      <c r="I4" s="73"/>
      <c r="J4" s="73"/>
      <c r="K4" s="73"/>
    </row>
    <row r="5" spans="1:11" ht="18.75" x14ac:dyDescent="0.3">
      <c r="A5" s="74" t="s">
        <v>63</v>
      </c>
      <c r="B5" s="74"/>
      <c r="C5" s="74"/>
      <c r="D5" s="74"/>
      <c r="E5" s="74"/>
      <c r="F5" s="74"/>
      <c r="G5" s="74"/>
      <c r="H5" s="74"/>
      <c r="I5" s="74"/>
      <c r="J5" s="74"/>
      <c r="K5" s="74"/>
    </row>
    <row r="6" spans="1:11" ht="15.75" x14ac:dyDescent="0.25">
      <c r="A6" s="75" t="s">
        <v>60</v>
      </c>
      <c r="B6" s="75"/>
      <c r="C6" s="75"/>
      <c r="D6" s="75"/>
      <c r="E6" s="75"/>
      <c r="F6" s="75"/>
      <c r="G6" s="10"/>
      <c r="H6" s="76" t="s">
        <v>25</v>
      </c>
      <c r="I6" s="76"/>
      <c r="J6" s="76"/>
      <c r="K6" s="76"/>
    </row>
    <row r="7" spans="1:11" ht="15.75" x14ac:dyDescent="0.25">
      <c r="A7" s="67" t="s">
        <v>48</v>
      </c>
      <c r="B7" s="67"/>
      <c r="C7" s="67"/>
      <c r="D7" s="67"/>
      <c r="E7" s="67"/>
      <c r="F7" s="67"/>
      <c r="G7" s="11"/>
      <c r="H7" s="77" t="s">
        <v>90</v>
      </c>
      <c r="I7" s="77"/>
      <c r="J7" s="77"/>
      <c r="K7" s="77"/>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s="35" customFormat="1" ht="45" x14ac:dyDescent="0.25">
      <c r="A9" s="2">
        <v>1</v>
      </c>
      <c r="B9" s="36" t="s">
        <v>32</v>
      </c>
      <c r="C9" s="3" t="s">
        <v>7</v>
      </c>
      <c r="D9" s="37" t="s">
        <v>33</v>
      </c>
      <c r="E9" s="38" t="s">
        <v>34</v>
      </c>
      <c r="F9" s="38" t="s">
        <v>35</v>
      </c>
      <c r="G9" s="38"/>
      <c r="H9" s="7"/>
      <c r="I9" s="6"/>
      <c r="J9" s="39"/>
      <c r="K9" s="5"/>
    </row>
    <row r="10" spans="1:11" s="35" customFormat="1" ht="30" x14ac:dyDescent="0.25">
      <c r="A10" s="16"/>
      <c r="B10" s="40" t="s">
        <v>65</v>
      </c>
      <c r="C10" s="41">
        <v>2</v>
      </c>
      <c r="D10" s="9">
        <f>(15.5+1)/3.281</f>
        <v>5.0289545870161536</v>
      </c>
      <c r="E10" s="9">
        <v>3.54</v>
      </c>
      <c r="F10" s="9">
        <f t="shared" ref="F10" si="0">PRODUCT(C10:E10)</f>
        <v>35.604998476074371</v>
      </c>
      <c r="G10" s="9">
        <f t="shared" ref="G10" si="1">F10</f>
        <v>35.604998476074371</v>
      </c>
      <c r="H10" s="39"/>
      <c r="I10" s="39"/>
      <c r="J10" s="39"/>
      <c r="K10" s="27"/>
    </row>
    <row r="11" spans="1:11" s="35" customFormat="1" x14ac:dyDescent="0.25">
      <c r="A11" s="16"/>
      <c r="B11" s="40"/>
      <c r="C11" s="41">
        <v>2</v>
      </c>
      <c r="D11" s="9">
        <f>(15.5-1.5+2)/3.281</f>
        <v>4.8765620237732392</v>
      </c>
      <c r="E11" s="9">
        <v>3.54</v>
      </c>
      <c r="F11" s="9">
        <f t="shared" ref="F11" si="2">PRODUCT(C11:E11)</f>
        <v>34.526059128314536</v>
      </c>
      <c r="G11" s="9">
        <f t="shared" ref="G11" si="3">F11</f>
        <v>34.526059128314536</v>
      </c>
      <c r="H11" s="39"/>
      <c r="I11" s="39"/>
      <c r="J11" s="39"/>
      <c r="K11" s="27"/>
    </row>
    <row r="12" spans="1:11" s="35" customFormat="1" ht="30" x14ac:dyDescent="0.25">
      <c r="A12" s="16"/>
      <c r="B12" s="40" t="s">
        <v>67</v>
      </c>
      <c r="C12" s="41">
        <v>2</v>
      </c>
      <c r="D12" s="9">
        <v>3.9</v>
      </c>
      <c r="E12" s="9">
        <v>2.14</v>
      </c>
      <c r="F12" s="9">
        <f>PRODUCT(C12:E12)</f>
        <v>16.692</v>
      </c>
      <c r="G12" s="9">
        <f>F12</f>
        <v>16.692</v>
      </c>
      <c r="H12" s="39"/>
      <c r="I12" s="39"/>
      <c r="J12" s="39"/>
      <c r="K12" s="27"/>
    </row>
    <row r="13" spans="1:11" s="35" customFormat="1" ht="30" x14ac:dyDescent="0.25">
      <c r="A13" s="16"/>
      <c r="B13" s="40" t="s">
        <v>68</v>
      </c>
      <c r="C13" s="41">
        <v>9</v>
      </c>
      <c r="D13" s="9">
        <v>3.09</v>
      </c>
      <c r="E13" s="9">
        <v>2.14</v>
      </c>
      <c r="F13" s="9">
        <f t="shared" ref="F13" si="4">PRODUCT(C13:E13)</f>
        <v>59.513399999999997</v>
      </c>
      <c r="G13" s="9">
        <f t="shared" ref="G13" si="5">F13</f>
        <v>59.513399999999997</v>
      </c>
      <c r="H13" s="39"/>
      <c r="I13" s="39"/>
      <c r="J13" s="39"/>
      <c r="K13" s="27"/>
    </row>
    <row r="14" spans="1:11" s="35" customFormat="1" ht="45" x14ac:dyDescent="0.25">
      <c r="A14" s="16"/>
      <c r="B14" s="40" t="s">
        <v>66</v>
      </c>
      <c r="C14" s="41">
        <v>1</v>
      </c>
      <c r="D14" s="9">
        <v>3.9</v>
      </c>
      <c r="E14" s="9">
        <v>2.35</v>
      </c>
      <c r="F14" s="9">
        <f t="shared" ref="F14" si="6">PRODUCT(C14:E14)</f>
        <v>9.1650000000000009</v>
      </c>
      <c r="G14" s="9">
        <f t="shared" ref="G14" si="7">F14</f>
        <v>9.1650000000000009</v>
      </c>
      <c r="H14" s="39"/>
      <c r="I14" s="39"/>
      <c r="J14" s="39"/>
      <c r="K14" s="27"/>
    </row>
    <row r="15" spans="1:11" s="35" customFormat="1" ht="45" x14ac:dyDescent="0.25">
      <c r="A15" s="16"/>
      <c r="B15" s="40" t="s">
        <v>69</v>
      </c>
      <c r="C15" s="41">
        <v>3</v>
      </c>
      <c r="D15" s="9">
        <f>(7+1)/3.281</f>
        <v>2.4382810118866196</v>
      </c>
      <c r="E15" s="9">
        <v>3.54</v>
      </c>
      <c r="F15" s="9">
        <f t="shared" ref="F15" si="8">PRODUCT(C15:E15)</f>
        <v>25.8945443462359</v>
      </c>
      <c r="G15" s="9">
        <f t="shared" ref="G15" si="9">F15</f>
        <v>25.8945443462359</v>
      </c>
      <c r="H15" s="39"/>
      <c r="I15" s="39"/>
      <c r="J15" s="39"/>
      <c r="K15" s="27"/>
    </row>
    <row r="16" spans="1:11" s="35" customFormat="1" x14ac:dyDescent="0.25">
      <c r="A16" s="16"/>
      <c r="B16" s="40"/>
      <c r="C16" s="41">
        <v>3</v>
      </c>
      <c r="D16" s="9">
        <v>2.6</v>
      </c>
      <c r="E16" s="9">
        <v>3.54</v>
      </c>
      <c r="F16" s="9">
        <f t="shared" ref="F16:F17" si="10">PRODUCT(C16:E16)</f>
        <v>27.612000000000002</v>
      </c>
      <c r="G16" s="9">
        <f t="shared" ref="G16:G17" si="11">F16</f>
        <v>27.612000000000002</v>
      </c>
      <c r="H16" s="39"/>
      <c r="I16" s="39"/>
      <c r="J16" s="39"/>
      <c r="K16" s="27"/>
    </row>
    <row r="17" spans="1:11" s="35" customFormat="1" ht="30" x14ac:dyDescent="0.25">
      <c r="A17" s="16"/>
      <c r="B17" s="40" t="s">
        <v>70</v>
      </c>
      <c r="C17" s="41">
        <v>5</v>
      </c>
      <c r="D17" s="9">
        <v>3.09</v>
      </c>
      <c r="E17" s="9">
        <v>1.39</v>
      </c>
      <c r="F17" s="9">
        <f t="shared" si="10"/>
        <v>21.475499999999997</v>
      </c>
      <c r="G17" s="9">
        <f t="shared" si="11"/>
        <v>21.475499999999997</v>
      </c>
      <c r="H17" s="39"/>
      <c r="I17" s="39"/>
      <c r="J17" s="39"/>
      <c r="K17" s="27"/>
    </row>
    <row r="18" spans="1:11" s="35" customFormat="1" ht="45" x14ac:dyDescent="0.25">
      <c r="A18" s="16"/>
      <c r="B18" s="40" t="s">
        <v>71</v>
      </c>
      <c r="C18" s="41">
        <v>5</v>
      </c>
      <c r="D18" s="9">
        <f>1.8+1.9</f>
        <v>3.7</v>
      </c>
      <c r="E18" s="9">
        <v>1.39</v>
      </c>
      <c r="F18" s="9">
        <f t="shared" ref="F18" si="12">PRODUCT(C18:E18)</f>
        <v>25.715</v>
      </c>
      <c r="G18" s="9">
        <f t="shared" ref="G18" si="13">F18</f>
        <v>25.715</v>
      </c>
      <c r="H18" s="39"/>
      <c r="I18" s="39"/>
      <c r="J18" s="39"/>
      <c r="K18" s="27"/>
    </row>
    <row r="19" spans="1:11" s="35" customFormat="1" ht="45" x14ac:dyDescent="0.25">
      <c r="A19" s="16"/>
      <c r="B19" s="40" t="s">
        <v>72</v>
      </c>
      <c r="C19" s="41">
        <v>3</v>
      </c>
      <c r="D19" s="9">
        <f>13/3.281</f>
        <v>3.9622066443157573</v>
      </c>
      <c r="E19" s="9">
        <v>1.39</v>
      </c>
      <c r="F19" s="9">
        <f t="shared" ref="F19:F20" si="14">PRODUCT(C19:E19)</f>
        <v>16.522401706796707</v>
      </c>
      <c r="G19" s="9">
        <f t="shared" ref="G19:G20" si="15">F19</f>
        <v>16.522401706796707</v>
      </c>
      <c r="H19" s="39"/>
      <c r="I19" s="39"/>
      <c r="J19" s="39"/>
      <c r="K19" s="27"/>
    </row>
    <row r="20" spans="1:11" s="35" customFormat="1" ht="30" x14ac:dyDescent="0.25">
      <c r="A20" s="16"/>
      <c r="B20" s="40" t="s">
        <v>65</v>
      </c>
      <c r="C20" s="41">
        <v>3</v>
      </c>
      <c r="D20" s="9">
        <f>(13)/3.281</f>
        <v>3.9622066443157573</v>
      </c>
      <c r="E20" s="9">
        <v>3.54</v>
      </c>
      <c r="F20" s="9">
        <f t="shared" si="14"/>
        <v>42.078634562633347</v>
      </c>
      <c r="G20" s="9">
        <f t="shared" si="15"/>
        <v>42.078634562633347</v>
      </c>
      <c r="H20" s="39"/>
      <c r="I20" s="39"/>
      <c r="J20" s="39"/>
      <c r="K20" s="27"/>
    </row>
    <row r="21" spans="1:11" s="35" customFormat="1" x14ac:dyDescent="0.25">
      <c r="A21" s="16"/>
      <c r="B21" s="40"/>
      <c r="C21" s="41">
        <v>3</v>
      </c>
      <c r="D21" s="9">
        <f>(9)/3.281</f>
        <v>2.7430661383724475</v>
      </c>
      <c r="E21" s="9">
        <v>3.54</v>
      </c>
      <c r="F21" s="9">
        <f t="shared" ref="F21:F24" si="16">PRODUCT(C21:E21)</f>
        <v>29.131362389515388</v>
      </c>
      <c r="G21" s="9">
        <f t="shared" ref="G21:G24" si="17">F21</f>
        <v>29.131362389515388</v>
      </c>
      <c r="H21" s="39"/>
      <c r="I21" s="39"/>
      <c r="J21" s="39"/>
      <c r="K21" s="27"/>
    </row>
    <row r="22" spans="1:11" s="35" customFormat="1" ht="30" x14ac:dyDescent="0.25">
      <c r="A22" s="16"/>
      <c r="B22" s="40" t="s">
        <v>70</v>
      </c>
      <c r="C22" s="41">
        <v>5</v>
      </c>
      <c r="D22" s="9">
        <f>3.8+7-11.33/3.281+0.6</f>
        <v>7.9467845169155744</v>
      </c>
      <c r="E22" s="9">
        <v>1.39</v>
      </c>
      <c r="F22" s="9">
        <f t="shared" si="16"/>
        <v>55.230152392563234</v>
      </c>
      <c r="G22" s="9">
        <f t="shared" si="17"/>
        <v>55.230152392563234</v>
      </c>
      <c r="H22" s="39"/>
      <c r="I22" s="39"/>
      <c r="J22" s="39"/>
      <c r="K22" s="27"/>
    </row>
    <row r="23" spans="1:11" s="35" customFormat="1" ht="45" x14ac:dyDescent="0.25">
      <c r="A23" s="16"/>
      <c r="B23" s="40" t="s">
        <v>87</v>
      </c>
      <c r="C23" s="41">
        <v>3</v>
      </c>
      <c r="D23" s="9">
        <f>11.25/3.281</f>
        <v>3.4288326729655592</v>
      </c>
      <c r="E23" s="9">
        <v>2.35</v>
      </c>
      <c r="F23" s="9">
        <f t="shared" si="16"/>
        <v>24.173270344407193</v>
      </c>
      <c r="G23" s="9">
        <f t="shared" si="17"/>
        <v>24.173270344407193</v>
      </c>
      <c r="H23" s="39"/>
      <c r="I23" s="39"/>
      <c r="J23" s="39"/>
      <c r="K23" s="27"/>
    </row>
    <row r="24" spans="1:11" s="35" customFormat="1" ht="45" x14ac:dyDescent="0.25">
      <c r="A24" s="16"/>
      <c r="B24" s="40" t="s">
        <v>88</v>
      </c>
      <c r="C24" s="41">
        <v>3</v>
      </c>
      <c r="D24" s="9">
        <f>(11.667*2)/3.281</f>
        <v>7.1118561414202981</v>
      </c>
      <c r="E24" s="9">
        <v>1.39</v>
      </c>
      <c r="F24" s="9">
        <f t="shared" si="16"/>
        <v>29.656440109722642</v>
      </c>
      <c r="G24" s="9">
        <f t="shared" si="17"/>
        <v>29.656440109722642</v>
      </c>
      <c r="H24" s="39"/>
      <c r="I24" s="39"/>
      <c r="J24" s="39"/>
      <c r="K24" s="27"/>
    </row>
    <row r="25" spans="1:11" s="35" customFormat="1" x14ac:dyDescent="0.25">
      <c r="A25" s="16"/>
      <c r="B25" s="40"/>
      <c r="C25" s="41">
        <v>3</v>
      </c>
      <c r="D25" s="9">
        <f>11.25/3.281</f>
        <v>3.4288326729655592</v>
      </c>
      <c r="E25" s="9">
        <v>1.39</v>
      </c>
      <c r="F25" s="9">
        <f t="shared" ref="F25" si="18">PRODUCT(C25:E25)</f>
        <v>14.298232246266382</v>
      </c>
      <c r="G25" s="9">
        <f t="shared" ref="G25" si="19">F25</f>
        <v>14.298232246266382</v>
      </c>
      <c r="H25" s="39"/>
      <c r="I25" s="39"/>
      <c r="J25" s="39"/>
      <c r="K25" s="27"/>
    </row>
    <row r="26" spans="1:11" s="35" customFormat="1" x14ac:dyDescent="0.25">
      <c r="A26" s="16"/>
      <c r="B26" s="40"/>
      <c r="C26" s="41">
        <v>6</v>
      </c>
      <c r="D26" s="9">
        <f>11.25/3.281</f>
        <v>3.4288326729655592</v>
      </c>
      <c r="E26" s="9">
        <v>1.39</v>
      </c>
      <c r="F26" s="9">
        <f t="shared" ref="F26" si="20">PRODUCT(C26:E26)</f>
        <v>28.596464492532764</v>
      </c>
      <c r="G26" s="9">
        <f t="shared" ref="G26" si="21">F26</f>
        <v>28.596464492532764</v>
      </c>
      <c r="H26" s="39"/>
      <c r="I26" s="39"/>
      <c r="J26" s="39"/>
      <c r="K26" s="27"/>
    </row>
    <row r="27" spans="1:11" s="35" customFormat="1" x14ac:dyDescent="0.25">
      <c r="A27" s="2"/>
      <c r="B27" s="40" t="s">
        <v>36</v>
      </c>
      <c r="C27" s="3"/>
      <c r="D27" s="4"/>
      <c r="E27" s="5"/>
      <c r="F27" s="5"/>
      <c r="G27" s="39">
        <f>SUM(G10:G26)</f>
        <v>495.88546019506242</v>
      </c>
      <c r="H27" s="7" t="s">
        <v>37</v>
      </c>
      <c r="I27" s="6">
        <v>182.51</v>
      </c>
      <c r="J27" s="39">
        <f>G27*I27</f>
        <v>90504.055340200837</v>
      </c>
      <c r="K27" s="5"/>
    </row>
    <row r="28" spans="1:11" s="35" customFormat="1" x14ac:dyDescent="0.25">
      <c r="A28" s="2"/>
      <c r="B28" s="40" t="s">
        <v>38</v>
      </c>
      <c r="C28" s="3"/>
      <c r="D28" s="4"/>
      <c r="E28" s="5"/>
      <c r="F28" s="5"/>
      <c r="G28" s="39"/>
      <c r="H28" s="7"/>
      <c r="I28" s="6"/>
      <c r="J28" s="39">
        <f>0.13*G27*(1871.42/18.94)</f>
        <v>6369.6565907799195</v>
      </c>
      <c r="K28" s="5"/>
    </row>
    <row r="29" spans="1:11" s="35" customFormat="1" x14ac:dyDescent="0.25">
      <c r="A29" s="2"/>
      <c r="B29" s="40"/>
      <c r="C29" s="3"/>
      <c r="D29" s="4"/>
      <c r="E29" s="5"/>
      <c r="F29" s="5"/>
      <c r="G29" s="39"/>
      <c r="H29" s="7"/>
      <c r="I29" s="6"/>
      <c r="J29" s="39"/>
      <c r="K29" s="5"/>
    </row>
    <row r="30" spans="1:11" s="35" customFormat="1" ht="45" x14ac:dyDescent="0.25">
      <c r="A30" s="2">
        <v>2</v>
      </c>
      <c r="B30" s="36" t="s">
        <v>62</v>
      </c>
      <c r="C30" s="3"/>
      <c r="D30" s="4"/>
      <c r="E30" s="5"/>
      <c r="F30" s="5"/>
      <c r="G30" s="39"/>
      <c r="H30" s="7"/>
      <c r="I30" s="6"/>
      <c r="J30" s="39"/>
      <c r="K30" s="5"/>
    </row>
    <row r="31" spans="1:11" s="35" customFormat="1" x14ac:dyDescent="0.25">
      <c r="A31" s="2"/>
      <c r="B31" s="40" t="s">
        <v>39</v>
      </c>
      <c r="C31" s="3">
        <v>1</v>
      </c>
      <c r="D31" s="4">
        <f>(10+3)/3.281</f>
        <v>3.9622066443157573</v>
      </c>
      <c r="E31" s="5">
        <f>(7)/3.281</f>
        <v>2.1334958854007922</v>
      </c>
      <c r="F31" s="5"/>
      <c r="G31" s="33">
        <f t="shared" ref="G31:G32" si="22">PRODUCT(C31:F31)</f>
        <v>8.4533515727553485</v>
      </c>
      <c r="H31" s="7"/>
      <c r="I31" s="6"/>
      <c r="J31" s="39"/>
      <c r="K31" s="5"/>
    </row>
    <row r="32" spans="1:11" s="35" customFormat="1" x14ac:dyDescent="0.25">
      <c r="A32" s="2"/>
      <c r="B32" s="40" t="s">
        <v>73</v>
      </c>
      <c r="C32" s="3">
        <v>1</v>
      </c>
      <c r="D32" s="4">
        <f>(13)/3.281</f>
        <v>3.9622066443157573</v>
      </c>
      <c r="E32" s="5">
        <f>1.75+1.75</f>
        <v>3.5</v>
      </c>
      <c r="F32" s="5"/>
      <c r="G32" s="33">
        <f t="shared" si="22"/>
        <v>13.867723255105151</v>
      </c>
      <c r="H32" s="7"/>
      <c r="I32" s="6"/>
      <c r="J32" s="39"/>
      <c r="K32" s="5"/>
    </row>
    <row r="33" spans="1:11" s="35" customFormat="1" x14ac:dyDescent="0.25">
      <c r="A33" s="2"/>
      <c r="B33" s="40"/>
      <c r="C33" s="3">
        <v>1</v>
      </c>
      <c r="D33" s="4">
        <f>3.75+7-11.33/3.281</f>
        <v>7.2967845169155741</v>
      </c>
      <c r="E33" s="5">
        <f>14/3.281</f>
        <v>4.2669917708015843</v>
      </c>
      <c r="F33" s="5"/>
      <c r="G33" s="33">
        <f t="shared" ref="G33" si="23">PRODUCT(C33:F33)</f>
        <v>31.135319486991168</v>
      </c>
      <c r="H33" s="7"/>
      <c r="I33" s="6"/>
      <c r="J33" s="39"/>
      <c r="K33" s="5"/>
    </row>
    <row r="34" spans="1:11" s="35" customFormat="1" x14ac:dyDescent="0.25">
      <c r="A34" s="2"/>
      <c r="B34" s="40" t="s">
        <v>36</v>
      </c>
      <c r="C34" s="3"/>
      <c r="D34" s="4"/>
      <c r="E34" s="5"/>
      <c r="F34" s="5"/>
      <c r="G34" s="39">
        <f>SUM(G31:G33)</f>
        <v>53.456394314851664</v>
      </c>
      <c r="H34" s="7" t="s">
        <v>40</v>
      </c>
      <c r="I34" s="6">
        <v>1074.98</v>
      </c>
      <c r="J34" s="39">
        <f>G34*I34</f>
        <v>57464.554760579245</v>
      </c>
      <c r="K34" s="5"/>
    </row>
    <row r="35" spans="1:11" x14ac:dyDescent="0.25">
      <c r="A35" s="16"/>
      <c r="B35" s="32" t="s">
        <v>41</v>
      </c>
      <c r="C35" s="17"/>
      <c r="D35" s="17"/>
      <c r="E35" s="17"/>
      <c r="F35" s="17"/>
      <c r="G35" s="17"/>
      <c r="H35" s="17"/>
      <c r="I35" s="17"/>
      <c r="J35" s="18">
        <f>0.13*G34*6674.66/10</f>
        <v>4638.4423394083815</v>
      </c>
      <c r="K35" s="17"/>
    </row>
    <row r="36" spans="1:11" x14ac:dyDescent="0.25">
      <c r="A36" s="16"/>
      <c r="B36" s="32" t="s">
        <v>42</v>
      </c>
      <c r="C36" s="17"/>
      <c r="D36" s="17"/>
      <c r="E36" s="17"/>
      <c r="F36" s="17"/>
      <c r="G36" s="17"/>
      <c r="H36" s="17"/>
      <c r="I36" s="17"/>
      <c r="J36" s="18">
        <f>0.13*G34*1023.75/10</f>
        <v>711.43778783778214</v>
      </c>
      <c r="K36" s="17"/>
    </row>
    <row r="37" spans="1:11" x14ac:dyDescent="0.25">
      <c r="A37" s="16"/>
      <c r="B37" s="32" t="s">
        <v>43</v>
      </c>
      <c r="C37" s="17"/>
      <c r="D37" s="17"/>
      <c r="E37" s="17"/>
      <c r="F37" s="17"/>
      <c r="G37" s="17"/>
      <c r="H37" s="17"/>
      <c r="I37" s="17"/>
      <c r="J37" s="18">
        <f>0.13*G34*348.21/10</f>
        <v>241.98266383686845</v>
      </c>
      <c r="K37" s="17"/>
    </row>
    <row r="38" spans="1:11" x14ac:dyDescent="0.25">
      <c r="A38" s="16"/>
      <c r="B38" s="32" t="s">
        <v>44</v>
      </c>
      <c r="C38" s="17"/>
      <c r="D38" s="17"/>
      <c r="E38" s="17"/>
      <c r="F38" s="17"/>
      <c r="G38" s="17"/>
      <c r="H38" s="17"/>
      <c r="I38" s="17"/>
      <c r="J38" s="18">
        <f>0.13*G34*165/10</f>
        <v>114.66396580535684</v>
      </c>
      <c r="K38" s="17"/>
    </row>
    <row r="39" spans="1:11" x14ac:dyDescent="0.25">
      <c r="A39" s="16"/>
      <c r="B39" s="32"/>
      <c r="C39" s="17"/>
      <c r="D39" s="17"/>
      <c r="E39" s="17"/>
      <c r="F39" s="17"/>
      <c r="G39" s="17"/>
      <c r="H39" s="17"/>
      <c r="I39" s="17"/>
      <c r="J39" s="18"/>
      <c r="K39" s="17"/>
    </row>
    <row r="40" spans="1:11" ht="30.75" x14ac:dyDescent="0.25">
      <c r="A40" s="16">
        <v>3</v>
      </c>
      <c r="B40" s="43" t="s">
        <v>49</v>
      </c>
      <c r="C40" s="17"/>
      <c r="D40" s="17"/>
      <c r="E40" s="17"/>
      <c r="F40" s="17"/>
      <c r="G40" s="17"/>
      <c r="H40" s="17"/>
      <c r="I40" s="17"/>
      <c r="J40" s="18"/>
      <c r="K40" s="17"/>
    </row>
    <row r="41" spans="1:11" x14ac:dyDescent="0.25">
      <c r="A41" s="16"/>
      <c r="B41" s="32" t="s">
        <v>45</v>
      </c>
      <c r="C41" s="17">
        <v>2</v>
      </c>
      <c r="D41" s="33">
        <f>8/3.281</f>
        <v>2.4382810118866196</v>
      </c>
      <c r="E41" s="17">
        <v>0.45</v>
      </c>
      <c r="F41" s="17">
        <v>0.9</v>
      </c>
      <c r="G41" s="33">
        <f t="shared" ref="G41:G45" si="24">PRODUCT(C41:F41)</f>
        <v>1.9750076196281618</v>
      </c>
      <c r="H41" s="17"/>
      <c r="I41" s="17"/>
      <c r="J41" s="18"/>
      <c r="K41" s="17"/>
    </row>
    <row r="42" spans="1:11" x14ac:dyDescent="0.25">
      <c r="A42" s="16"/>
      <c r="B42" s="32" t="s">
        <v>47</v>
      </c>
      <c r="C42" s="17">
        <f>2*6</f>
        <v>12</v>
      </c>
      <c r="D42" s="33">
        <v>0.45</v>
      </c>
      <c r="E42" s="17">
        <v>0.45</v>
      </c>
      <c r="F42" s="17">
        <v>0.45</v>
      </c>
      <c r="G42" s="33">
        <f t="shared" si="24"/>
        <v>1.0935000000000001</v>
      </c>
      <c r="H42" s="17"/>
      <c r="I42" s="17"/>
      <c r="J42" s="18"/>
      <c r="K42" s="17"/>
    </row>
    <row r="43" spans="1:11" x14ac:dyDescent="0.25">
      <c r="A43" s="16"/>
      <c r="B43" s="32" t="s">
        <v>55</v>
      </c>
      <c r="C43" s="17">
        <v>1</v>
      </c>
      <c r="D43" s="33">
        <f>13/3.281</f>
        <v>3.9622066443157573</v>
      </c>
      <c r="E43" s="33">
        <f>10/3.281</f>
        <v>3.047851264858275</v>
      </c>
      <c r="F43" s="17">
        <v>0.1</v>
      </c>
      <c r="G43" s="33">
        <f t="shared" si="24"/>
        <v>1.2076216532507642</v>
      </c>
      <c r="H43" s="17"/>
      <c r="I43" s="17"/>
      <c r="J43" s="18"/>
      <c r="K43" s="17"/>
    </row>
    <row r="44" spans="1:11" x14ac:dyDescent="0.25">
      <c r="A44" s="16"/>
      <c r="B44" s="32" t="s">
        <v>47</v>
      </c>
      <c r="C44" s="17">
        <v>6</v>
      </c>
      <c r="D44" s="33">
        <f>0.3</f>
        <v>0.3</v>
      </c>
      <c r="E44" s="33">
        <v>0.3</v>
      </c>
      <c r="F44" s="17">
        <v>0.3</v>
      </c>
      <c r="G44" s="33">
        <f t="shared" si="24"/>
        <v>0.16199999999999998</v>
      </c>
      <c r="H44" s="17"/>
      <c r="I44" s="17"/>
      <c r="J44" s="18"/>
      <c r="K44" s="17"/>
    </row>
    <row r="45" spans="1:11" x14ac:dyDescent="0.25">
      <c r="A45" s="16"/>
      <c r="B45" s="32" t="s">
        <v>89</v>
      </c>
      <c r="C45" s="17">
        <v>1</v>
      </c>
      <c r="D45" s="33">
        <f>9/3.281</f>
        <v>2.7430661383724475</v>
      </c>
      <c r="E45" s="33">
        <v>0.6</v>
      </c>
      <c r="F45" s="17">
        <v>0.9</v>
      </c>
      <c r="G45" s="33">
        <f t="shared" si="24"/>
        <v>1.4812557147211216</v>
      </c>
      <c r="H45" s="17"/>
      <c r="I45" s="17"/>
      <c r="J45" s="18"/>
      <c r="K45" s="17"/>
    </row>
    <row r="46" spans="1:11" s="35" customFormat="1" x14ac:dyDescent="0.25">
      <c r="A46" s="2"/>
      <c r="B46" s="40" t="s">
        <v>36</v>
      </c>
      <c r="C46" s="3"/>
      <c r="D46" s="4"/>
      <c r="E46" s="5"/>
      <c r="F46" s="5"/>
      <c r="G46" s="39">
        <f>SUM(G41:G45)</f>
        <v>5.9193849876000471</v>
      </c>
      <c r="H46" s="7" t="s">
        <v>46</v>
      </c>
      <c r="I46" s="6">
        <v>674.12</v>
      </c>
      <c r="J46" s="39">
        <f>G46*I46</f>
        <v>3990.3758078409437</v>
      </c>
      <c r="K46" s="5"/>
    </row>
    <row r="47" spans="1:11" x14ac:dyDescent="0.25">
      <c r="A47" s="16"/>
      <c r="B47" s="32"/>
      <c r="C47" s="17"/>
      <c r="D47" s="17"/>
      <c r="E47" s="17"/>
      <c r="F47" s="17"/>
      <c r="G47" s="17"/>
      <c r="H47" s="17"/>
      <c r="I47" s="17"/>
      <c r="J47" s="18"/>
      <c r="K47" s="17"/>
    </row>
    <row r="48" spans="1:11" ht="30.75" x14ac:dyDescent="0.25">
      <c r="A48" s="16">
        <v>4</v>
      </c>
      <c r="B48" s="43" t="s">
        <v>50</v>
      </c>
      <c r="C48" s="17"/>
      <c r="D48" s="17"/>
      <c r="E48" s="17"/>
      <c r="F48" s="17"/>
      <c r="G48" s="17"/>
      <c r="H48" s="17"/>
      <c r="I48" s="17"/>
      <c r="J48" s="18"/>
      <c r="K48" s="17"/>
    </row>
    <row r="49" spans="1:11" x14ac:dyDescent="0.25">
      <c r="A49" s="16"/>
      <c r="B49" s="32" t="str">
        <f>B42</f>
        <v>-for footing of vertical post</v>
      </c>
      <c r="C49" s="17">
        <f>C42</f>
        <v>12</v>
      </c>
      <c r="D49" s="33">
        <f>D42</f>
        <v>0.45</v>
      </c>
      <c r="E49" s="33">
        <f>E42</f>
        <v>0.45</v>
      </c>
      <c r="F49" s="33">
        <v>7.4999999999999997E-2</v>
      </c>
      <c r="G49" s="33">
        <f t="shared" ref="G49:G52" si="25">PRODUCT(C49:F49)</f>
        <v>0.18225</v>
      </c>
      <c r="H49" s="17"/>
      <c r="I49" s="17"/>
      <c r="J49" s="18"/>
      <c r="K49" s="17"/>
    </row>
    <row r="50" spans="1:11" x14ac:dyDescent="0.25">
      <c r="A50" s="16"/>
      <c r="B50" s="32" t="s">
        <v>55</v>
      </c>
      <c r="C50" s="17">
        <f t="shared" ref="C50:E52" si="26">C61</f>
        <v>1</v>
      </c>
      <c r="D50" s="33">
        <f t="shared" si="26"/>
        <v>3.5</v>
      </c>
      <c r="E50" s="33">
        <f t="shared" si="26"/>
        <v>3.5</v>
      </c>
      <c r="F50" s="33">
        <v>7.4999999999999997E-2</v>
      </c>
      <c r="G50" s="33">
        <f t="shared" si="25"/>
        <v>0.91874999999999996</v>
      </c>
      <c r="H50" s="17"/>
      <c r="I50" s="17"/>
      <c r="J50" s="18"/>
      <c r="K50" s="17"/>
    </row>
    <row r="51" spans="1:11" x14ac:dyDescent="0.25">
      <c r="A51" s="16"/>
      <c r="B51" s="32"/>
      <c r="C51" s="17">
        <f t="shared" si="26"/>
        <v>1</v>
      </c>
      <c r="D51" s="33">
        <f t="shared" si="26"/>
        <v>4.2</v>
      </c>
      <c r="E51" s="33">
        <f t="shared" si="26"/>
        <v>3.2</v>
      </c>
      <c r="F51" s="33">
        <v>7.4999999999999997E-2</v>
      </c>
      <c r="G51" s="33">
        <f t="shared" ref="G51" si="27">PRODUCT(C51:F51)</f>
        <v>1.008</v>
      </c>
      <c r="H51" s="17"/>
      <c r="I51" s="17"/>
      <c r="J51" s="18"/>
      <c r="K51" s="17"/>
    </row>
    <row r="52" spans="1:11" x14ac:dyDescent="0.25">
      <c r="A52" s="16"/>
      <c r="B52" s="32" t="s">
        <v>56</v>
      </c>
      <c r="C52" s="17">
        <f t="shared" si="26"/>
        <v>-1</v>
      </c>
      <c r="D52" s="33">
        <f t="shared" si="26"/>
        <v>3</v>
      </c>
      <c r="E52" s="33">
        <f t="shared" si="26"/>
        <v>1.5</v>
      </c>
      <c r="F52" s="33">
        <v>7.4999999999999997E-2</v>
      </c>
      <c r="G52" s="33">
        <f t="shared" si="25"/>
        <v>-0.33749999999999997</v>
      </c>
      <c r="H52" s="17"/>
      <c r="I52" s="17"/>
      <c r="J52" s="18"/>
      <c r="K52" s="17"/>
    </row>
    <row r="53" spans="1:11" x14ac:dyDescent="0.25">
      <c r="A53" s="16"/>
      <c r="B53" s="32" t="s">
        <v>55</v>
      </c>
      <c r="C53" s="17">
        <v>1</v>
      </c>
      <c r="D53" s="33">
        <v>3.5</v>
      </c>
      <c r="E53" s="33">
        <v>3.65</v>
      </c>
      <c r="F53" s="33">
        <v>7.4999999999999997E-2</v>
      </c>
      <c r="G53" s="33">
        <f t="shared" ref="G53:G54" si="28">PRODUCT(C53:F53)</f>
        <v>0.958125</v>
      </c>
      <c r="H53" s="17"/>
      <c r="I53" s="17"/>
      <c r="J53" s="18"/>
      <c r="K53" s="17"/>
    </row>
    <row r="54" spans="1:11" x14ac:dyDescent="0.25">
      <c r="A54" s="16"/>
      <c r="B54" s="32"/>
      <c r="C54" s="17">
        <v>1</v>
      </c>
      <c r="D54" s="33">
        <v>3.5</v>
      </c>
      <c r="E54" s="33">
        <v>0.65</v>
      </c>
      <c r="F54" s="33">
        <v>7.4999999999999997E-2</v>
      </c>
      <c r="G54" s="33">
        <f t="shared" si="28"/>
        <v>0.170625</v>
      </c>
      <c r="H54" s="17"/>
      <c r="I54" s="17"/>
      <c r="J54" s="18"/>
      <c r="K54" s="17"/>
    </row>
    <row r="55" spans="1:11" s="35" customFormat="1" x14ac:dyDescent="0.25">
      <c r="A55" s="2"/>
      <c r="B55" s="40" t="s">
        <v>36</v>
      </c>
      <c r="C55" s="3"/>
      <c r="D55" s="4"/>
      <c r="E55" s="5"/>
      <c r="F55" s="5"/>
      <c r="G55" s="39">
        <f>SUM(G49:G54)</f>
        <v>2.9002499999999998</v>
      </c>
      <c r="H55" s="7" t="s">
        <v>46</v>
      </c>
      <c r="I55" s="6">
        <v>4495.6400000000003</v>
      </c>
      <c r="J55" s="39">
        <f>G55*I55</f>
        <v>13038.47991</v>
      </c>
      <c r="K55" s="5"/>
    </row>
    <row r="56" spans="1:11" x14ac:dyDescent="0.25">
      <c r="A56" s="16"/>
      <c r="B56" s="32" t="s">
        <v>51</v>
      </c>
      <c r="C56" s="17"/>
      <c r="D56" s="17"/>
      <c r="E56" s="17"/>
      <c r="F56" s="17"/>
      <c r="G56" s="17"/>
      <c r="H56" s="17"/>
      <c r="I56" s="17"/>
      <c r="J56" s="18">
        <f>0.13*G55*2577.63</f>
        <v>971.85028297500003</v>
      </c>
      <c r="K56" s="17"/>
    </row>
    <row r="57" spans="1:11" x14ac:dyDescent="0.25">
      <c r="A57" s="16"/>
      <c r="B57" s="32" t="s">
        <v>52</v>
      </c>
      <c r="C57" s="17"/>
      <c r="D57" s="17"/>
      <c r="E57" s="17"/>
      <c r="F57" s="17"/>
      <c r="G57" s="17"/>
      <c r="H57" s="17"/>
      <c r="I57" s="17"/>
      <c r="J57" s="18">
        <f>0.13*G55*515.52</f>
        <v>194.36779439999998</v>
      </c>
      <c r="K57" s="17"/>
    </row>
    <row r="58" spans="1:11" x14ac:dyDescent="0.25">
      <c r="A58" s="16"/>
      <c r="B58" s="42"/>
      <c r="C58" s="17"/>
      <c r="D58" s="17"/>
      <c r="E58" s="17"/>
      <c r="F58" s="17"/>
      <c r="G58" s="17"/>
      <c r="H58" s="17"/>
      <c r="I58" s="17"/>
      <c r="J58" s="18"/>
      <c r="K58" s="17"/>
    </row>
    <row r="59" spans="1:11" ht="30.75" x14ac:dyDescent="0.25">
      <c r="A59" s="16">
        <v>5</v>
      </c>
      <c r="B59" s="43" t="s">
        <v>53</v>
      </c>
      <c r="C59" s="17"/>
      <c r="D59" s="17"/>
      <c r="E59" s="17"/>
      <c r="F59" s="17"/>
      <c r="G59" s="17"/>
      <c r="H59" s="17"/>
      <c r="I59" s="17"/>
      <c r="J59" s="17"/>
      <c r="K59" s="17"/>
    </row>
    <row r="60" spans="1:11" x14ac:dyDescent="0.25">
      <c r="A60" s="16"/>
      <c r="B60" s="32" t="str">
        <f>B49</f>
        <v>-for footing of vertical post</v>
      </c>
      <c r="C60" s="17">
        <f>C42</f>
        <v>12</v>
      </c>
      <c r="D60" s="33">
        <v>0.45</v>
      </c>
      <c r="E60" s="17">
        <v>0.45</v>
      </c>
      <c r="F60" s="33">
        <v>0.05</v>
      </c>
      <c r="G60" s="33">
        <f t="shared" ref="G60:G64" si="29">PRODUCT(C60:F60)</f>
        <v>0.12150000000000001</v>
      </c>
      <c r="H60" s="17"/>
      <c r="I60" s="17"/>
      <c r="J60" s="18"/>
      <c r="K60" s="17"/>
    </row>
    <row r="61" spans="1:11" x14ac:dyDescent="0.25">
      <c r="A61" s="16"/>
      <c r="B61" s="32" t="str">
        <f>B50</f>
        <v>-for flooring</v>
      </c>
      <c r="C61" s="17">
        <v>1</v>
      </c>
      <c r="D61" s="33">
        <v>3.5</v>
      </c>
      <c r="E61" s="33">
        <v>3.5</v>
      </c>
      <c r="F61" s="33">
        <v>7.4999999999999997E-2</v>
      </c>
      <c r="G61" s="33">
        <f t="shared" si="29"/>
        <v>0.91874999999999996</v>
      </c>
      <c r="H61" s="17"/>
      <c r="I61" s="17"/>
      <c r="J61" s="18"/>
      <c r="K61" s="17"/>
    </row>
    <row r="62" spans="1:11" x14ac:dyDescent="0.25">
      <c r="A62" s="16"/>
      <c r="B62" s="32"/>
      <c r="C62" s="17">
        <v>1</v>
      </c>
      <c r="D62" s="33">
        <v>4.2</v>
      </c>
      <c r="E62" s="33">
        <v>3.2</v>
      </c>
      <c r="F62" s="33">
        <v>7.4999999999999997E-2</v>
      </c>
      <c r="G62" s="33">
        <f t="shared" si="29"/>
        <v>1.008</v>
      </c>
      <c r="H62" s="17"/>
      <c r="I62" s="17"/>
      <c r="J62" s="18"/>
      <c r="K62" s="17"/>
    </row>
    <row r="63" spans="1:11" x14ac:dyDescent="0.25">
      <c r="A63" s="16"/>
      <c r="B63" s="32" t="s">
        <v>56</v>
      </c>
      <c r="C63" s="17">
        <v>-1</v>
      </c>
      <c r="D63" s="33">
        <v>3</v>
      </c>
      <c r="E63" s="33">
        <f>0.6+0.45+0.45</f>
        <v>1.5</v>
      </c>
      <c r="F63" s="33">
        <v>7.4999999999999997E-2</v>
      </c>
      <c r="G63" s="33">
        <f t="shared" si="29"/>
        <v>-0.33749999999999997</v>
      </c>
      <c r="H63" s="17"/>
      <c r="I63" s="17"/>
      <c r="J63" s="18"/>
      <c r="K63" s="17"/>
    </row>
    <row r="64" spans="1:11" x14ac:dyDescent="0.25">
      <c r="A64" s="16"/>
      <c r="B64" s="32" t="s">
        <v>55</v>
      </c>
      <c r="C64" s="17">
        <v>1</v>
      </c>
      <c r="D64" s="33">
        <v>3.5</v>
      </c>
      <c r="E64" s="33">
        <v>3.65</v>
      </c>
      <c r="F64" s="33">
        <v>0.05</v>
      </c>
      <c r="G64" s="33">
        <f t="shared" si="29"/>
        <v>0.63875000000000004</v>
      </c>
      <c r="H64" s="17"/>
      <c r="I64" s="17"/>
      <c r="J64" s="18"/>
      <c r="K64" s="17"/>
    </row>
    <row r="65" spans="1:16" s="35" customFormat="1" x14ac:dyDescent="0.25">
      <c r="A65" s="2"/>
      <c r="B65" s="40" t="s">
        <v>36</v>
      </c>
      <c r="C65" s="3"/>
      <c r="D65" s="4"/>
      <c r="E65" s="5"/>
      <c r="F65" s="5"/>
      <c r="G65" s="39">
        <f>SUM(G60:G64)</f>
        <v>2.3494999999999999</v>
      </c>
      <c r="H65" s="7" t="s">
        <v>46</v>
      </c>
      <c r="I65" s="6">
        <v>13351.1</v>
      </c>
      <c r="J65" s="39">
        <f>G65*I65</f>
        <v>31368.409449999999</v>
      </c>
      <c r="K65" s="5"/>
    </row>
    <row r="66" spans="1:16" x14ac:dyDescent="0.25">
      <c r="A66" s="16"/>
      <c r="B66" s="32" t="s">
        <v>26</v>
      </c>
      <c r="C66" s="17"/>
      <c r="D66" s="17"/>
      <c r="E66" s="17"/>
      <c r="F66" s="17"/>
      <c r="G66" s="17"/>
      <c r="H66" s="17"/>
      <c r="I66" s="17"/>
      <c r="J66" s="18">
        <f>0.13*G65*4169.92</f>
        <v>1273.6395152</v>
      </c>
      <c r="K66" s="17"/>
    </row>
    <row r="67" spans="1:16" x14ac:dyDescent="0.25">
      <c r="A67" s="16"/>
      <c r="B67" s="32" t="s">
        <v>27</v>
      </c>
      <c r="C67" s="17"/>
      <c r="D67" s="17"/>
      <c r="E67" s="17"/>
      <c r="F67" s="17"/>
      <c r="G67" s="17"/>
      <c r="H67" s="17"/>
      <c r="I67" s="17"/>
      <c r="J67" s="18">
        <f>0.13*G65*1414.16</f>
        <v>431.93395960000004</v>
      </c>
      <c r="K67" s="17"/>
    </row>
    <row r="68" spans="1:16" x14ac:dyDescent="0.25">
      <c r="A68" s="16"/>
      <c r="B68" s="32" t="s">
        <v>28</v>
      </c>
      <c r="C68" s="17"/>
      <c r="D68" s="17"/>
      <c r="E68" s="17"/>
      <c r="F68" s="17"/>
      <c r="G68" s="17"/>
      <c r="H68" s="17"/>
      <c r="I68" s="17"/>
      <c r="J68" s="18">
        <f>0.13*G65*(1652.5+737.97+349.56)</f>
        <v>836.90106305000006</v>
      </c>
      <c r="K68" s="17"/>
    </row>
    <row r="69" spans="1:16" x14ac:dyDescent="0.25">
      <c r="A69" s="16"/>
      <c r="B69" s="32" t="s">
        <v>30</v>
      </c>
      <c r="C69" s="17"/>
      <c r="D69" s="17"/>
      <c r="E69" s="17"/>
      <c r="F69" s="17"/>
      <c r="G69" s="17"/>
      <c r="H69" s="17"/>
      <c r="I69" s="17"/>
      <c r="J69" s="18">
        <f>0.13*G65*42</f>
        <v>12.82827</v>
      </c>
      <c r="K69" s="17"/>
    </row>
    <row r="70" spans="1:16" x14ac:dyDescent="0.25">
      <c r="A70" s="16"/>
      <c r="B70" s="32"/>
      <c r="C70" s="17"/>
      <c r="D70" s="17"/>
      <c r="E70" s="17"/>
      <c r="F70" s="17"/>
      <c r="G70" s="17"/>
      <c r="H70" s="17"/>
      <c r="I70" s="17"/>
      <c r="J70" s="18"/>
      <c r="K70" s="17"/>
    </row>
    <row r="71" spans="1:16" ht="15.75" x14ac:dyDescent="0.25">
      <c r="A71" s="16">
        <v>6</v>
      </c>
      <c r="B71" s="43" t="s">
        <v>54</v>
      </c>
      <c r="C71" s="17"/>
      <c r="D71" s="17"/>
      <c r="E71" s="17"/>
      <c r="F71" s="17"/>
      <c r="G71" s="17"/>
      <c r="H71" s="17"/>
      <c r="I71" s="17"/>
      <c r="J71" s="17"/>
      <c r="K71" s="17"/>
    </row>
    <row r="72" spans="1:16" x14ac:dyDescent="0.25">
      <c r="A72" s="16"/>
      <c r="B72" s="32" t="s">
        <v>45</v>
      </c>
      <c r="C72" s="17">
        <v>2</v>
      </c>
      <c r="D72" s="33">
        <v>3</v>
      </c>
      <c r="E72" s="33">
        <v>0.45</v>
      </c>
      <c r="F72" s="33">
        <v>0.8</v>
      </c>
      <c r="G72" s="33">
        <f>PRODUCT(C72:F72)</f>
        <v>2.16</v>
      </c>
      <c r="H72" s="17"/>
      <c r="I72" s="17"/>
      <c r="J72" s="17"/>
      <c r="K72" s="17"/>
      <c r="M72" s="33">
        <f>7</f>
        <v>7</v>
      </c>
      <c r="N72" s="33">
        <f>2</f>
        <v>2</v>
      </c>
      <c r="O72" s="33"/>
      <c r="P72" s="33">
        <f>PI()*M72*SQRT(M72^2+N72^2)</f>
        <v>160.09797821843054</v>
      </c>
    </row>
    <row r="73" spans="1:16" x14ac:dyDescent="0.25">
      <c r="A73" s="16"/>
      <c r="B73" s="32"/>
      <c r="C73" s="17">
        <v>2</v>
      </c>
      <c r="D73" s="33">
        <f>9/3.281</f>
        <v>2.7430661383724475</v>
      </c>
      <c r="E73" s="33">
        <v>0.45</v>
      </c>
      <c r="F73" s="33">
        <v>0.8</v>
      </c>
      <c r="G73" s="33">
        <f t="shared" ref="G73" si="30">PRODUCT(C73:F73)</f>
        <v>1.9750076196281623</v>
      </c>
      <c r="H73" s="17"/>
      <c r="I73" s="17"/>
      <c r="J73" s="17"/>
      <c r="K73" s="17"/>
      <c r="M73" s="44"/>
      <c r="N73" s="44"/>
      <c r="O73" s="44"/>
      <c r="P73" s="44"/>
    </row>
    <row r="74" spans="1:16" ht="15" customHeight="1" x14ac:dyDescent="0.25">
      <c r="A74" s="2"/>
      <c r="B74" s="34" t="s">
        <v>16</v>
      </c>
      <c r="C74" s="3"/>
      <c r="D74" s="4"/>
      <c r="E74" s="5"/>
      <c r="F74" s="5"/>
      <c r="G74" s="6">
        <f>SUM(G72:G73)</f>
        <v>4.135007619628162</v>
      </c>
      <c r="H74" s="7" t="s">
        <v>46</v>
      </c>
      <c r="I74" s="6">
        <v>6337.3</v>
      </c>
      <c r="J74" s="18">
        <f>G74*I74</f>
        <v>26204.78378786955</v>
      </c>
      <c r="K74" s="5"/>
    </row>
    <row r="75" spans="1:16" x14ac:dyDescent="0.25">
      <c r="A75" s="16"/>
      <c r="B75" s="32" t="s">
        <v>51</v>
      </c>
      <c r="C75" s="17"/>
      <c r="D75" s="17"/>
      <c r="E75" s="17"/>
      <c r="F75" s="17"/>
      <c r="G75" s="17"/>
      <c r="H75" s="17"/>
      <c r="I75" s="17"/>
      <c r="J75" s="18">
        <f>0.13*G74*2577.63</f>
        <v>1385.6075597756783</v>
      </c>
      <c r="K75" s="17"/>
    </row>
    <row r="76" spans="1:16" x14ac:dyDescent="0.25">
      <c r="A76" s="16"/>
      <c r="B76" s="32" t="s">
        <v>52</v>
      </c>
      <c r="C76" s="17"/>
      <c r="D76" s="17"/>
      <c r="E76" s="17"/>
      <c r="F76" s="17"/>
      <c r="G76" s="17"/>
      <c r="H76" s="17"/>
      <c r="I76" s="17"/>
      <c r="J76" s="18">
        <f>0.13*G74*257.76</f>
        <v>138.55914332459616</v>
      </c>
      <c r="K76" s="17"/>
    </row>
    <row r="77" spans="1:16" x14ac:dyDescent="0.25">
      <c r="A77" s="16"/>
      <c r="B77" s="32" t="s">
        <v>29</v>
      </c>
      <c r="C77" s="17"/>
      <c r="D77" s="17"/>
      <c r="E77" s="17"/>
      <c r="F77" s="17"/>
      <c r="G77" s="17"/>
      <c r="H77" s="17"/>
      <c r="I77" s="17"/>
      <c r="J77" s="18">
        <f>0.13*G74*133.56</f>
        <v>71.795310298079855</v>
      </c>
      <c r="K77" s="17"/>
    </row>
    <row r="78" spans="1:16" x14ac:dyDescent="0.25">
      <c r="A78" s="16"/>
      <c r="B78" s="32" t="s">
        <v>30</v>
      </c>
      <c r="C78" s="17"/>
      <c r="D78" s="17"/>
      <c r="E78" s="17"/>
      <c r="F78" s="17"/>
      <c r="G78" s="17"/>
      <c r="H78" s="17"/>
      <c r="I78" s="17"/>
      <c r="J78" s="18">
        <f>0.13*G74*19.6</f>
        <v>10.535999414812558</v>
      </c>
      <c r="K78" s="17"/>
    </row>
    <row r="79" spans="1:16" x14ac:dyDescent="0.25">
      <c r="A79" s="16"/>
      <c r="B79" s="32"/>
      <c r="C79" s="17"/>
      <c r="D79" s="17"/>
      <c r="E79" s="17"/>
      <c r="F79" s="17"/>
      <c r="G79" s="17"/>
      <c r="H79" s="17"/>
      <c r="I79" s="17"/>
      <c r="J79" s="18"/>
      <c r="K79" s="17"/>
    </row>
    <row r="80" spans="1:16" ht="15" customHeight="1" x14ac:dyDescent="0.25">
      <c r="A80" s="2">
        <v>7</v>
      </c>
      <c r="B80" s="1" t="s">
        <v>17</v>
      </c>
      <c r="C80" s="3">
        <v>1</v>
      </c>
      <c r="D80" s="4"/>
      <c r="E80" s="5"/>
      <c r="F80" s="5"/>
      <c r="G80" s="7">
        <f t="shared" ref="G80" si="31">PRODUCT(C80:F80)</f>
        <v>1</v>
      </c>
      <c r="H80" s="7" t="s">
        <v>18</v>
      </c>
      <c r="I80" s="6">
        <v>1000</v>
      </c>
      <c r="J80" s="7">
        <f>G80*I80</f>
        <v>1000</v>
      </c>
      <c r="K80" s="5"/>
    </row>
    <row r="81" spans="1:19" x14ac:dyDescent="0.25">
      <c r="A81" s="2"/>
      <c r="B81" s="8"/>
      <c r="C81" s="3"/>
      <c r="D81" s="4"/>
      <c r="E81" s="5"/>
      <c r="F81" s="5"/>
      <c r="G81" s="6"/>
      <c r="H81" s="7"/>
      <c r="I81" s="6"/>
      <c r="J81" s="18"/>
      <c r="K81" s="5"/>
    </row>
    <row r="82" spans="1:19" x14ac:dyDescent="0.25">
      <c r="A82" s="21"/>
      <c r="B82" s="22" t="s">
        <v>20</v>
      </c>
      <c r="C82" s="23"/>
      <c r="D82" s="24"/>
      <c r="E82" s="24"/>
      <c r="F82" s="24"/>
      <c r="G82" s="18"/>
      <c r="H82" s="18"/>
      <c r="I82" s="18"/>
      <c r="J82" s="18">
        <f>SUM(J9:J80)</f>
        <v>240974.86130219698</v>
      </c>
      <c r="K82" s="25"/>
    </row>
    <row r="83" spans="1:19" x14ac:dyDescent="0.25">
      <c r="M83" s="20"/>
      <c r="N83" s="20"/>
      <c r="O83" s="20"/>
      <c r="P83" s="20"/>
      <c r="Q83" s="20"/>
      <c r="R83" s="20"/>
      <c r="S83" s="20"/>
    </row>
    <row r="84" spans="1:19" s="20" customFormat="1" x14ac:dyDescent="0.25">
      <c r="A84" s="26"/>
      <c r="B84" s="27" t="s">
        <v>64</v>
      </c>
      <c r="C84" s="65">
        <f>J82</f>
        <v>240974.86130219698</v>
      </c>
      <c r="D84" s="66"/>
      <c r="E84" s="9">
        <v>100</v>
      </c>
      <c r="F84" s="26"/>
      <c r="G84" s="28"/>
      <c r="H84" s="26"/>
      <c r="I84" s="29"/>
      <c r="J84" s="30"/>
      <c r="K84" s="31"/>
      <c r="M84" s="19"/>
      <c r="N84" s="19"/>
      <c r="O84" s="19"/>
      <c r="P84" s="19"/>
      <c r="Q84" s="19"/>
      <c r="R84" s="19"/>
      <c r="S84" s="19"/>
    </row>
    <row r="85" spans="1:19" x14ac:dyDescent="0.25">
      <c r="B85" s="27" t="s">
        <v>21</v>
      </c>
      <c r="C85" s="68">
        <v>200000</v>
      </c>
      <c r="D85" s="69"/>
      <c r="E85" s="9"/>
    </row>
    <row r="86" spans="1:19" x14ac:dyDescent="0.25">
      <c r="B86" s="27" t="s">
        <v>22</v>
      </c>
      <c r="C86" s="68">
        <f>C85-C88-C89</f>
        <v>190000</v>
      </c>
      <c r="D86" s="69"/>
      <c r="E86" s="9">
        <f>C86/C84*100</f>
        <v>78.846398737720847</v>
      </c>
    </row>
    <row r="87" spans="1:19" x14ac:dyDescent="0.25">
      <c r="B87" s="27" t="s">
        <v>31</v>
      </c>
      <c r="C87" s="70">
        <f>C84-C86</f>
        <v>50974.86130219698</v>
      </c>
      <c r="D87" s="70"/>
      <c r="E87" s="9">
        <f>100-E86</f>
        <v>21.153601262279153</v>
      </c>
    </row>
    <row r="88" spans="1:19" x14ac:dyDescent="0.25">
      <c r="B88" s="27" t="s">
        <v>23</v>
      </c>
      <c r="C88" s="65">
        <f>C85*0.03</f>
        <v>6000</v>
      </c>
      <c r="D88" s="66"/>
      <c r="E88" s="9">
        <v>3</v>
      </c>
    </row>
    <row r="89" spans="1:19" x14ac:dyDescent="0.25">
      <c r="B89" s="27" t="s">
        <v>24</v>
      </c>
      <c r="C89" s="65">
        <f>C85*0.02</f>
        <v>4000</v>
      </c>
      <c r="D89" s="66"/>
      <c r="E89" s="9">
        <v>2</v>
      </c>
    </row>
  </sheetData>
  <mergeCells count="15">
    <mergeCell ref="C88:D88"/>
    <mergeCell ref="C89:D89"/>
    <mergeCell ref="A7:F7"/>
    <mergeCell ref="H7:K7"/>
    <mergeCell ref="C84:D84"/>
    <mergeCell ref="C85:D85"/>
    <mergeCell ref="C86:D86"/>
    <mergeCell ref="C87:D8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2"/>
  <sheetViews>
    <sheetView view="pageBreakPreview" topLeftCell="A16" zoomScaleNormal="100" zoomScaleSheetLayoutView="100" workbookViewId="0">
      <selection activeCell="I10" sqref="I10"/>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80" t="s">
        <v>0</v>
      </c>
      <c r="B1" s="80"/>
      <c r="C1" s="80"/>
      <c r="D1" s="80"/>
      <c r="E1" s="80"/>
      <c r="F1" s="80"/>
      <c r="G1" s="80"/>
      <c r="H1" s="80"/>
      <c r="I1" s="80"/>
      <c r="J1" s="80"/>
      <c r="K1" s="80"/>
    </row>
    <row r="2" spans="1:13" ht="25.5" x14ac:dyDescent="0.35">
      <c r="A2" s="81" t="s">
        <v>1</v>
      </c>
      <c r="B2" s="81"/>
      <c r="C2" s="81"/>
      <c r="D2" s="81"/>
      <c r="E2" s="81"/>
      <c r="F2" s="81"/>
      <c r="G2" s="81"/>
      <c r="H2" s="81"/>
      <c r="I2" s="81"/>
      <c r="J2" s="81"/>
      <c r="K2" s="81"/>
    </row>
    <row r="3" spans="1:13" s="35" customFormat="1" x14ac:dyDescent="0.25">
      <c r="A3" s="82" t="s">
        <v>2</v>
      </c>
      <c r="B3" s="82"/>
      <c r="C3" s="82"/>
      <c r="D3" s="82"/>
      <c r="E3" s="82"/>
      <c r="F3" s="82"/>
      <c r="G3" s="82"/>
      <c r="H3" s="82"/>
      <c r="I3" s="82"/>
      <c r="J3" s="82"/>
      <c r="K3" s="82"/>
    </row>
    <row r="4" spans="1:13" s="35" customFormat="1" x14ac:dyDescent="0.25">
      <c r="A4" s="82" t="s">
        <v>3</v>
      </c>
      <c r="B4" s="82"/>
      <c r="C4" s="82"/>
      <c r="D4" s="82"/>
      <c r="E4" s="82"/>
      <c r="F4" s="82"/>
      <c r="G4" s="82"/>
      <c r="H4" s="82"/>
      <c r="I4" s="82"/>
      <c r="J4" s="82"/>
      <c r="K4" s="82"/>
    </row>
    <row r="5" spans="1:13" ht="18.75" x14ac:dyDescent="0.3">
      <c r="A5" s="83" t="s">
        <v>74</v>
      </c>
      <c r="B5" s="83"/>
      <c r="C5" s="83"/>
      <c r="D5" s="83"/>
      <c r="E5" s="83"/>
      <c r="F5" s="83"/>
      <c r="G5" s="83"/>
      <c r="H5" s="83"/>
      <c r="I5" s="83"/>
      <c r="J5" s="83"/>
      <c r="K5" s="83"/>
    </row>
    <row r="6" spans="1:13" ht="18.75" x14ac:dyDescent="0.3">
      <c r="A6" s="47" t="s">
        <v>75</v>
      </c>
      <c r="B6" s="47"/>
      <c r="C6" s="78">
        <f>F42</f>
        <v>234835.07491669987</v>
      </c>
      <c r="D6" s="79"/>
      <c r="E6" s="48"/>
      <c r="F6" s="47"/>
      <c r="G6" s="47"/>
      <c r="H6" s="47" t="s">
        <v>76</v>
      </c>
      <c r="I6" s="47"/>
      <c r="J6" s="78">
        <f>I42</f>
        <v>240974.86130219698</v>
      </c>
      <c r="K6" s="79"/>
    </row>
    <row r="7" spans="1:13" x14ac:dyDescent="0.25">
      <c r="A7" s="49" t="s">
        <v>77</v>
      </c>
      <c r="B7" s="49"/>
      <c r="C7" s="49"/>
      <c r="D7" s="49"/>
      <c r="F7" s="84"/>
      <c r="G7" s="84"/>
      <c r="I7" s="85" t="s">
        <v>78</v>
      </c>
      <c r="J7" s="85"/>
      <c r="K7" s="85"/>
    </row>
    <row r="8" spans="1:13" ht="15.75" x14ac:dyDescent="0.25">
      <c r="A8" s="75" t="s">
        <v>60</v>
      </c>
      <c r="B8" s="75"/>
      <c r="C8" s="75"/>
      <c r="D8" s="75"/>
      <c r="E8" s="75"/>
      <c r="F8" s="75"/>
      <c r="I8" s="86" t="s">
        <v>79</v>
      </c>
      <c r="J8" s="86"/>
      <c r="K8" s="86"/>
    </row>
    <row r="9" spans="1:13" x14ac:dyDescent="0.25">
      <c r="A9" s="87" t="str">
        <f>[7]estimate!A7</f>
        <v>Location:- Shankharapur Municipality 1</v>
      </c>
      <c r="B9" s="87"/>
      <c r="C9" s="87"/>
      <c r="D9" s="87"/>
      <c r="E9" s="87"/>
      <c r="F9" s="87"/>
      <c r="I9" s="86" t="s">
        <v>92</v>
      </c>
      <c r="J9" s="86"/>
      <c r="K9" s="86"/>
    </row>
    <row r="11" spans="1:13" x14ac:dyDescent="0.25">
      <c r="A11" s="89" t="s">
        <v>80</v>
      </c>
      <c r="B11" s="89" t="s">
        <v>81</v>
      </c>
      <c r="C11" s="89" t="s">
        <v>12</v>
      </c>
      <c r="D11" s="90" t="s">
        <v>82</v>
      </c>
      <c r="E11" s="90"/>
      <c r="F11" s="90"/>
      <c r="G11" s="90" t="s">
        <v>83</v>
      </c>
      <c r="H11" s="90"/>
      <c r="I11" s="90"/>
      <c r="J11" s="89" t="s">
        <v>84</v>
      </c>
      <c r="K11" s="88" t="s">
        <v>85</v>
      </c>
    </row>
    <row r="12" spans="1:13" x14ac:dyDescent="0.25">
      <c r="A12" s="89"/>
      <c r="B12" s="89"/>
      <c r="C12" s="89"/>
      <c r="D12" s="50" t="s">
        <v>86</v>
      </c>
      <c r="E12" s="50" t="s">
        <v>13</v>
      </c>
      <c r="F12" s="50" t="s">
        <v>14</v>
      </c>
      <c r="G12" s="50" t="s">
        <v>86</v>
      </c>
      <c r="H12" s="50" t="s">
        <v>13</v>
      </c>
      <c r="I12" s="50" t="s">
        <v>14</v>
      </c>
      <c r="J12" s="89"/>
      <c r="K12" s="88"/>
    </row>
    <row r="13" spans="1:13" s="35" customFormat="1" ht="30" x14ac:dyDescent="0.25">
      <c r="A13" s="51">
        <f>estimate!A9</f>
        <v>1</v>
      </c>
      <c r="B13" s="36" t="str">
        <f>estimate!B9</f>
        <v>sfnf] kmnfd] kfO{ksf] 6«; agfO{ h8fg ug]{ sfd</v>
      </c>
      <c r="C13" s="52" t="str">
        <f>estimate!H17</f>
        <v>Kg</v>
      </c>
      <c r="D13" s="52">
        <f>estimate!G17</f>
        <v>506.57726302956416</v>
      </c>
      <c r="E13" s="52">
        <f>estimate!I17</f>
        <v>182.51</v>
      </c>
      <c r="F13" s="52">
        <f>D13*E13</f>
        <v>92455.416275525757</v>
      </c>
      <c r="G13" s="52">
        <f>V!G27</f>
        <v>495.88546019506242</v>
      </c>
      <c r="H13" s="52">
        <f>V!I27</f>
        <v>182.51</v>
      </c>
      <c r="I13" s="52">
        <f>G13*H13</f>
        <v>90504.055340200837</v>
      </c>
      <c r="J13" s="53">
        <f>I13-F13</f>
        <v>-1951.3609353249194</v>
      </c>
      <c r="K13" s="54"/>
      <c r="M13" s="35">
        <f>1.25*F13</f>
        <v>115569.2703444072</v>
      </c>
    </row>
    <row r="14" spans="1:13" s="35" customFormat="1" ht="15.75" x14ac:dyDescent="0.25">
      <c r="A14" s="51"/>
      <c r="B14" s="55" t="str">
        <f>estimate!B18</f>
        <v>-VAT 13% for materials</v>
      </c>
      <c r="C14" s="52"/>
      <c r="D14" s="52"/>
      <c r="E14" s="52"/>
      <c r="F14" s="52">
        <f>estimate!J18</f>
        <v>6506.9929675418325</v>
      </c>
      <c r="G14" s="52"/>
      <c r="H14" s="52"/>
      <c r="I14" s="52">
        <f>V!J28</f>
        <v>6369.6565907799195</v>
      </c>
      <c r="J14" s="53">
        <f>I14-F14</f>
        <v>-137.33637676191302</v>
      </c>
      <c r="K14" s="54"/>
      <c r="M14" s="35">
        <f t="shared" ref="M14:M38" si="0">1.25*F14</f>
        <v>8133.7412094272904</v>
      </c>
    </row>
    <row r="15" spans="1:13" s="35" customFormat="1" x14ac:dyDescent="0.25">
      <c r="A15" s="56"/>
      <c r="B15" s="57"/>
      <c r="C15" s="52"/>
      <c r="D15" s="52"/>
      <c r="E15" s="52"/>
      <c r="F15" s="52"/>
      <c r="G15" s="52"/>
      <c r="H15" s="52"/>
      <c r="I15" s="52"/>
      <c r="J15" s="53"/>
      <c r="K15" s="54"/>
    </row>
    <row r="16" spans="1:13" s="35" customFormat="1" ht="30" x14ac:dyDescent="0.25">
      <c r="A16" s="51">
        <f>estimate!A20</f>
        <v>2</v>
      </c>
      <c r="B16" s="36" t="str">
        <f>estimate!B20</f>
        <v>).#^ lblv ).$ dL.dL.afSnf] sf]?u]6]8 /+lug ss{6 kftfsf] 5fgf 5fpg] sfd</v>
      </c>
      <c r="C16" s="52" t="str">
        <f>estimate!H23</f>
        <v>sqm</v>
      </c>
      <c r="D16" s="52">
        <f>estimate!G23</f>
        <v>51.92773108978286</v>
      </c>
      <c r="E16" s="52">
        <f>estimate!I23</f>
        <v>1074.98</v>
      </c>
      <c r="F16" s="52">
        <f>D16*E16</f>
        <v>55821.27236689478</v>
      </c>
      <c r="G16" s="52">
        <f>V!G34</f>
        <v>53.456394314851664</v>
      </c>
      <c r="H16" s="52">
        <f>V!I34</f>
        <v>1074.98</v>
      </c>
      <c r="I16" s="52">
        <f>G16*H16</f>
        <v>57464.554760579245</v>
      </c>
      <c r="J16" s="53">
        <f>I16-F16</f>
        <v>1643.2823936844652</v>
      </c>
      <c r="K16" s="54"/>
      <c r="M16" s="35">
        <f t="shared" si="0"/>
        <v>69776.590458618477</v>
      </c>
    </row>
    <row r="17" spans="1:13" s="35" customFormat="1" ht="15.75" x14ac:dyDescent="0.25">
      <c r="A17" s="51"/>
      <c r="B17" s="55" t="str">
        <f>estimate!B24</f>
        <v>-13% VAT for sheet</v>
      </c>
      <c r="C17" s="52"/>
      <c r="D17" s="52"/>
      <c r="E17" s="52"/>
      <c r="F17" s="52">
        <f>estimate!J24</f>
        <v>4505.7993447444915</v>
      </c>
      <c r="G17" s="52"/>
      <c r="H17" s="52"/>
      <c r="I17" s="52">
        <f>V!J35</f>
        <v>4638.4423394083815</v>
      </c>
      <c r="J17" s="53">
        <f t="shared" ref="J17:J20" si="1">I17-F17</f>
        <v>132.64299466389002</v>
      </c>
      <c r="K17" s="54"/>
      <c r="M17" s="35">
        <f t="shared" si="0"/>
        <v>5632.2491809306139</v>
      </c>
    </row>
    <row r="18" spans="1:13" s="35" customFormat="1" ht="15.75" x14ac:dyDescent="0.25">
      <c r="A18" s="51"/>
      <c r="B18" s="55" t="str">
        <f>estimate!B25</f>
        <v>-13% VAT for nut bolt</v>
      </c>
      <c r="C18" s="52"/>
      <c r="D18" s="52"/>
      <c r="E18" s="52"/>
      <c r="F18" s="52">
        <f>estimate!J25</f>
        <v>691.09319114114771</v>
      </c>
      <c r="G18" s="52"/>
      <c r="H18" s="52"/>
      <c r="I18" s="52">
        <f>V!J36</f>
        <v>711.43778783778214</v>
      </c>
      <c r="J18" s="53">
        <f t="shared" si="1"/>
        <v>20.344596696634426</v>
      </c>
      <c r="K18" s="54"/>
      <c r="M18" s="35">
        <f t="shared" si="0"/>
        <v>863.86648892643461</v>
      </c>
    </row>
    <row r="19" spans="1:13" s="35" customFormat="1" ht="15.75" x14ac:dyDescent="0.25">
      <c r="A19" s="51"/>
      <c r="B19" s="55" t="str">
        <f>estimate!B26</f>
        <v>-13% VAT for j-hook</v>
      </c>
      <c r="C19" s="52"/>
      <c r="D19" s="52"/>
      <c r="E19" s="52"/>
      <c r="F19" s="52">
        <f>estimate!J26</f>
        <v>235.06281815605274</v>
      </c>
      <c r="G19" s="52"/>
      <c r="H19" s="52"/>
      <c r="I19" s="52">
        <f>V!J37</f>
        <v>241.98266383686845</v>
      </c>
      <c r="J19" s="53">
        <f t="shared" si="1"/>
        <v>6.9198456808157118</v>
      </c>
      <c r="K19" s="54"/>
      <c r="M19" s="35">
        <f t="shared" si="0"/>
        <v>293.82852269506594</v>
      </c>
    </row>
    <row r="20" spans="1:13" s="35" customFormat="1" ht="15.75" x14ac:dyDescent="0.25">
      <c r="A20" s="51"/>
      <c r="B20" s="55" t="str">
        <f>estimate!B27</f>
        <v>-13% VAT for bitumen washer</v>
      </c>
      <c r="C20" s="52"/>
      <c r="D20" s="52"/>
      <c r="E20" s="52"/>
      <c r="F20" s="52">
        <f>estimate!J27</f>
        <v>111.38498318758425</v>
      </c>
      <c r="G20" s="52"/>
      <c r="H20" s="52"/>
      <c r="I20" s="52">
        <f>V!J38</f>
        <v>114.66396580535684</v>
      </c>
      <c r="J20" s="53">
        <f t="shared" si="1"/>
        <v>3.2789826177725843</v>
      </c>
      <c r="K20" s="54"/>
      <c r="M20" s="35">
        <f t="shared" si="0"/>
        <v>139.23122898448031</v>
      </c>
    </row>
    <row r="21" spans="1:13" s="35" customFormat="1" x14ac:dyDescent="0.25">
      <c r="A21" s="56"/>
      <c r="B21" s="57"/>
      <c r="C21" s="52"/>
      <c r="D21" s="52"/>
      <c r="E21" s="52"/>
      <c r="F21" s="52"/>
      <c r="G21" s="52"/>
      <c r="H21" s="52"/>
      <c r="I21" s="52"/>
      <c r="J21" s="53"/>
      <c r="K21" s="54"/>
    </row>
    <row r="22" spans="1:13" s="35" customFormat="1" ht="30" x14ac:dyDescent="0.25">
      <c r="A22" s="51">
        <f>estimate!A29</f>
        <v>3</v>
      </c>
      <c r="B22" s="36" t="str">
        <f>estimate!B29</f>
        <v>g/d k|sf/sf] Sn] / l;N6L df6f]df ;j} lsl;dsf] vGg] sfd</v>
      </c>
      <c r="C22" s="52" t="str">
        <f>estimate!H32</f>
        <v>cum</v>
      </c>
      <c r="D22" s="52">
        <f>estimate!G32</f>
        <v>5.6780152392563235</v>
      </c>
      <c r="E22" s="52">
        <f>estimate!I32</f>
        <v>674.12</v>
      </c>
      <c r="F22" s="52">
        <f>D22*E22</f>
        <v>3827.6636330874726</v>
      </c>
      <c r="G22" s="52">
        <f>V!G46</f>
        <v>5.9193849876000471</v>
      </c>
      <c r="H22" s="52">
        <f>V!I46</f>
        <v>674.12</v>
      </c>
      <c r="I22" s="52">
        <f>G22*H22</f>
        <v>3990.3758078409437</v>
      </c>
      <c r="J22" s="53">
        <f>I22-F22</f>
        <v>162.71217475347112</v>
      </c>
      <c r="K22" s="54"/>
      <c r="M22" s="35">
        <f t="shared" si="0"/>
        <v>4784.5795413593405</v>
      </c>
    </row>
    <row r="23" spans="1:13" s="35" customFormat="1" x14ac:dyDescent="0.25">
      <c r="A23" s="56"/>
      <c r="B23" s="57"/>
      <c r="C23" s="52"/>
      <c r="D23" s="52"/>
      <c r="E23" s="52"/>
      <c r="F23" s="52"/>
      <c r="G23" s="52"/>
      <c r="H23" s="52"/>
      <c r="I23" s="52"/>
      <c r="J23" s="53"/>
      <c r="K23" s="54"/>
    </row>
    <row r="24" spans="1:13" s="35" customFormat="1" x14ac:dyDescent="0.25">
      <c r="A24" s="51">
        <f>estimate!A34</f>
        <v>4</v>
      </c>
      <c r="B24" s="36" t="str">
        <f>estimate!B34</f>
        <v>husf] vf8ndf 9'+uf eg]{ / n]en ug]{ sfddf</v>
      </c>
      <c r="C24" s="52" t="str">
        <f>estimate!H38</f>
        <v>cum</v>
      </c>
      <c r="D24" s="52">
        <f>estimate!G38</f>
        <v>2.6789565844223686</v>
      </c>
      <c r="E24" s="52">
        <f>estimate!I38</f>
        <v>4495.6400000000003</v>
      </c>
      <c r="F24" s="52">
        <f>D24*E24</f>
        <v>12043.624379192579</v>
      </c>
      <c r="G24" s="52">
        <f>V!G55</f>
        <v>2.9002499999999998</v>
      </c>
      <c r="H24" s="52">
        <f>V!I55</f>
        <v>4495.6400000000003</v>
      </c>
      <c r="I24" s="52">
        <f>G24*H24</f>
        <v>13038.47991</v>
      </c>
      <c r="J24" s="53">
        <f>I24-F24</f>
        <v>994.85553080742102</v>
      </c>
      <c r="K24" s="54"/>
      <c r="M24" s="35">
        <f t="shared" si="0"/>
        <v>15054.530473990724</v>
      </c>
    </row>
    <row r="25" spans="1:13" s="35" customFormat="1" ht="15.75" x14ac:dyDescent="0.25">
      <c r="A25" s="51"/>
      <c r="B25" s="55" t="str">
        <f>estimate!B39</f>
        <v>-13% VAT for block stone</v>
      </c>
      <c r="C25" s="52"/>
      <c r="D25" s="52"/>
      <c r="E25" s="52"/>
      <c r="F25" s="52">
        <f>estimate!J39</f>
        <v>897.69665189160207</v>
      </c>
      <c r="G25" s="52"/>
      <c r="H25" s="52"/>
      <c r="I25" s="52">
        <f>V!J56</f>
        <v>971.85028297500003</v>
      </c>
      <c r="J25" s="53">
        <f>I25-F25</f>
        <v>74.153631083397954</v>
      </c>
      <c r="K25" s="54"/>
      <c r="M25" s="35">
        <f t="shared" si="0"/>
        <v>1122.1208148645026</v>
      </c>
    </row>
    <row r="26" spans="1:13" s="35" customFormat="1" ht="15.75" x14ac:dyDescent="0.25">
      <c r="A26" s="51"/>
      <c r="B26" s="55" t="str">
        <f>estimate!B40</f>
        <v>-13% VAT for bond stone</v>
      </c>
      <c r="C26" s="52"/>
      <c r="D26" s="52"/>
      <c r="E26" s="52"/>
      <c r="F26" s="52">
        <f>estimate!J40</f>
        <v>179.53724079218455</v>
      </c>
      <c r="G26" s="52"/>
      <c r="H26" s="52"/>
      <c r="I26" s="52">
        <f>V!J57</f>
        <v>194.36779439999998</v>
      </c>
      <c r="J26" s="53">
        <f t="shared" ref="J26" si="2">I26-F26</f>
        <v>14.830553607815432</v>
      </c>
      <c r="K26" s="54"/>
      <c r="M26" s="35">
        <f t="shared" si="0"/>
        <v>224.42155099023068</v>
      </c>
    </row>
    <row r="27" spans="1:13" s="35" customFormat="1" x14ac:dyDescent="0.25">
      <c r="A27" s="56"/>
      <c r="B27" s="57"/>
      <c r="C27" s="52"/>
      <c r="D27" s="52"/>
      <c r="E27" s="52"/>
      <c r="F27" s="52"/>
      <c r="G27" s="52"/>
      <c r="H27" s="52"/>
      <c r="I27" s="52"/>
      <c r="J27" s="53"/>
      <c r="K27" s="54"/>
    </row>
    <row r="28" spans="1:13" s="35" customFormat="1" ht="30" x14ac:dyDescent="0.25">
      <c r="A28" s="51">
        <f>estimate!A42</f>
        <v>5</v>
      </c>
      <c r="B28" s="36" t="str">
        <f>estimate!B42</f>
        <v>hu leQf kvf{ndf l;d]G6 s+lqm6 ug]{ sfd -lk=;L=;L= !M@M$_</v>
      </c>
      <c r="C28" s="52" t="str">
        <f>estimate!H47</f>
        <v>cum</v>
      </c>
      <c r="D28" s="52">
        <f>estimate!G47</f>
        <v>2.0772289044985861</v>
      </c>
      <c r="E28" s="52">
        <f>estimate!I47</f>
        <v>13351.1</v>
      </c>
      <c r="F28" s="52">
        <f>D28*E28</f>
        <v>27733.290826851073</v>
      </c>
      <c r="G28" s="52">
        <f>V!G65</f>
        <v>2.3494999999999999</v>
      </c>
      <c r="H28" s="52">
        <f>V!I65</f>
        <v>13351.1</v>
      </c>
      <c r="I28" s="52">
        <f>G28*H28</f>
        <v>31368.409449999999</v>
      </c>
      <c r="J28" s="53">
        <f>I28-F28</f>
        <v>3635.1186231489264</v>
      </c>
      <c r="K28" s="54"/>
      <c r="M28" s="35">
        <f t="shared" si="0"/>
        <v>34666.613533563839</v>
      </c>
    </row>
    <row r="29" spans="1:13" s="35" customFormat="1" ht="15.75" x14ac:dyDescent="0.25">
      <c r="A29" s="51"/>
      <c r="B29" s="55" t="str">
        <f>estimate!B48</f>
        <v>-13% VAT for cement</v>
      </c>
      <c r="C29" s="52"/>
      <c r="D29" s="52"/>
      <c r="E29" s="52"/>
      <c r="F29" s="52">
        <f>estimate!J48</f>
        <v>1126.0441859480768</v>
      </c>
      <c r="G29" s="52"/>
      <c r="H29" s="52"/>
      <c r="I29" s="52">
        <f>V!J66</f>
        <v>1273.6395152</v>
      </c>
      <c r="J29" s="53">
        <f>I29-F29</f>
        <v>147.5953292519232</v>
      </c>
      <c r="K29" s="54"/>
      <c r="M29" s="35">
        <f t="shared" si="0"/>
        <v>1407.5552324350961</v>
      </c>
    </row>
    <row r="30" spans="1:13" s="35" customFormat="1" ht="15.75" x14ac:dyDescent="0.25">
      <c r="A30" s="51"/>
      <c r="B30" s="55" t="str">
        <f>estimate!B49</f>
        <v>-13% VAT for sand</v>
      </c>
      <c r="C30" s="52"/>
      <c r="D30" s="52"/>
      <c r="E30" s="52"/>
      <c r="F30" s="52">
        <f>estimate!J49</f>
        <v>381.87942358614367</v>
      </c>
      <c r="G30" s="52"/>
      <c r="H30" s="52"/>
      <c r="I30" s="52">
        <f>V!J67</f>
        <v>431.93395960000004</v>
      </c>
      <c r="J30" s="53">
        <f t="shared" ref="J30:J32" si="3">I30-F30</f>
        <v>50.054536013856364</v>
      </c>
      <c r="K30" s="54"/>
      <c r="M30" s="35">
        <f t="shared" si="0"/>
        <v>477.34927948267961</v>
      </c>
    </row>
    <row r="31" spans="1:13" s="35" customFormat="1" ht="15.75" x14ac:dyDescent="0.25">
      <c r="A31" s="51"/>
      <c r="B31" s="55" t="str">
        <f>estimate!B50</f>
        <v>-13% VAT for aggregate</v>
      </c>
      <c r="C31" s="52"/>
      <c r="D31" s="52"/>
      <c r="E31" s="52"/>
      <c r="F31" s="52">
        <f>estimate!J50</f>
        <v>739.91703697512401</v>
      </c>
      <c r="G31" s="52"/>
      <c r="H31" s="52"/>
      <c r="I31" s="52">
        <f>V!J68</f>
        <v>836.90106305000006</v>
      </c>
      <c r="J31" s="53">
        <f t="shared" si="3"/>
        <v>96.984026074876056</v>
      </c>
      <c r="K31" s="54"/>
      <c r="M31" s="35">
        <f t="shared" si="0"/>
        <v>924.89629621890504</v>
      </c>
    </row>
    <row r="32" spans="1:13" s="35" customFormat="1" ht="15.75" x14ac:dyDescent="0.25">
      <c r="A32" s="51"/>
      <c r="B32" s="55" t="str">
        <f>estimate!B51</f>
        <v>-13% VAT for water</v>
      </c>
      <c r="C32" s="52"/>
      <c r="D32" s="52"/>
      <c r="E32" s="52"/>
      <c r="F32" s="52">
        <f>estimate!J51</f>
        <v>11.341669818562281</v>
      </c>
      <c r="G32" s="52"/>
      <c r="H32" s="52"/>
      <c r="I32" s="52">
        <f>V!J69</f>
        <v>12.82827</v>
      </c>
      <c r="J32" s="53">
        <f t="shared" si="3"/>
        <v>1.4866001814377192</v>
      </c>
      <c r="K32" s="54"/>
      <c r="M32" s="35">
        <f t="shared" si="0"/>
        <v>14.177087273202851</v>
      </c>
    </row>
    <row r="33" spans="1:13" s="35" customFormat="1" x14ac:dyDescent="0.25">
      <c r="A33" s="56"/>
      <c r="B33" s="57"/>
      <c r="C33" s="52"/>
      <c r="D33" s="52"/>
      <c r="E33" s="52"/>
      <c r="F33" s="52"/>
      <c r="G33" s="52"/>
      <c r="H33" s="52"/>
      <c r="I33" s="52"/>
      <c r="J33" s="53"/>
      <c r="K33" s="54"/>
    </row>
    <row r="34" spans="1:13" s="35" customFormat="1" x14ac:dyDescent="0.25">
      <c r="A34" s="51">
        <f>estimate!A53</f>
        <v>6</v>
      </c>
      <c r="B34" s="36" t="str">
        <f>estimate!B53</f>
        <v>9'Ëfsf] uf/f] df6f] nufpg] sfd</v>
      </c>
      <c r="C34" s="52" t="str">
        <f>estimate!H55</f>
        <v>cum</v>
      </c>
      <c r="D34" s="52">
        <f>estimate!G55</f>
        <v>3.9500152392563237</v>
      </c>
      <c r="E34" s="52">
        <f>estimate!I55</f>
        <v>6337.3</v>
      </c>
      <c r="F34" s="52">
        <f>D34*E34</f>
        <v>25032.431575739101</v>
      </c>
      <c r="G34" s="52">
        <f>V!G74</f>
        <v>4.135007619628162</v>
      </c>
      <c r="H34" s="52">
        <f>V!I74</f>
        <v>6337.3</v>
      </c>
      <c r="I34" s="52">
        <f>G34*H34</f>
        <v>26204.78378786955</v>
      </c>
      <c r="J34" s="53">
        <f>I34-F34</f>
        <v>1172.3522121304486</v>
      </c>
      <c r="K34" s="54"/>
      <c r="M34" s="35">
        <f t="shared" si="0"/>
        <v>31290.539469673877</v>
      </c>
    </row>
    <row r="35" spans="1:13" s="35" customFormat="1" ht="15.75" x14ac:dyDescent="0.25">
      <c r="A35" s="51"/>
      <c r="B35" s="55" t="str">
        <f>estimate!B56</f>
        <v>-13% VAT for block stone</v>
      </c>
      <c r="C35" s="52"/>
      <c r="D35" s="52"/>
      <c r="E35" s="52"/>
      <c r="F35" s="52">
        <f>estimate!J56</f>
        <v>1323.6181115513564</v>
      </c>
      <c r="G35" s="52"/>
      <c r="H35" s="52"/>
      <c r="I35" s="52">
        <f>V!J75</f>
        <v>1385.6075597756783</v>
      </c>
      <c r="J35" s="53">
        <f>I35-F35</f>
        <v>61.989448224321904</v>
      </c>
      <c r="K35" s="54"/>
      <c r="M35" s="35">
        <f t="shared" si="0"/>
        <v>1654.5226394391955</v>
      </c>
    </row>
    <row r="36" spans="1:13" s="35" customFormat="1" ht="15.75" x14ac:dyDescent="0.25">
      <c r="A36" s="51"/>
      <c r="B36" s="55" t="str">
        <f>estimate!B57</f>
        <v>-13% VAT for bond stone</v>
      </c>
      <c r="C36" s="52"/>
      <c r="D36" s="52"/>
      <c r="E36" s="52"/>
      <c r="F36" s="52">
        <f>estimate!J57</f>
        <v>132.3602706491923</v>
      </c>
      <c r="G36" s="52"/>
      <c r="H36" s="52"/>
      <c r="I36" s="52">
        <f>V!J76</f>
        <v>138.55914332459616</v>
      </c>
      <c r="J36" s="53">
        <f t="shared" ref="J36:J38" si="4">I36-F36</f>
        <v>6.1988726754038623</v>
      </c>
      <c r="K36" s="54"/>
      <c r="M36" s="35">
        <f t="shared" si="0"/>
        <v>165.45033831149038</v>
      </c>
    </row>
    <row r="37" spans="1:13" s="35" customFormat="1" ht="15.75" x14ac:dyDescent="0.25">
      <c r="A37" s="56"/>
      <c r="B37" s="55" t="str">
        <f>estimate!B58</f>
        <v>-13% VAT for stone</v>
      </c>
      <c r="C37" s="52"/>
      <c r="D37" s="52"/>
      <c r="E37" s="52"/>
      <c r="F37" s="52">
        <f>estimate!J58</f>
        <v>68.583324596159699</v>
      </c>
      <c r="G37" s="52"/>
      <c r="H37" s="52"/>
      <c r="I37" s="52">
        <f>V!J77</f>
        <v>71.795310298079855</v>
      </c>
      <c r="J37" s="53">
        <f t="shared" si="4"/>
        <v>3.2119857019201561</v>
      </c>
      <c r="K37" s="54"/>
      <c r="M37" s="35">
        <f t="shared" si="0"/>
        <v>85.72915574519962</v>
      </c>
    </row>
    <row r="38" spans="1:13" s="35" customFormat="1" ht="15.75" x14ac:dyDescent="0.25">
      <c r="A38" s="51"/>
      <c r="B38" s="55" t="str">
        <f>estimate!B59</f>
        <v>-13% VAT for water</v>
      </c>
      <c r="C38" s="52"/>
      <c r="D38" s="52"/>
      <c r="E38" s="52"/>
      <c r="F38" s="52">
        <f>estimate!J59</f>
        <v>10.064638829625114</v>
      </c>
      <c r="G38" s="52"/>
      <c r="H38" s="52"/>
      <c r="I38" s="52">
        <f>V!J78</f>
        <v>10.535999414812558</v>
      </c>
      <c r="J38" s="53">
        <f t="shared" si="4"/>
        <v>0.47136058518744406</v>
      </c>
      <c r="K38" s="54"/>
      <c r="M38" s="35">
        <f t="shared" si="0"/>
        <v>12.580798537031392</v>
      </c>
    </row>
    <row r="39" spans="1:13" s="35" customFormat="1" x14ac:dyDescent="0.25">
      <c r="A39" s="56"/>
      <c r="B39" s="57"/>
      <c r="C39" s="52"/>
      <c r="D39" s="52"/>
      <c r="E39" s="52"/>
      <c r="F39" s="52"/>
      <c r="G39" s="52"/>
      <c r="H39" s="52"/>
      <c r="I39" s="52"/>
      <c r="J39" s="53"/>
      <c r="K39" s="54"/>
      <c r="M39" s="58"/>
    </row>
    <row r="40" spans="1:13" s="35" customFormat="1" x14ac:dyDescent="0.25">
      <c r="A40" s="51">
        <f>estimate!A61</f>
        <v>7</v>
      </c>
      <c r="B40" s="59" t="str">
        <f>estimate!B61</f>
        <v>Information board (सुचना पाटि)</v>
      </c>
      <c r="C40" s="52" t="str">
        <f>estimate!H61</f>
        <v>no.</v>
      </c>
      <c r="D40" s="52">
        <f>estimate!G61</f>
        <v>1</v>
      </c>
      <c r="E40" s="52">
        <f>estimate!I61</f>
        <v>1000</v>
      </c>
      <c r="F40" s="52">
        <f>D40*E40</f>
        <v>1000</v>
      </c>
      <c r="G40" s="52">
        <f>V!G80</f>
        <v>1</v>
      </c>
      <c r="H40" s="52">
        <f>V!I80</f>
        <v>1000</v>
      </c>
      <c r="I40" s="52">
        <f>G40*H40</f>
        <v>1000</v>
      </c>
      <c r="J40" s="53">
        <f>I40-F40</f>
        <v>0</v>
      </c>
      <c r="K40" s="54"/>
    </row>
    <row r="41" spans="1:13" s="35" customFormat="1" x14ac:dyDescent="0.25">
      <c r="A41" s="57"/>
      <c r="B41" s="57"/>
      <c r="C41" s="52"/>
      <c r="D41" s="52"/>
      <c r="E41" s="52"/>
      <c r="F41" s="52"/>
      <c r="G41" s="52"/>
      <c r="H41" s="52"/>
      <c r="I41" s="52"/>
      <c r="J41" s="53"/>
      <c r="K41" s="54"/>
    </row>
    <row r="42" spans="1:13" x14ac:dyDescent="0.25">
      <c r="A42" s="60"/>
      <c r="B42" s="61" t="s">
        <v>20</v>
      </c>
      <c r="C42" s="61"/>
      <c r="D42" s="62"/>
      <c r="E42" s="62"/>
      <c r="F42" s="62">
        <f>SUM(F13:F40)</f>
        <v>234835.07491669987</v>
      </c>
      <c r="G42" s="62"/>
      <c r="H42" s="62"/>
      <c r="I42" s="62">
        <f>SUM(I13:I40)</f>
        <v>240974.86130219698</v>
      </c>
      <c r="J42" s="63">
        <f>I42-F42</f>
        <v>6139.7863854971074</v>
      </c>
      <c r="K42" s="60"/>
    </row>
  </sheetData>
  <mergeCells count="20">
    <mergeCell ref="K11:K12"/>
    <mergeCell ref="A11:A12"/>
    <mergeCell ref="B11:B12"/>
    <mergeCell ref="C11:C12"/>
    <mergeCell ref="D11:F11"/>
    <mergeCell ref="G11:I11"/>
    <mergeCell ref="J11:J12"/>
    <mergeCell ref="F7:G7"/>
    <mergeCell ref="I7:K7"/>
    <mergeCell ref="A8:F8"/>
    <mergeCell ref="I8:K8"/>
    <mergeCell ref="A9:F9"/>
    <mergeCell ref="I9:K9"/>
    <mergeCell ref="C6:D6"/>
    <mergeCell ref="J6:K6"/>
    <mergeCell ref="A1:K1"/>
    <mergeCell ref="A2:K2"/>
    <mergeCell ref="A3:K3"/>
    <mergeCell ref="A4:K4"/>
    <mergeCell ref="A5:K5"/>
  </mergeCells>
  <printOptions horizontalCentered="1"/>
  <pageMargins left="0.7" right="0.7" top="0.75" bottom="0.75" header="0.3" footer="0.3"/>
  <pageSetup scale="85" orientation="landscape" horizontalDpi="300" verticalDpi="300" r:id="rId1"/>
  <headerFooter>
    <oddFooter xml:space="preserve">&amp;LPrepared By:
&amp;CChecked By:
&amp;RApproved By:
</oddFooter>
  </headerFooter>
  <rowBreaks count="1" manualBreakCount="1">
    <brk id="33"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1607E-06B8-49E3-AB39-BC5343C62098}">
  <dimension ref="A1:S89"/>
  <sheetViews>
    <sheetView tabSelected="1" view="pageBreakPreview" topLeftCell="A59" zoomScale="95" zoomScaleNormal="90" zoomScaleSheetLayoutView="95" workbookViewId="0">
      <selection activeCell="A6" sqref="A6:F6"/>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hidden="1" customWidth="1"/>
    <col min="10" max="10" width="10.7109375" style="19" hidden="1" customWidth="1"/>
    <col min="11" max="12" width="9.140625" style="19"/>
    <col min="13" max="16" width="0" style="19" hidden="1" customWidth="1"/>
    <col min="17" max="16384" width="9.140625" style="19"/>
  </cols>
  <sheetData>
    <row r="1" spans="1:11" x14ac:dyDescent="0.25">
      <c r="A1" s="71" t="s">
        <v>0</v>
      </c>
      <c r="B1" s="71"/>
      <c r="C1" s="71"/>
      <c r="D1" s="71"/>
      <c r="E1" s="71"/>
      <c r="F1" s="71"/>
      <c r="G1" s="71"/>
      <c r="H1" s="71"/>
      <c r="I1" s="71"/>
      <c r="J1" s="71"/>
      <c r="K1" s="71"/>
    </row>
    <row r="2" spans="1:11" ht="22.5" x14ac:dyDescent="0.25">
      <c r="A2" s="72" t="s">
        <v>1</v>
      </c>
      <c r="B2" s="72"/>
      <c r="C2" s="72"/>
      <c r="D2" s="72"/>
      <c r="E2" s="72"/>
      <c r="F2" s="72"/>
      <c r="G2" s="72"/>
      <c r="H2" s="72"/>
      <c r="I2" s="72"/>
      <c r="J2" s="72"/>
      <c r="K2" s="72"/>
    </row>
    <row r="3" spans="1:11" x14ac:dyDescent="0.25">
      <c r="A3" s="73" t="s">
        <v>2</v>
      </c>
      <c r="B3" s="73"/>
      <c r="C3" s="73"/>
      <c r="D3" s="73"/>
      <c r="E3" s="73"/>
      <c r="F3" s="73"/>
      <c r="G3" s="73"/>
      <c r="H3" s="73"/>
      <c r="I3" s="73"/>
      <c r="J3" s="73"/>
      <c r="K3" s="73"/>
    </row>
    <row r="4" spans="1:11" x14ac:dyDescent="0.25">
      <c r="A4" s="73" t="s">
        <v>3</v>
      </c>
      <c r="B4" s="73"/>
      <c r="C4" s="73"/>
      <c r="D4" s="73"/>
      <c r="E4" s="73"/>
      <c r="F4" s="73"/>
      <c r="G4" s="73"/>
      <c r="H4" s="73"/>
      <c r="I4" s="73"/>
      <c r="J4" s="73"/>
      <c r="K4" s="73"/>
    </row>
    <row r="5" spans="1:11" ht="18.75" x14ac:dyDescent="0.3">
      <c r="A5" s="74" t="s">
        <v>91</v>
      </c>
      <c r="B5" s="74"/>
      <c r="C5" s="74"/>
      <c r="D5" s="74"/>
      <c r="E5" s="74"/>
      <c r="F5" s="74"/>
      <c r="G5" s="74"/>
      <c r="H5" s="74"/>
      <c r="I5" s="74"/>
      <c r="J5" s="74"/>
      <c r="K5" s="74"/>
    </row>
    <row r="6" spans="1:11" ht="15.75" x14ac:dyDescent="0.25">
      <c r="A6" s="75" t="s">
        <v>60</v>
      </c>
      <c r="B6" s="75"/>
      <c r="C6" s="75"/>
      <c r="D6" s="75"/>
      <c r="E6" s="75"/>
      <c r="F6" s="75"/>
      <c r="I6" s="45"/>
      <c r="J6" s="45"/>
      <c r="K6" s="45" t="s">
        <v>25</v>
      </c>
    </row>
    <row r="7" spans="1:11" ht="15.75" x14ac:dyDescent="0.25">
      <c r="A7" s="67" t="s">
        <v>48</v>
      </c>
      <c r="B7" s="67"/>
      <c r="C7" s="67"/>
      <c r="D7" s="67"/>
      <c r="E7" s="67"/>
      <c r="F7" s="67"/>
      <c r="G7" s="11"/>
      <c r="I7" s="64"/>
      <c r="J7" s="64"/>
      <c r="K7" s="46" t="s">
        <v>90</v>
      </c>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s="35" customFormat="1" ht="45" x14ac:dyDescent="0.25">
      <c r="A9" s="2">
        <v>1</v>
      </c>
      <c r="B9" s="36" t="s">
        <v>32</v>
      </c>
      <c r="C9" s="3" t="s">
        <v>7</v>
      </c>
      <c r="D9" s="37" t="s">
        <v>33</v>
      </c>
      <c r="E9" s="38" t="s">
        <v>34</v>
      </c>
      <c r="F9" s="38" t="s">
        <v>35</v>
      </c>
      <c r="G9" s="38"/>
      <c r="H9" s="7"/>
      <c r="I9" s="6"/>
      <c r="J9" s="39"/>
      <c r="K9" s="5"/>
    </row>
    <row r="10" spans="1:11" s="35" customFormat="1" ht="30" x14ac:dyDescent="0.25">
      <c r="A10" s="16"/>
      <c r="B10" s="40" t="s">
        <v>65</v>
      </c>
      <c r="C10" s="41">
        <v>2</v>
      </c>
      <c r="D10" s="9">
        <f>(15.5+1)/3.281</f>
        <v>5.0289545870161536</v>
      </c>
      <c r="E10" s="9">
        <v>3.54</v>
      </c>
      <c r="F10" s="9">
        <f t="shared" ref="F10:F11" si="0">PRODUCT(C10:E10)</f>
        <v>35.604998476074371</v>
      </c>
      <c r="G10" s="9">
        <f t="shared" ref="G10:G11" si="1">F10</f>
        <v>35.604998476074371</v>
      </c>
      <c r="H10" s="39"/>
      <c r="I10" s="39"/>
      <c r="J10" s="39"/>
      <c r="K10" s="27"/>
    </row>
    <row r="11" spans="1:11" s="35" customFormat="1" x14ac:dyDescent="0.25">
      <c r="A11" s="16"/>
      <c r="B11" s="40"/>
      <c r="C11" s="41">
        <v>2</v>
      </c>
      <c r="D11" s="9">
        <f>(15.5-1.5+2)/3.281</f>
        <v>4.8765620237732392</v>
      </c>
      <c r="E11" s="9">
        <v>3.54</v>
      </c>
      <c r="F11" s="9">
        <f t="shared" si="0"/>
        <v>34.526059128314536</v>
      </c>
      <c r="G11" s="9">
        <f t="shared" si="1"/>
        <v>34.526059128314536</v>
      </c>
      <c r="H11" s="39"/>
      <c r="I11" s="39"/>
      <c r="J11" s="39"/>
      <c r="K11" s="27"/>
    </row>
    <row r="12" spans="1:11" s="35" customFormat="1" ht="30" x14ac:dyDescent="0.25">
      <c r="A12" s="16"/>
      <c r="B12" s="40" t="s">
        <v>67</v>
      </c>
      <c r="C12" s="41">
        <v>2</v>
      </c>
      <c r="D12" s="9">
        <v>3.9</v>
      </c>
      <c r="E12" s="9">
        <v>2.14</v>
      </c>
      <c r="F12" s="9">
        <f>PRODUCT(C12:E12)</f>
        <v>16.692</v>
      </c>
      <c r="G12" s="9">
        <f>F12</f>
        <v>16.692</v>
      </c>
      <c r="H12" s="39"/>
      <c r="I12" s="39"/>
      <c r="J12" s="39"/>
      <c r="K12" s="27"/>
    </row>
    <row r="13" spans="1:11" s="35" customFormat="1" ht="30" x14ac:dyDescent="0.25">
      <c r="A13" s="16"/>
      <c r="B13" s="40" t="s">
        <v>68</v>
      </c>
      <c r="C13" s="41">
        <v>9</v>
      </c>
      <c r="D13" s="9">
        <v>3.09</v>
      </c>
      <c r="E13" s="9">
        <v>2.14</v>
      </c>
      <c r="F13" s="9">
        <f t="shared" ref="F13:F26" si="2">PRODUCT(C13:E13)</f>
        <v>59.513399999999997</v>
      </c>
      <c r="G13" s="9">
        <f t="shared" ref="G13:G26" si="3">F13</f>
        <v>59.513399999999997</v>
      </c>
      <c r="H13" s="39"/>
      <c r="I13" s="39"/>
      <c r="J13" s="39"/>
      <c r="K13" s="27"/>
    </row>
    <row r="14" spans="1:11" s="35" customFormat="1" ht="45" x14ac:dyDescent="0.25">
      <c r="A14" s="16"/>
      <c r="B14" s="40" t="s">
        <v>66</v>
      </c>
      <c r="C14" s="41">
        <v>1</v>
      </c>
      <c r="D14" s="9">
        <v>3.9</v>
      </c>
      <c r="E14" s="9">
        <v>2.35</v>
      </c>
      <c r="F14" s="9">
        <f t="shared" si="2"/>
        <v>9.1650000000000009</v>
      </c>
      <c r="G14" s="9">
        <f t="shared" si="3"/>
        <v>9.1650000000000009</v>
      </c>
      <c r="H14" s="39"/>
      <c r="I14" s="39"/>
      <c r="J14" s="39"/>
      <c r="K14" s="27"/>
    </row>
    <row r="15" spans="1:11" s="35" customFormat="1" ht="45" x14ac:dyDescent="0.25">
      <c r="A15" s="16"/>
      <c r="B15" s="40" t="s">
        <v>69</v>
      </c>
      <c r="C15" s="41">
        <v>3</v>
      </c>
      <c r="D15" s="9">
        <f>(7+1)/3.281</f>
        <v>2.4382810118866196</v>
      </c>
      <c r="E15" s="9">
        <v>3.54</v>
      </c>
      <c r="F15" s="9">
        <f t="shared" si="2"/>
        <v>25.8945443462359</v>
      </c>
      <c r="G15" s="9">
        <f t="shared" si="3"/>
        <v>25.8945443462359</v>
      </c>
      <c r="H15" s="39"/>
      <c r="I15" s="39"/>
      <c r="J15" s="39"/>
      <c r="K15" s="27"/>
    </row>
    <row r="16" spans="1:11" s="35" customFormat="1" x14ac:dyDescent="0.25">
      <c r="A16" s="16"/>
      <c r="B16" s="40"/>
      <c r="C16" s="41">
        <v>3</v>
      </c>
      <c r="D16" s="9">
        <v>2.6</v>
      </c>
      <c r="E16" s="9">
        <v>3.54</v>
      </c>
      <c r="F16" s="9">
        <f t="shared" si="2"/>
        <v>27.612000000000002</v>
      </c>
      <c r="G16" s="9">
        <f t="shared" si="3"/>
        <v>27.612000000000002</v>
      </c>
      <c r="H16" s="39"/>
      <c r="I16" s="39"/>
      <c r="J16" s="39"/>
      <c r="K16" s="27"/>
    </row>
    <row r="17" spans="1:11" s="35" customFormat="1" ht="30" x14ac:dyDescent="0.25">
      <c r="A17" s="16"/>
      <c r="B17" s="40" t="s">
        <v>70</v>
      </c>
      <c r="C17" s="41">
        <v>5</v>
      </c>
      <c r="D17" s="9">
        <v>3.09</v>
      </c>
      <c r="E17" s="9">
        <v>1.39</v>
      </c>
      <c r="F17" s="9">
        <f t="shared" si="2"/>
        <v>21.475499999999997</v>
      </c>
      <c r="G17" s="9">
        <f t="shared" si="3"/>
        <v>21.475499999999997</v>
      </c>
      <c r="H17" s="39"/>
      <c r="I17" s="39"/>
      <c r="J17" s="39"/>
      <c r="K17" s="27"/>
    </row>
    <row r="18" spans="1:11" s="35" customFormat="1" ht="45" x14ac:dyDescent="0.25">
      <c r="A18" s="16"/>
      <c r="B18" s="40" t="s">
        <v>71</v>
      </c>
      <c r="C18" s="41">
        <v>5</v>
      </c>
      <c r="D18" s="9">
        <f>1.8+1.9</f>
        <v>3.7</v>
      </c>
      <c r="E18" s="9">
        <v>1.39</v>
      </c>
      <c r="F18" s="9">
        <f t="shared" si="2"/>
        <v>25.715</v>
      </c>
      <c r="G18" s="9">
        <f t="shared" si="3"/>
        <v>25.715</v>
      </c>
      <c r="H18" s="39"/>
      <c r="I18" s="39"/>
      <c r="J18" s="39"/>
      <c r="K18" s="27"/>
    </row>
    <row r="19" spans="1:11" s="35" customFormat="1" ht="45" x14ac:dyDescent="0.25">
      <c r="A19" s="16"/>
      <c r="B19" s="40" t="s">
        <v>72</v>
      </c>
      <c r="C19" s="41">
        <v>3</v>
      </c>
      <c r="D19" s="9">
        <f>13/3.281</f>
        <v>3.9622066443157573</v>
      </c>
      <c r="E19" s="9">
        <v>1.39</v>
      </c>
      <c r="F19" s="9">
        <f t="shared" si="2"/>
        <v>16.522401706796707</v>
      </c>
      <c r="G19" s="9">
        <f t="shared" si="3"/>
        <v>16.522401706796707</v>
      </c>
      <c r="H19" s="39"/>
      <c r="I19" s="39"/>
      <c r="J19" s="39"/>
      <c r="K19" s="27"/>
    </row>
    <row r="20" spans="1:11" s="35" customFormat="1" ht="30" x14ac:dyDescent="0.25">
      <c r="A20" s="16"/>
      <c r="B20" s="40" t="s">
        <v>65</v>
      </c>
      <c r="C20" s="41">
        <v>3</v>
      </c>
      <c r="D20" s="9">
        <f>(13)/3.281</f>
        <v>3.9622066443157573</v>
      </c>
      <c r="E20" s="9">
        <v>3.54</v>
      </c>
      <c r="F20" s="9">
        <f t="shared" si="2"/>
        <v>42.078634562633347</v>
      </c>
      <c r="G20" s="9">
        <f t="shared" si="3"/>
        <v>42.078634562633347</v>
      </c>
      <c r="H20" s="39"/>
      <c r="I20" s="39"/>
      <c r="J20" s="39"/>
      <c r="K20" s="27"/>
    </row>
    <row r="21" spans="1:11" s="35" customFormat="1" x14ac:dyDescent="0.25">
      <c r="A21" s="16"/>
      <c r="B21" s="40"/>
      <c r="C21" s="41">
        <v>3</v>
      </c>
      <c r="D21" s="9">
        <f>(9)/3.281</f>
        <v>2.7430661383724475</v>
      </c>
      <c r="E21" s="9">
        <v>3.54</v>
      </c>
      <c r="F21" s="9">
        <f t="shared" si="2"/>
        <v>29.131362389515388</v>
      </c>
      <c r="G21" s="9">
        <f t="shared" si="3"/>
        <v>29.131362389515388</v>
      </c>
      <c r="H21" s="39"/>
      <c r="I21" s="39"/>
      <c r="J21" s="39"/>
      <c r="K21" s="27"/>
    </row>
    <row r="22" spans="1:11" s="35" customFormat="1" ht="30" x14ac:dyDescent="0.25">
      <c r="A22" s="16"/>
      <c r="B22" s="40" t="s">
        <v>70</v>
      </c>
      <c r="C22" s="41">
        <v>5</v>
      </c>
      <c r="D22" s="9">
        <f>3.8+7-11.33/3.281+0.6</f>
        <v>7.9467845169155744</v>
      </c>
      <c r="E22" s="9">
        <v>1.39</v>
      </c>
      <c r="F22" s="9">
        <f t="shared" si="2"/>
        <v>55.230152392563234</v>
      </c>
      <c r="G22" s="9">
        <f t="shared" si="3"/>
        <v>55.230152392563234</v>
      </c>
      <c r="H22" s="39"/>
      <c r="I22" s="39"/>
      <c r="J22" s="39"/>
      <c r="K22" s="27"/>
    </row>
    <row r="23" spans="1:11" s="35" customFormat="1" ht="45" x14ac:dyDescent="0.25">
      <c r="A23" s="16"/>
      <c r="B23" s="40" t="s">
        <v>87</v>
      </c>
      <c r="C23" s="41">
        <v>3</v>
      </c>
      <c r="D23" s="9">
        <f>11.25/3.281</f>
        <v>3.4288326729655592</v>
      </c>
      <c r="E23" s="9">
        <v>2.35</v>
      </c>
      <c r="F23" s="9">
        <f t="shared" si="2"/>
        <v>24.173270344407193</v>
      </c>
      <c r="G23" s="9">
        <f t="shared" si="3"/>
        <v>24.173270344407193</v>
      </c>
      <c r="H23" s="39"/>
      <c r="I23" s="39"/>
      <c r="J23" s="39"/>
      <c r="K23" s="27"/>
    </row>
    <row r="24" spans="1:11" s="35" customFormat="1" ht="45" x14ac:dyDescent="0.25">
      <c r="A24" s="16"/>
      <c r="B24" s="40" t="s">
        <v>88</v>
      </c>
      <c r="C24" s="41">
        <v>3</v>
      </c>
      <c r="D24" s="9">
        <f>(11.667*2)/3.281</f>
        <v>7.1118561414202981</v>
      </c>
      <c r="E24" s="9">
        <v>1.39</v>
      </c>
      <c r="F24" s="9">
        <f t="shared" si="2"/>
        <v>29.656440109722642</v>
      </c>
      <c r="G24" s="9">
        <f t="shared" si="3"/>
        <v>29.656440109722642</v>
      </c>
      <c r="H24" s="39"/>
      <c r="I24" s="39"/>
      <c r="J24" s="39"/>
      <c r="K24" s="27"/>
    </row>
    <row r="25" spans="1:11" s="35" customFormat="1" x14ac:dyDescent="0.25">
      <c r="A25" s="16"/>
      <c r="B25" s="40"/>
      <c r="C25" s="41">
        <v>3</v>
      </c>
      <c r="D25" s="9">
        <f>11.25/3.281</f>
        <v>3.4288326729655592</v>
      </c>
      <c r="E25" s="9">
        <v>1.39</v>
      </c>
      <c r="F25" s="9">
        <f t="shared" si="2"/>
        <v>14.298232246266382</v>
      </c>
      <c r="G25" s="9">
        <f t="shared" si="3"/>
        <v>14.298232246266382</v>
      </c>
      <c r="H25" s="39"/>
      <c r="I25" s="39"/>
      <c r="J25" s="39"/>
      <c r="K25" s="27"/>
    </row>
    <row r="26" spans="1:11" s="35" customFormat="1" x14ac:dyDescent="0.25">
      <c r="A26" s="16"/>
      <c r="B26" s="40"/>
      <c r="C26" s="41">
        <v>6</v>
      </c>
      <c r="D26" s="9">
        <f>11.25/3.281</f>
        <v>3.4288326729655592</v>
      </c>
      <c r="E26" s="9">
        <v>1.39</v>
      </c>
      <c r="F26" s="9">
        <f t="shared" si="2"/>
        <v>28.596464492532764</v>
      </c>
      <c r="G26" s="9">
        <f t="shared" si="3"/>
        <v>28.596464492532764</v>
      </c>
      <c r="H26" s="39"/>
      <c r="I26" s="39"/>
      <c r="J26" s="39"/>
      <c r="K26" s="27"/>
    </row>
    <row r="27" spans="1:11" s="35" customFormat="1" x14ac:dyDescent="0.25">
      <c r="A27" s="2"/>
      <c r="B27" s="40" t="s">
        <v>36</v>
      </c>
      <c r="C27" s="3"/>
      <c r="D27" s="4"/>
      <c r="E27" s="5"/>
      <c r="F27" s="5"/>
      <c r="G27" s="39">
        <f>SUM(G10:G26)</f>
        <v>495.88546019506242</v>
      </c>
      <c r="H27" s="7" t="s">
        <v>37</v>
      </c>
      <c r="I27" s="6">
        <v>182.51</v>
      </c>
      <c r="J27" s="39">
        <f>G27*I27</f>
        <v>90504.055340200837</v>
      </c>
      <c r="K27" s="5"/>
    </row>
    <row r="28" spans="1:11" s="35" customFormat="1" hidden="1" x14ac:dyDescent="0.25">
      <c r="A28" s="2"/>
      <c r="B28" s="40" t="s">
        <v>38</v>
      </c>
      <c r="C28" s="3"/>
      <c r="D28" s="4"/>
      <c r="E28" s="5"/>
      <c r="F28" s="5"/>
      <c r="G28" s="39"/>
      <c r="H28" s="7"/>
      <c r="I28" s="6"/>
      <c r="J28" s="39">
        <f>0.13*G27*(1871.42/18.94)</f>
        <v>6369.6565907799195</v>
      </c>
      <c r="K28" s="5"/>
    </row>
    <row r="29" spans="1:11" s="35" customFormat="1" x14ac:dyDescent="0.25">
      <c r="A29" s="2"/>
      <c r="B29" s="40"/>
      <c r="C29" s="3"/>
      <c r="D29" s="4"/>
      <c r="E29" s="5"/>
      <c r="F29" s="5"/>
      <c r="G29" s="39"/>
      <c r="H29" s="7"/>
      <c r="I29" s="6"/>
      <c r="J29" s="39"/>
      <c r="K29" s="5"/>
    </row>
    <row r="30" spans="1:11" s="35" customFormat="1" ht="45" x14ac:dyDescent="0.25">
      <c r="A30" s="2">
        <v>2</v>
      </c>
      <c r="B30" s="36" t="s">
        <v>62</v>
      </c>
      <c r="C30" s="3"/>
      <c r="D30" s="4"/>
      <c r="E30" s="5"/>
      <c r="F30" s="5"/>
      <c r="G30" s="39"/>
      <c r="H30" s="7"/>
      <c r="I30" s="6"/>
      <c r="J30" s="39"/>
      <c r="K30" s="5"/>
    </row>
    <row r="31" spans="1:11" s="35" customFormat="1" x14ac:dyDescent="0.25">
      <c r="A31" s="2"/>
      <c r="B31" s="40" t="s">
        <v>39</v>
      </c>
      <c r="C31" s="3">
        <v>1</v>
      </c>
      <c r="D31" s="4">
        <f>(10+3)/3.281</f>
        <v>3.9622066443157573</v>
      </c>
      <c r="E31" s="5">
        <f>(7)/3.281</f>
        <v>2.1334958854007922</v>
      </c>
      <c r="F31" s="5"/>
      <c r="G31" s="33">
        <f t="shared" ref="G31:G33" si="4">PRODUCT(C31:F31)</f>
        <v>8.4533515727553485</v>
      </c>
      <c r="H31" s="7"/>
      <c r="I31" s="6"/>
      <c r="J31" s="39"/>
      <c r="K31" s="5"/>
    </row>
    <row r="32" spans="1:11" s="35" customFormat="1" x14ac:dyDescent="0.25">
      <c r="A32" s="2"/>
      <c r="B32" s="40" t="s">
        <v>73</v>
      </c>
      <c r="C32" s="3">
        <v>1</v>
      </c>
      <c r="D32" s="4">
        <f>(13)/3.281</f>
        <v>3.9622066443157573</v>
      </c>
      <c r="E32" s="5">
        <f>1.75+1.75</f>
        <v>3.5</v>
      </c>
      <c r="F32" s="5"/>
      <c r="G32" s="33">
        <f t="shared" si="4"/>
        <v>13.867723255105151</v>
      </c>
      <c r="H32" s="7"/>
      <c r="I32" s="6"/>
      <c r="J32" s="39"/>
      <c r="K32" s="5"/>
    </row>
    <row r="33" spans="1:11" s="35" customFormat="1" x14ac:dyDescent="0.25">
      <c r="A33" s="2"/>
      <c r="B33" s="40"/>
      <c r="C33" s="3">
        <v>1</v>
      </c>
      <c r="D33" s="4">
        <f>3.75+7-11.33/3.281</f>
        <v>7.2967845169155741</v>
      </c>
      <c r="E33" s="5">
        <f>14/3.281</f>
        <v>4.2669917708015843</v>
      </c>
      <c r="F33" s="5"/>
      <c r="G33" s="33">
        <f t="shared" si="4"/>
        <v>31.135319486991168</v>
      </c>
      <c r="H33" s="7"/>
      <c r="I33" s="6"/>
      <c r="J33" s="39"/>
      <c r="K33" s="5"/>
    </row>
    <row r="34" spans="1:11" s="35" customFormat="1" x14ac:dyDescent="0.25">
      <c r="A34" s="2"/>
      <c r="B34" s="40" t="s">
        <v>36</v>
      </c>
      <c r="C34" s="3"/>
      <c r="D34" s="4"/>
      <c r="E34" s="5"/>
      <c r="F34" s="5"/>
      <c r="G34" s="39">
        <f>SUM(G31:G33)</f>
        <v>53.456394314851664</v>
      </c>
      <c r="H34" s="7" t="s">
        <v>40</v>
      </c>
      <c r="I34" s="6">
        <v>1074.98</v>
      </c>
      <c r="J34" s="39">
        <f>G34*I34</f>
        <v>57464.554760579245</v>
      </c>
      <c r="K34" s="5"/>
    </row>
    <row r="35" spans="1:11" hidden="1" x14ac:dyDescent="0.25">
      <c r="A35" s="16"/>
      <c r="B35" s="32" t="s">
        <v>41</v>
      </c>
      <c r="C35" s="17"/>
      <c r="D35" s="17"/>
      <c r="E35" s="17"/>
      <c r="F35" s="17"/>
      <c r="G35" s="17"/>
      <c r="H35" s="17"/>
      <c r="I35" s="17"/>
      <c r="J35" s="18">
        <f>0.13*G34*6674.66/10</f>
        <v>4638.4423394083815</v>
      </c>
      <c r="K35" s="17"/>
    </row>
    <row r="36" spans="1:11" hidden="1" x14ac:dyDescent="0.25">
      <c r="A36" s="16"/>
      <c r="B36" s="32" t="s">
        <v>42</v>
      </c>
      <c r="C36" s="17"/>
      <c r="D36" s="17"/>
      <c r="E36" s="17"/>
      <c r="F36" s="17"/>
      <c r="G36" s="17"/>
      <c r="H36" s="17"/>
      <c r="I36" s="17"/>
      <c r="J36" s="18">
        <f>0.13*G34*1023.75/10</f>
        <v>711.43778783778214</v>
      </c>
      <c r="K36" s="17"/>
    </row>
    <row r="37" spans="1:11" hidden="1" x14ac:dyDescent="0.25">
      <c r="A37" s="16"/>
      <c r="B37" s="32" t="s">
        <v>43</v>
      </c>
      <c r="C37" s="17"/>
      <c r="D37" s="17"/>
      <c r="E37" s="17"/>
      <c r="F37" s="17"/>
      <c r="G37" s="17"/>
      <c r="H37" s="17"/>
      <c r="I37" s="17"/>
      <c r="J37" s="18">
        <f>0.13*G34*348.21/10</f>
        <v>241.98266383686845</v>
      </c>
      <c r="K37" s="17"/>
    </row>
    <row r="38" spans="1:11" hidden="1" x14ac:dyDescent="0.25">
      <c r="A38" s="16"/>
      <c r="B38" s="32" t="s">
        <v>44</v>
      </c>
      <c r="C38" s="17"/>
      <c r="D38" s="17"/>
      <c r="E38" s="17"/>
      <c r="F38" s="17"/>
      <c r="G38" s="17"/>
      <c r="H38" s="17"/>
      <c r="I38" s="17"/>
      <c r="J38" s="18">
        <f>0.13*G34*165/10</f>
        <v>114.66396580535684</v>
      </c>
      <c r="K38" s="17"/>
    </row>
    <row r="39" spans="1:11" x14ac:dyDescent="0.25">
      <c r="A39" s="16"/>
      <c r="B39" s="32"/>
      <c r="C39" s="17"/>
      <c r="D39" s="17"/>
      <c r="E39" s="17"/>
      <c r="F39" s="17"/>
      <c r="G39" s="17"/>
      <c r="H39" s="17"/>
      <c r="I39" s="17"/>
      <c r="J39" s="18"/>
      <c r="K39" s="17"/>
    </row>
    <row r="40" spans="1:11" ht="30.75" x14ac:dyDescent="0.25">
      <c r="A40" s="16">
        <v>3</v>
      </c>
      <c r="B40" s="43" t="s">
        <v>49</v>
      </c>
      <c r="C40" s="17"/>
      <c r="D40" s="17"/>
      <c r="E40" s="17"/>
      <c r="F40" s="17"/>
      <c r="G40" s="17"/>
      <c r="H40" s="17"/>
      <c r="I40" s="17"/>
      <c r="J40" s="18"/>
      <c r="K40" s="17"/>
    </row>
    <row r="41" spans="1:11" x14ac:dyDescent="0.25">
      <c r="A41" s="16"/>
      <c r="B41" s="32" t="s">
        <v>45</v>
      </c>
      <c r="C41" s="17">
        <v>2</v>
      </c>
      <c r="D41" s="33">
        <f>8/3.281</f>
        <v>2.4382810118866196</v>
      </c>
      <c r="E41" s="17">
        <v>0.45</v>
      </c>
      <c r="F41" s="17">
        <v>0.9</v>
      </c>
      <c r="G41" s="33">
        <f t="shared" ref="G41:G45" si="5">PRODUCT(C41:F41)</f>
        <v>1.9750076196281618</v>
      </c>
      <c r="H41" s="17"/>
      <c r="I41" s="17"/>
      <c r="J41" s="18"/>
      <c r="K41" s="17"/>
    </row>
    <row r="42" spans="1:11" x14ac:dyDescent="0.25">
      <c r="A42" s="16"/>
      <c r="B42" s="32" t="s">
        <v>47</v>
      </c>
      <c r="C42" s="17">
        <f>2*6</f>
        <v>12</v>
      </c>
      <c r="D42" s="33">
        <v>0.45</v>
      </c>
      <c r="E42" s="17">
        <v>0.45</v>
      </c>
      <c r="F42" s="17">
        <v>0.45</v>
      </c>
      <c r="G42" s="33">
        <f t="shared" si="5"/>
        <v>1.0935000000000001</v>
      </c>
      <c r="H42" s="17"/>
      <c r="I42" s="17"/>
      <c r="J42" s="18"/>
      <c r="K42" s="17"/>
    </row>
    <row r="43" spans="1:11" x14ac:dyDescent="0.25">
      <c r="A43" s="16"/>
      <c r="B43" s="32" t="s">
        <v>55</v>
      </c>
      <c r="C43" s="17">
        <v>1</v>
      </c>
      <c r="D43" s="33">
        <f>13/3.281</f>
        <v>3.9622066443157573</v>
      </c>
      <c r="E43" s="33">
        <f>10/3.281</f>
        <v>3.047851264858275</v>
      </c>
      <c r="F43" s="17">
        <v>0.1</v>
      </c>
      <c r="G43" s="33">
        <f t="shared" si="5"/>
        <v>1.2076216532507642</v>
      </c>
      <c r="H43" s="17"/>
      <c r="I43" s="17"/>
      <c r="J43" s="18"/>
      <c r="K43" s="17"/>
    </row>
    <row r="44" spans="1:11" x14ac:dyDescent="0.25">
      <c r="A44" s="16"/>
      <c r="B44" s="32" t="s">
        <v>47</v>
      </c>
      <c r="C44" s="17">
        <v>6</v>
      </c>
      <c r="D44" s="33">
        <f>0.3</f>
        <v>0.3</v>
      </c>
      <c r="E44" s="33">
        <v>0.3</v>
      </c>
      <c r="F44" s="17">
        <v>0.3</v>
      </c>
      <c r="G44" s="33">
        <f t="shared" si="5"/>
        <v>0.16199999999999998</v>
      </c>
      <c r="H44" s="17"/>
      <c r="I44" s="17"/>
      <c r="J44" s="18"/>
      <c r="K44" s="17"/>
    </row>
    <row r="45" spans="1:11" x14ac:dyDescent="0.25">
      <c r="A45" s="16"/>
      <c r="B45" s="32" t="s">
        <v>89</v>
      </c>
      <c r="C45" s="17">
        <v>1</v>
      </c>
      <c r="D45" s="33">
        <f>9/3.281</f>
        <v>2.7430661383724475</v>
      </c>
      <c r="E45" s="33">
        <v>0.6</v>
      </c>
      <c r="F45" s="17">
        <v>0.9</v>
      </c>
      <c r="G45" s="33">
        <f t="shared" si="5"/>
        <v>1.4812557147211216</v>
      </c>
      <c r="H45" s="17"/>
      <c r="I45" s="17"/>
      <c r="J45" s="18"/>
      <c r="K45" s="17"/>
    </row>
    <row r="46" spans="1:11" s="35" customFormat="1" x14ac:dyDescent="0.25">
      <c r="A46" s="2"/>
      <c r="B46" s="40" t="s">
        <v>36</v>
      </c>
      <c r="C46" s="3"/>
      <c r="D46" s="4"/>
      <c r="E46" s="5"/>
      <c r="F46" s="5"/>
      <c r="G46" s="39">
        <f>SUM(G41:G45)</f>
        <v>5.9193849876000471</v>
      </c>
      <c r="H46" s="7" t="s">
        <v>46</v>
      </c>
      <c r="I46" s="6">
        <v>674.12</v>
      </c>
      <c r="J46" s="39">
        <f>G46*I46</f>
        <v>3990.3758078409437</v>
      </c>
      <c r="K46" s="5"/>
    </row>
    <row r="47" spans="1:11" x14ac:dyDescent="0.25">
      <c r="A47" s="16"/>
      <c r="B47" s="32"/>
      <c r="C47" s="17"/>
      <c r="D47" s="17"/>
      <c r="E47" s="17"/>
      <c r="F47" s="17"/>
      <c r="G47" s="17"/>
      <c r="H47" s="17"/>
      <c r="I47" s="17"/>
      <c r="J47" s="18"/>
      <c r="K47" s="17"/>
    </row>
    <row r="48" spans="1:11" ht="30.75" x14ac:dyDescent="0.25">
      <c r="A48" s="16">
        <v>4</v>
      </c>
      <c r="B48" s="43" t="s">
        <v>50</v>
      </c>
      <c r="C48" s="17"/>
      <c r="D48" s="17"/>
      <c r="E48" s="17"/>
      <c r="F48" s="17"/>
      <c r="G48" s="17"/>
      <c r="H48" s="17"/>
      <c r="I48" s="17"/>
      <c r="J48" s="18"/>
      <c r="K48" s="17"/>
    </row>
    <row r="49" spans="1:11" x14ac:dyDescent="0.25">
      <c r="A49" s="16"/>
      <c r="B49" s="32" t="str">
        <f>B42</f>
        <v>-for footing of vertical post</v>
      </c>
      <c r="C49" s="17">
        <f>C42</f>
        <v>12</v>
      </c>
      <c r="D49" s="33">
        <f>D42</f>
        <v>0.45</v>
      </c>
      <c r="E49" s="33">
        <f>E42</f>
        <v>0.45</v>
      </c>
      <c r="F49" s="33">
        <v>7.4999999999999997E-2</v>
      </c>
      <c r="G49" s="33">
        <f t="shared" ref="G49:G54" si="6">PRODUCT(C49:F49)</f>
        <v>0.18225</v>
      </c>
      <c r="H49" s="17"/>
      <c r="I49" s="17"/>
      <c r="J49" s="18"/>
      <c r="K49" s="17"/>
    </row>
    <row r="50" spans="1:11" x14ac:dyDescent="0.25">
      <c r="A50" s="16"/>
      <c r="B50" s="32" t="s">
        <v>55</v>
      </c>
      <c r="C50" s="17">
        <f t="shared" ref="C50:E52" si="7">C61</f>
        <v>1</v>
      </c>
      <c r="D50" s="33">
        <f t="shared" si="7"/>
        <v>3.5</v>
      </c>
      <c r="E50" s="33">
        <f t="shared" si="7"/>
        <v>3.5</v>
      </c>
      <c r="F50" s="33">
        <v>7.4999999999999997E-2</v>
      </c>
      <c r="G50" s="33">
        <f t="shared" si="6"/>
        <v>0.91874999999999996</v>
      </c>
      <c r="H50" s="17"/>
      <c r="I50" s="17"/>
      <c r="J50" s="18"/>
      <c r="K50" s="17"/>
    </row>
    <row r="51" spans="1:11" x14ac:dyDescent="0.25">
      <c r="A51" s="16"/>
      <c r="B51" s="32"/>
      <c r="C51" s="17">
        <f t="shared" si="7"/>
        <v>1</v>
      </c>
      <c r="D51" s="33">
        <f t="shared" si="7"/>
        <v>4.2</v>
      </c>
      <c r="E51" s="33">
        <f t="shared" si="7"/>
        <v>3.2</v>
      </c>
      <c r="F51" s="33">
        <v>7.4999999999999997E-2</v>
      </c>
      <c r="G51" s="33">
        <f t="shared" si="6"/>
        <v>1.008</v>
      </c>
      <c r="H51" s="17"/>
      <c r="I51" s="17"/>
      <c r="J51" s="18"/>
      <c r="K51" s="17"/>
    </row>
    <row r="52" spans="1:11" x14ac:dyDescent="0.25">
      <c r="A52" s="16"/>
      <c r="B52" s="32" t="s">
        <v>56</v>
      </c>
      <c r="C52" s="17">
        <f t="shared" si="7"/>
        <v>-1</v>
      </c>
      <c r="D52" s="33">
        <f t="shared" si="7"/>
        <v>3</v>
      </c>
      <c r="E52" s="33">
        <f t="shared" si="7"/>
        <v>1.5</v>
      </c>
      <c r="F52" s="33">
        <v>7.4999999999999997E-2</v>
      </c>
      <c r="G52" s="33">
        <f t="shared" si="6"/>
        <v>-0.33749999999999997</v>
      </c>
      <c r="H52" s="17"/>
      <c r="I52" s="17"/>
      <c r="J52" s="18"/>
      <c r="K52" s="17"/>
    </row>
    <row r="53" spans="1:11" x14ac:dyDescent="0.25">
      <c r="A53" s="16"/>
      <c r="B53" s="32" t="s">
        <v>55</v>
      </c>
      <c r="C53" s="17">
        <v>1</v>
      </c>
      <c r="D53" s="33">
        <v>3.5</v>
      </c>
      <c r="E53" s="33">
        <v>3.65</v>
      </c>
      <c r="F53" s="33">
        <v>7.4999999999999997E-2</v>
      </c>
      <c r="G53" s="33">
        <f t="shared" si="6"/>
        <v>0.958125</v>
      </c>
      <c r="H53" s="17"/>
      <c r="I53" s="17"/>
      <c r="J53" s="18"/>
      <c r="K53" s="17"/>
    </row>
    <row r="54" spans="1:11" x14ac:dyDescent="0.25">
      <c r="A54" s="16"/>
      <c r="B54" s="32"/>
      <c r="C54" s="17">
        <v>1</v>
      </c>
      <c r="D54" s="33">
        <v>3.5</v>
      </c>
      <c r="E54" s="33">
        <v>0.65</v>
      </c>
      <c r="F54" s="33">
        <v>7.4999999999999997E-2</v>
      </c>
      <c r="G54" s="33">
        <f t="shared" si="6"/>
        <v>0.170625</v>
      </c>
      <c r="H54" s="17"/>
      <c r="I54" s="17"/>
      <c r="J54" s="18"/>
      <c r="K54" s="17"/>
    </row>
    <row r="55" spans="1:11" s="35" customFormat="1" x14ac:dyDescent="0.25">
      <c r="A55" s="2"/>
      <c r="B55" s="40" t="s">
        <v>36</v>
      </c>
      <c r="C55" s="3"/>
      <c r="D55" s="4"/>
      <c r="E55" s="5"/>
      <c r="F55" s="5"/>
      <c r="G55" s="39">
        <f>SUM(G49:G54)</f>
        <v>2.9002499999999998</v>
      </c>
      <c r="H55" s="7" t="s">
        <v>46</v>
      </c>
      <c r="I55" s="6">
        <v>4495.6400000000003</v>
      </c>
      <c r="J55" s="39">
        <f>G55*I55</f>
        <v>13038.47991</v>
      </c>
      <c r="K55" s="5"/>
    </row>
    <row r="56" spans="1:11" hidden="1" x14ac:dyDescent="0.25">
      <c r="A56" s="16"/>
      <c r="B56" s="32" t="s">
        <v>51</v>
      </c>
      <c r="C56" s="17"/>
      <c r="D56" s="17"/>
      <c r="E56" s="17"/>
      <c r="F56" s="17"/>
      <c r="G56" s="17"/>
      <c r="H56" s="17"/>
      <c r="I56" s="17"/>
      <c r="J56" s="18">
        <f>0.13*G55*2577.63</f>
        <v>971.85028297500003</v>
      </c>
      <c r="K56" s="17"/>
    </row>
    <row r="57" spans="1:11" hidden="1" x14ac:dyDescent="0.25">
      <c r="A57" s="16"/>
      <c r="B57" s="32" t="s">
        <v>52</v>
      </c>
      <c r="C57" s="17"/>
      <c r="D57" s="17"/>
      <c r="E57" s="17"/>
      <c r="F57" s="17"/>
      <c r="G57" s="17"/>
      <c r="H57" s="17"/>
      <c r="I57" s="17"/>
      <c r="J57" s="18">
        <f>0.13*G55*515.52</f>
        <v>194.36779439999998</v>
      </c>
      <c r="K57" s="17"/>
    </row>
    <row r="58" spans="1:11" x14ac:dyDescent="0.25">
      <c r="A58" s="16"/>
      <c r="B58" s="42"/>
      <c r="C58" s="17"/>
      <c r="D58" s="17"/>
      <c r="E58" s="17"/>
      <c r="F58" s="17"/>
      <c r="G58" s="17"/>
      <c r="H58" s="17"/>
      <c r="I58" s="17"/>
      <c r="J58" s="18"/>
      <c r="K58" s="17"/>
    </row>
    <row r="59" spans="1:11" ht="30.75" x14ac:dyDescent="0.25">
      <c r="A59" s="16">
        <v>5</v>
      </c>
      <c r="B59" s="43" t="s">
        <v>53</v>
      </c>
      <c r="C59" s="17"/>
      <c r="D59" s="17"/>
      <c r="E59" s="17"/>
      <c r="F59" s="17"/>
      <c r="G59" s="17"/>
      <c r="H59" s="17"/>
      <c r="I59" s="17"/>
      <c r="J59" s="17"/>
      <c r="K59" s="17"/>
    </row>
    <row r="60" spans="1:11" x14ac:dyDescent="0.25">
      <c r="A60" s="16"/>
      <c r="B60" s="32" t="str">
        <f>B49</f>
        <v>-for footing of vertical post</v>
      </c>
      <c r="C60" s="17">
        <f>C42</f>
        <v>12</v>
      </c>
      <c r="D60" s="33">
        <v>0.45</v>
      </c>
      <c r="E60" s="17">
        <v>0.45</v>
      </c>
      <c r="F60" s="33">
        <v>0.05</v>
      </c>
      <c r="G60" s="33">
        <f t="shared" ref="G60:G64" si="8">PRODUCT(C60:F60)</f>
        <v>0.12150000000000001</v>
      </c>
      <c r="H60" s="17"/>
      <c r="I60" s="17"/>
      <c r="J60" s="18"/>
      <c r="K60" s="17"/>
    </row>
    <row r="61" spans="1:11" x14ac:dyDescent="0.25">
      <c r="A61" s="16"/>
      <c r="B61" s="32" t="str">
        <f>B50</f>
        <v>-for flooring</v>
      </c>
      <c r="C61" s="17">
        <v>1</v>
      </c>
      <c r="D61" s="33">
        <v>3.5</v>
      </c>
      <c r="E61" s="33">
        <v>3.5</v>
      </c>
      <c r="F61" s="33">
        <v>7.4999999999999997E-2</v>
      </c>
      <c r="G61" s="33">
        <f t="shared" si="8"/>
        <v>0.91874999999999996</v>
      </c>
      <c r="H61" s="17"/>
      <c r="I61" s="17"/>
      <c r="J61" s="18"/>
      <c r="K61" s="17"/>
    </row>
    <row r="62" spans="1:11" x14ac:dyDescent="0.25">
      <c r="A62" s="16"/>
      <c r="B62" s="32"/>
      <c r="C62" s="17">
        <v>1</v>
      </c>
      <c r="D62" s="33">
        <v>4.2</v>
      </c>
      <c r="E62" s="33">
        <v>3.2</v>
      </c>
      <c r="F62" s="33">
        <v>7.4999999999999997E-2</v>
      </c>
      <c r="G62" s="33">
        <f t="shared" si="8"/>
        <v>1.008</v>
      </c>
      <c r="H62" s="17"/>
      <c r="I62" s="17"/>
      <c r="J62" s="18"/>
      <c r="K62" s="17"/>
    </row>
    <row r="63" spans="1:11" x14ac:dyDescent="0.25">
      <c r="A63" s="16"/>
      <c r="B63" s="32" t="s">
        <v>56</v>
      </c>
      <c r="C63" s="17">
        <v>-1</v>
      </c>
      <c r="D63" s="33">
        <v>3</v>
      </c>
      <c r="E63" s="33">
        <f>0.6+0.45+0.45</f>
        <v>1.5</v>
      </c>
      <c r="F63" s="33">
        <v>7.4999999999999997E-2</v>
      </c>
      <c r="G63" s="33">
        <f t="shared" si="8"/>
        <v>-0.33749999999999997</v>
      </c>
      <c r="H63" s="17"/>
      <c r="I63" s="17"/>
      <c r="J63" s="18"/>
      <c r="K63" s="17"/>
    </row>
    <row r="64" spans="1:11" x14ac:dyDescent="0.25">
      <c r="A64" s="16"/>
      <c r="B64" s="32" t="s">
        <v>55</v>
      </c>
      <c r="C64" s="17">
        <v>1</v>
      </c>
      <c r="D64" s="33">
        <v>3.5</v>
      </c>
      <c r="E64" s="33">
        <v>3.65</v>
      </c>
      <c r="F64" s="33">
        <v>0.05</v>
      </c>
      <c r="G64" s="33">
        <f t="shared" si="8"/>
        <v>0.63875000000000004</v>
      </c>
      <c r="H64" s="17"/>
      <c r="I64" s="17"/>
      <c r="J64" s="18"/>
      <c r="K64" s="17"/>
    </row>
    <row r="65" spans="1:16" s="35" customFormat="1" x14ac:dyDescent="0.25">
      <c r="A65" s="2"/>
      <c r="B65" s="40" t="s">
        <v>36</v>
      </c>
      <c r="C65" s="3"/>
      <c r="D65" s="4"/>
      <c r="E65" s="5"/>
      <c r="F65" s="5"/>
      <c r="G65" s="39">
        <f>SUM(G60:G64)</f>
        <v>2.3494999999999999</v>
      </c>
      <c r="H65" s="7" t="s">
        <v>46</v>
      </c>
      <c r="I65" s="6">
        <v>13351.1</v>
      </c>
      <c r="J65" s="39">
        <f>G65*I65</f>
        <v>31368.409449999999</v>
      </c>
      <c r="K65" s="5"/>
    </row>
    <row r="66" spans="1:16" hidden="1" x14ac:dyDescent="0.25">
      <c r="A66" s="16"/>
      <c r="B66" s="32" t="s">
        <v>26</v>
      </c>
      <c r="C66" s="17"/>
      <c r="D66" s="17"/>
      <c r="E66" s="17"/>
      <c r="F66" s="17"/>
      <c r="G66" s="17"/>
      <c r="H66" s="17"/>
      <c r="I66" s="17"/>
      <c r="J66" s="18">
        <f>0.13*G65*4169.92</f>
        <v>1273.6395152</v>
      </c>
      <c r="K66" s="17"/>
    </row>
    <row r="67" spans="1:16" hidden="1" x14ac:dyDescent="0.25">
      <c r="A67" s="16"/>
      <c r="B67" s="32" t="s">
        <v>27</v>
      </c>
      <c r="C67" s="17"/>
      <c r="D67" s="17"/>
      <c r="E67" s="17"/>
      <c r="F67" s="17"/>
      <c r="G67" s="17"/>
      <c r="H67" s="17"/>
      <c r="I67" s="17"/>
      <c r="J67" s="18">
        <f>0.13*G65*1414.16</f>
        <v>431.93395960000004</v>
      </c>
      <c r="K67" s="17"/>
    </row>
    <row r="68" spans="1:16" hidden="1" x14ac:dyDescent="0.25">
      <c r="A68" s="16"/>
      <c r="B68" s="32" t="s">
        <v>28</v>
      </c>
      <c r="C68" s="17"/>
      <c r="D68" s="17"/>
      <c r="E68" s="17"/>
      <c r="F68" s="17"/>
      <c r="G68" s="17"/>
      <c r="H68" s="17"/>
      <c r="I68" s="17"/>
      <c r="J68" s="18">
        <f>0.13*G65*(1652.5+737.97+349.56)</f>
        <v>836.90106305000006</v>
      </c>
      <c r="K68" s="17"/>
    </row>
    <row r="69" spans="1:16" hidden="1" x14ac:dyDescent="0.25">
      <c r="A69" s="16"/>
      <c r="B69" s="32" t="s">
        <v>30</v>
      </c>
      <c r="C69" s="17"/>
      <c r="D69" s="17"/>
      <c r="E69" s="17"/>
      <c r="F69" s="17"/>
      <c r="G69" s="17"/>
      <c r="H69" s="17"/>
      <c r="I69" s="17"/>
      <c r="J69" s="18">
        <f>0.13*G65*42</f>
        <v>12.82827</v>
      </c>
      <c r="K69" s="17"/>
    </row>
    <row r="70" spans="1:16" x14ac:dyDescent="0.25">
      <c r="A70" s="16"/>
      <c r="B70" s="32"/>
      <c r="C70" s="17"/>
      <c r="D70" s="17"/>
      <c r="E70" s="17"/>
      <c r="F70" s="17"/>
      <c r="G70" s="17"/>
      <c r="H70" s="17"/>
      <c r="I70" s="17"/>
      <c r="J70" s="18"/>
      <c r="K70" s="17"/>
    </row>
    <row r="71" spans="1:16" ht="15.75" x14ac:dyDescent="0.25">
      <c r="A71" s="16">
        <v>6</v>
      </c>
      <c r="B71" s="43" t="s">
        <v>54</v>
      </c>
      <c r="C71" s="17"/>
      <c r="D71" s="17"/>
      <c r="E71" s="17"/>
      <c r="F71" s="17"/>
      <c r="G71" s="17"/>
      <c r="H71" s="17"/>
      <c r="I71" s="17"/>
      <c r="J71" s="17"/>
      <c r="K71" s="17"/>
    </row>
    <row r="72" spans="1:16" x14ac:dyDescent="0.25">
      <c r="A72" s="16"/>
      <c r="B72" s="32" t="s">
        <v>45</v>
      </c>
      <c r="C72" s="17">
        <v>2</v>
      </c>
      <c r="D72" s="33">
        <v>3</v>
      </c>
      <c r="E72" s="33">
        <v>0.45</v>
      </c>
      <c r="F72" s="33">
        <v>0.8</v>
      </c>
      <c r="G72" s="33">
        <f>PRODUCT(C72:F72)</f>
        <v>2.16</v>
      </c>
      <c r="H72" s="17"/>
      <c r="I72" s="17"/>
      <c r="J72" s="17"/>
      <c r="K72" s="17"/>
      <c r="M72" s="33">
        <f>7</f>
        <v>7</v>
      </c>
      <c r="N72" s="33">
        <f>2</f>
        <v>2</v>
      </c>
      <c r="O72" s="33"/>
      <c r="P72" s="33">
        <f>PI()*M72*SQRT(M72^2+N72^2)</f>
        <v>160.09797821843054</v>
      </c>
    </row>
    <row r="73" spans="1:16" x14ac:dyDescent="0.25">
      <c r="A73" s="16"/>
      <c r="B73" s="32"/>
      <c r="C73" s="17">
        <v>2</v>
      </c>
      <c r="D73" s="33">
        <f>9/3.281</f>
        <v>2.7430661383724475</v>
      </c>
      <c r="E73" s="33">
        <v>0.45</v>
      </c>
      <c r="F73" s="33">
        <v>0.8</v>
      </c>
      <c r="G73" s="33">
        <f t="shared" ref="G73" si="9">PRODUCT(C73:F73)</f>
        <v>1.9750076196281623</v>
      </c>
      <c r="H73" s="17"/>
      <c r="I73" s="17"/>
      <c r="J73" s="17"/>
      <c r="K73" s="17"/>
      <c r="M73" s="44"/>
      <c r="N73" s="44"/>
      <c r="O73" s="44"/>
      <c r="P73" s="44"/>
    </row>
    <row r="74" spans="1:16" ht="15" customHeight="1" x14ac:dyDescent="0.25">
      <c r="A74" s="2"/>
      <c r="B74" s="34" t="s">
        <v>16</v>
      </c>
      <c r="C74" s="3"/>
      <c r="D74" s="4"/>
      <c r="E74" s="5"/>
      <c r="F74" s="5"/>
      <c r="G74" s="6">
        <f>SUM(G72:G73)</f>
        <v>4.135007619628162</v>
      </c>
      <c r="H74" s="7" t="s">
        <v>46</v>
      </c>
      <c r="I74" s="6">
        <v>6337.3</v>
      </c>
      <c r="J74" s="18">
        <f>G74*I74</f>
        <v>26204.78378786955</v>
      </c>
      <c r="K74" s="5"/>
    </row>
    <row r="75" spans="1:16" hidden="1" x14ac:dyDescent="0.25">
      <c r="A75" s="16"/>
      <c r="B75" s="32" t="s">
        <v>51</v>
      </c>
      <c r="C75" s="17"/>
      <c r="D75" s="17"/>
      <c r="E75" s="17"/>
      <c r="F75" s="17"/>
      <c r="G75" s="17"/>
      <c r="H75" s="17"/>
      <c r="I75" s="17"/>
      <c r="J75" s="18">
        <f>0.13*G74*2577.63</f>
        <v>1385.6075597756783</v>
      </c>
      <c r="K75" s="17"/>
    </row>
    <row r="76" spans="1:16" hidden="1" x14ac:dyDescent="0.25">
      <c r="A76" s="16"/>
      <c r="B76" s="32" t="s">
        <v>52</v>
      </c>
      <c r="C76" s="17"/>
      <c r="D76" s="17"/>
      <c r="E76" s="17"/>
      <c r="F76" s="17"/>
      <c r="G76" s="17"/>
      <c r="H76" s="17"/>
      <c r="I76" s="17"/>
      <c r="J76" s="18">
        <f>0.13*G74*257.76</f>
        <v>138.55914332459616</v>
      </c>
      <c r="K76" s="17"/>
    </row>
    <row r="77" spans="1:16" hidden="1" x14ac:dyDescent="0.25">
      <c r="A77" s="16"/>
      <c r="B77" s="32" t="s">
        <v>29</v>
      </c>
      <c r="C77" s="17"/>
      <c r="D77" s="17"/>
      <c r="E77" s="17"/>
      <c r="F77" s="17"/>
      <c r="G77" s="17"/>
      <c r="H77" s="17"/>
      <c r="I77" s="17"/>
      <c r="J77" s="18">
        <f>0.13*G74*133.56</f>
        <v>71.795310298079855</v>
      </c>
      <c r="K77" s="17"/>
    </row>
    <row r="78" spans="1:16" hidden="1" x14ac:dyDescent="0.25">
      <c r="A78" s="16"/>
      <c r="B78" s="32" t="s">
        <v>30</v>
      </c>
      <c r="C78" s="17"/>
      <c r="D78" s="17"/>
      <c r="E78" s="17"/>
      <c r="F78" s="17"/>
      <c r="G78" s="17"/>
      <c r="H78" s="17"/>
      <c r="I78" s="17"/>
      <c r="J78" s="18">
        <f>0.13*G74*19.6</f>
        <v>10.535999414812558</v>
      </c>
      <c r="K78" s="17"/>
    </row>
    <row r="79" spans="1:16" x14ac:dyDescent="0.25">
      <c r="A79" s="16"/>
      <c r="B79" s="32"/>
      <c r="C79" s="17"/>
      <c r="D79" s="17"/>
      <c r="E79" s="17"/>
      <c r="F79" s="17"/>
      <c r="G79" s="17"/>
      <c r="H79" s="17"/>
      <c r="I79" s="17"/>
      <c r="J79" s="18"/>
      <c r="K79" s="17"/>
    </row>
    <row r="80" spans="1:16" ht="15" customHeight="1" x14ac:dyDescent="0.25">
      <c r="A80" s="2">
        <v>7</v>
      </c>
      <c r="B80" s="1" t="s">
        <v>17</v>
      </c>
      <c r="C80" s="3">
        <v>1</v>
      </c>
      <c r="D80" s="4"/>
      <c r="E80" s="5"/>
      <c r="F80" s="5"/>
      <c r="G80" s="7">
        <f t="shared" ref="G80" si="10">PRODUCT(C80:F80)</f>
        <v>1</v>
      </c>
      <c r="H80" s="7" t="s">
        <v>18</v>
      </c>
      <c r="I80" s="6">
        <v>1000</v>
      </c>
      <c r="J80" s="7">
        <f>G80*I80</f>
        <v>1000</v>
      </c>
      <c r="K80" s="5"/>
    </row>
    <row r="81" spans="1:19" x14ac:dyDescent="0.25">
      <c r="A81" s="2"/>
      <c r="B81" s="8"/>
      <c r="C81" s="3"/>
      <c r="D81" s="4"/>
      <c r="E81" s="5"/>
      <c r="F81" s="5"/>
      <c r="G81" s="6"/>
      <c r="H81" s="7"/>
      <c r="I81" s="6"/>
      <c r="J81" s="18"/>
      <c r="K81" s="5"/>
    </row>
    <row r="82" spans="1:19" x14ac:dyDescent="0.25">
      <c r="A82" s="21"/>
      <c r="B82" s="22" t="s">
        <v>20</v>
      </c>
      <c r="C82" s="23"/>
      <c r="D82" s="24"/>
      <c r="E82" s="24"/>
      <c r="F82" s="24"/>
      <c r="G82" s="18"/>
      <c r="H82" s="18"/>
      <c r="I82" s="18"/>
      <c r="J82" s="18">
        <f>SUM(J9:J80)</f>
        <v>240974.86130219698</v>
      </c>
      <c r="K82" s="25"/>
    </row>
    <row r="83" spans="1:19" x14ac:dyDescent="0.25">
      <c r="M83" s="20"/>
      <c r="N83" s="20"/>
      <c r="O83" s="20"/>
      <c r="P83" s="20"/>
      <c r="Q83" s="20"/>
      <c r="R83" s="20"/>
      <c r="S83" s="20"/>
    </row>
    <row r="84" spans="1:19" s="20" customFormat="1" hidden="1" x14ac:dyDescent="0.25">
      <c r="A84" s="26"/>
      <c r="B84" s="27" t="s">
        <v>64</v>
      </c>
      <c r="C84" s="65">
        <f>J82</f>
        <v>240974.86130219698</v>
      </c>
      <c r="D84" s="66"/>
      <c r="E84" s="9">
        <v>100</v>
      </c>
      <c r="F84" s="26"/>
      <c r="G84" s="28"/>
      <c r="H84" s="26"/>
      <c r="I84" s="29"/>
      <c r="J84" s="30"/>
      <c r="K84" s="31"/>
      <c r="M84" s="19"/>
      <c r="N84" s="19"/>
      <c r="O84" s="19"/>
      <c r="P84" s="19"/>
      <c r="Q84" s="19"/>
      <c r="R84" s="19"/>
      <c r="S84" s="19"/>
    </row>
    <row r="85" spans="1:19" hidden="1" x14ac:dyDescent="0.25">
      <c r="B85" s="27" t="s">
        <v>21</v>
      </c>
      <c r="C85" s="68">
        <v>200000</v>
      </c>
      <c r="D85" s="69"/>
      <c r="E85" s="9"/>
    </row>
    <row r="86" spans="1:19" hidden="1" x14ac:dyDescent="0.25">
      <c r="B86" s="27" t="s">
        <v>22</v>
      </c>
      <c r="C86" s="68">
        <f>C85-C88-C89</f>
        <v>190000</v>
      </c>
      <c r="D86" s="69"/>
      <c r="E86" s="9">
        <f>C86/C84*100</f>
        <v>78.846398737720847</v>
      </c>
    </row>
    <row r="87" spans="1:19" hidden="1" x14ac:dyDescent="0.25">
      <c r="B87" s="27" t="s">
        <v>31</v>
      </c>
      <c r="C87" s="70">
        <f>C84-C86</f>
        <v>50974.86130219698</v>
      </c>
      <c r="D87" s="70"/>
      <c r="E87" s="9">
        <f>100-E86</f>
        <v>21.153601262279153</v>
      </c>
    </row>
    <row r="88" spans="1:19" hidden="1" x14ac:dyDescent="0.25">
      <c r="B88" s="27" t="s">
        <v>23</v>
      </c>
      <c r="C88" s="65">
        <f>C85*0.03</f>
        <v>6000</v>
      </c>
      <c r="D88" s="66"/>
      <c r="E88" s="9">
        <v>3</v>
      </c>
    </row>
    <row r="89" spans="1:19" hidden="1" x14ac:dyDescent="0.25">
      <c r="B89" s="27" t="s">
        <v>24</v>
      </c>
      <c r="C89" s="65">
        <f>C85*0.02</f>
        <v>4000</v>
      </c>
      <c r="D89" s="66"/>
      <c r="E89" s="9">
        <v>2</v>
      </c>
    </row>
  </sheetData>
  <mergeCells count="13">
    <mergeCell ref="A6:F6"/>
    <mergeCell ref="A1:K1"/>
    <mergeCell ref="A2:K2"/>
    <mergeCell ref="A3:K3"/>
    <mergeCell ref="A4:K4"/>
    <mergeCell ref="A5:K5"/>
    <mergeCell ref="C88:D88"/>
    <mergeCell ref="C89:D89"/>
    <mergeCell ref="A7:F7"/>
    <mergeCell ref="C84:D84"/>
    <mergeCell ref="C85:D85"/>
    <mergeCell ref="C86:D86"/>
    <mergeCell ref="C87:D87"/>
  </mergeCells>
  <pageMargins left="0.70866141732283505" right="0.70866141732283505" top="0.74803149606299202" bottom="0.74803149606299202" header="0.31496062992126" footer="0.31496062992126"/>
  <pageSetup paperSize="9" scale="9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estimate</vt:lpstr>
      <vt:lpstr>V</vt:lpstr>
      <vt:lpstr>WCR</vt:lpstr>
      <vt:lpstr>M</vt:lpstr>
      <vt:lpstr>estimate!Print_Area</vt:lpstr>
      <vt:lpstr>M!Print_Area</vt:lpstr>
      <vt:lpstr>V!Print_Area</vt:lpstr>
      <vt:lpstr>WCR!Print_Area</vt:lpstr>
      <vt:lpstr>estimate!Print_Titles</vt:lpstr>
      <vt:lpstr>M!Print_Titles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2026-02-22T05:15:00Z</dcterms:modified>
</cp:coreProperties>
</file>