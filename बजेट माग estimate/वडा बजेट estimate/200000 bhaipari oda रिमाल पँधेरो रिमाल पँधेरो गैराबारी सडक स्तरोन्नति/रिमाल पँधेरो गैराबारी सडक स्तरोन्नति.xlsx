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24226"/>
  <xr:revisionPtr revIDLastSave="0" documentId="13_ncr:1_{56726CE9-BC65-4F43-ACB6-74328A34C939}"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63">[3]Abstract!$B$35</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06">[3]Abstract!$B$265</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estimate!$A$1:$K$32</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2" l="1"/>
  <c r="D15" i="12"/>
  <c r="N10" i="12"/>
  <c r="M10" i="12"/>
  <c r="G10" i="12"/>
  <c r="G15" i="12" l="1"/>
  <c r="G16" i="12" s="1"/>
  <c r="P10" i="12"/>
  <c r="G11" i="12"/>
  <c r="J17" i="12" l="1"/>
  <c r="J19" i="12"/>
  <c r="J18" i="12"/>
  <c r="J20" i="12"/>
  <c r="J21" i="12"/>
  <c r="J16" i="12"/>
  <c r="J12" i="12"/>
  <c r="J11" i="12"/>
  <c r="C31" i="12" l="1"/>
  <c r="C32" i="12" l="1"/>
  <c r="C29" i="12" s="1"/>
  <c r="G23" i="12"/>
  <c r="J23" i="12" s="1"/>
  <c r="J25" i="12" l="1"/>
  <c r="C27" i="12" s="1"/>
  <c r="C30" i="12" s="1"/>
  <c r="E29" i="12" l="1"/>
  <c r="E30" i="12" s="1"/>
</calcChain>
</file>

<file path=xl/sharedStrings.xml><?xml version="1.0" encoding="utf-8"?>
<sst xmlns="http://schemas.openxmlformats.org/spreadsheetml/2006/main" count="43" uniqueCount="42">
  <si>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</si>
  <si>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</si>
  <si>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</si>
  <si>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</si>
  <si>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</si>
  <si>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</si>
  <si>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</si>
  <si>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</si>
  <si>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</si>
  <si>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</si>
  <si>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</si>
  <si>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</si>
  <si>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</si>
  <si>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</si>
  <si>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</si>
  <si>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</si>
  <si>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</si>
  <si>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</si>
  <si>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</si>
  <si>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</si>
  <si>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</si>
  <si>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</si>
  <si>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Budget allocated</t>
  </si>
  <si>
    <t>Municipal payment</t>
  </si>
  <si>
    <t xml:space="preserve">Contingencies </t>
  </si>
  <si>
    <t xml:space="preserve">Maintanince </t>
  </si>
  <si>
    <t>F.Y.: 2082/2083</t>
  </si>
  <si>
    <t>User contribution</t>
  </si>
  <si>
    <t>Location:- Shankharapur Municipality 1</t>
  </si>
  <si>
    <r>
      <t xml:space="preserve">Project:- </t>
    </r>
    <r>
      <rPr>
        <sz val="12"/>
        <rFont val="Preeti"/>
      </rPr>
      <t>l/dfn kFw]/f] u}/faf/L ;8s :t/f]Gglt</t>
    </r>
  </si>
  <si>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</si>
  <si>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-for road levelling</t>
  </si>
  <si>
    <t>-13% VAT</t>
  </si>
  <si>
    <t>-for road</t>
  </si>
  <si>
    <t>cum</t>
  </si>
  <si>
    <t>-13% VAT for sub-base material S1 type or S2 type</t>
  </si>
  <si>
    <t>-13% VAT for water</t>
  </si>
  <si>
    <t>-13% VAT for mortar grader</t>
  </si>
  <si>
    <t>-13% VAT for vibratory road roller</t>
  </si>
  <si>
    <t>-13% VAT for tractor/loader</t>
  </si>
  <si>
    <t>Providing and laying  local/washing sub base without compaction  on prepared surface, mixing , complete as per Drawing and Technical Specifications., By Mechanical means</t>
  </si>
  <si>
    <t>Date:2083/01/14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</si>
</sst>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
      <sz val="12"/>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2">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1" fontId="4" fillId="0" borderId="2" xfId="0" applyNumberFormat="1" applyFont="1" applyBorder="1"/>
    <xf numFmtId="0" fontId="4" fillId="0" borderId="2" xfId="0" quotePrefix="1" applyFont="1" applyBorder="1" applyAlignment="1">
      <alignment horizontal="right" wrapText="1"/>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5">
          <cell r="B35" t="str">
            <v>Earthwork Excavation in Cutting., Roadway Excavation in ordinary rock  by Manual Means ., Roadway Excavation  in ordinary rock as per Drawing and Technical specification, including all lift and lead  as per Drawing and instruction of the Engineer.</v>
          </cell>
        </row>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265">
          <cell r="B265" t="str">
            <v>Laying and fixing of Geo-Textile all complete as per specification., Providing  and laying of a geotextile filter between pitching and embankment slopes as per Drawing and Technical Specifications.</v>
          </cell>
        </row>
        <row r="300">
          <cell r="B300" t="str">
            <v>Random Rubble Masonry, Providing and laying of Stone Masonry Work in Cement Mortar 1:6 in Foundation complete as per Drawing and Technical Specifications., Using Concrete Mixer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2"/>
  <sheetViews>
    <sheetView tabSelected="1" zoomScale="90" zoomScaleNormal="90" zoomScaleSheetLayoutView="95" workbookViewId="0">
      <selection activeCell="E9" sqref="E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46" t="s">
        <v>0</v>
      </c>
      <c r="B1" s="46"/>
      <c r="C1" s="46"/>
      <c r="D1" s="46"/>
      <c r="E1" s="46"/>
      <c r="F1" s="46"/>
      <c r="G1" s="46"/>
      <c r="H1" s="46"/>
      <c r="I1" s="46"/>
      <c r="J1" s="46"/>
      <c r="K1" s="46"/>
    </row>
    <row r="2" spans="1:16" ht="22.5" x14ac:dyDescent="0.25">
      <c r="A2" s="47" t="s">
        <v>1</v>
      </c>
      <c r="B2" s="47"/>
      <c r="C2" s="47"/>
      <c r="D2" s="47"/>
      <c r="E2" s="47"/>
      <c r="F2" s="47"/>
      <c r="G2" s="47"/>
      <c r="H2" s="47"/>
      <c r="I2" s="47"/>
      <c r="J2" s="47"/>
      <c r="K2" s="47"/>
    </row>
    <row r="3" spans="1:16" x14ac:dyDescent="0.25">
      <c r="A3" s="48" t="s">
        <v>2</v>
      </c>
      <c r="B3" s="48"/>
      <c r="C3" s="48"/>
      <c r="D3" s="48"/>
      <c r="E3" s="48"/>
      <c r="F3" s="48"/>
      <c r="G3" s="48"/>
      <c r="H3" s="48"/>
      <c r="I3" s="48"/>
      <c r="J3" s="48"/>
      <c r="K3" s="48"/>
    </row>
    <row r="4" spans="1:16" x14ac:dyDescent="0.25">
      <c r="A4" s="48" t="s">
        <v>3</v>
      </c>
      <c r="B4" s="48"/>
      <c r="C4" s="48"/>
      <c r="D4" s="48"/>
      <c r="E4" s="48"/>
      <c r="F4" s="48"/>
      <c r="G4" s="48"/>
      <c r="H4" s="48"/>
      <c r="I4" s="48"/>
      <c r="J4" s="48"/>
      <c r="K4" s="48"/>
    </row>
    <row r="5" spans="1:16" ht="18.75" x14ac:dyDescent="0.3">
      <c r="A5" s="49" t="s">
        <v>4</v>
      </c>
      <c r="B5" s="49"/>
      <c r="C5" s="49"/>
      <c r="D5" s="49"/>
      <c r="E5" s="49"/>
      <c r="F5" s="49"/>
      <c r="G5" s="49"/>
      <c r="H5" s="49"/>
      <c r="I5" s="49"/>
      <c r="J5" s="49"/>
      <c r="K5" s="49"/>
    </row>
    <row r="6" spans="1:16" ht="15.75" x14ac:dyDescent="0.25">
      <c r="A6" s="44" t="s">
        <v>29</v>
      </c>
      <c r="B6" s="44"/>
      <c r="C6" s="44"/>
      <c r="D6" s="44"/>
      <c r="E6" s="44"/>
      <c r="F6" s="44"/>
      <c r="G6" s="10"/>
      <c r="H6" s="45" t="s">
        <v>26</v>
      </c>
      <c r="I6" s="45"/>
      <c r="J6" s="45"/>
      <c r="K6" s="45"/>
    </row>
    <row r="7" spans="1:16" ht="15.75" x14ac:dyDescent="0.25">
      <c r="A7" s="39" t="s">
        <v>28</v>
      </c>
      <c r="B7" s="39"/>
      <c r="C7" s="39"/>
      <c r="D7" s="39"/>
      <c r="E7" s="39"/>
      <c r="F7" s="39"/>
      <c r="G7" s="11"/>
      <c r="H7" s="40" t="s">
        <v>41</v>
      </c>
      <c r="I7" s="40"/>
      <c r="J7" s="40"/>
      <c r="K7" s="40"/>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73.25" x14ac:dyDescent="0.25">
      <c r="A9" s="16">
        <v>1</v>
      </c>
      <c r="B9" s="35" t="s">
        <v>30</v>
      </c>
      <c r="C9" s="17"/>
      <c r="D9" s="17"/>
      <c r="E9" s="17"/>
      <c r="F9" s="17"/>
      <c r="G9" s="17"/>
      <c r="H9" s="17"/>
      <c r="I9" s="17"/>
      <c r="J9" s="17"/>
      <c r="K9" s="17"/>
    </row>
    <row r="10" spans="1:16" x14ac:dyDescent="0.25">
      <c r="A10" s="16"/>
      <c r="B10" s="32" t="s">
        <v>31</v>
      </c>
      <c r="C10" s="50">
        <v>0.5</v>
      </c>
      <c r="D10" s="33">
        <v>200</v>
      </c>
      <c r="E10" s="33">
        <v>4</v>
      </c>
      <c r="F10" s="33">
        <v>0.15</v>
      </c>
      <c r="G10" s="33">
        <f>PRODUCT(C10:F10)</f>
        <v>60</v>
      </c>
      <c r="H10" s="17"/>
      <c r="I10" s="17"/>
      <c r="J10" s="17"/>
      <c r="K10" s="17"/>
      <c r="M10" s="33">
        <f>7</f>
        <v>7</v>
      </c>
      <c r="N10" s="33">
        <f>2</f>
        <v>2</v>
      </c>
      <c r="O10" s="33"/>
      <c r="P10" s="33">
        <f>PI()*M10*SQRT(M10^2+N10^2)</f>
        <v>160.09797821843054</v>
      </c>
    </row>
    <row r="11" spans="1:16" ht="15" customHeight="1" x14ac:dyDescent="0.25">
      <c r="A11" s="2"/>
      <c r="B11" s="34" t="s">
        <v>16</v>
      </c>
      <c r="C11" s="3"/>
      <c r="D11" s="4"/>
      <c r="E11" s="5"/>
      <c r="F11" s="5"/>
      <c r="G11" s="6">
        <f>SUM(G10:G10)</f>
        <v>60</v>
      </c>
      <c r="H11" s="7" t="s">
        <v>17</v>
      </c>
      <c r="I11" s="6">
        <v>62.95</v>
      </c>
      <c r="J11" s="18">
        <f>G11*I11</f>
        <v>3777</v>
      </c>
      <c r="K11" s="5"/>
    </row>
    <row r="12" spans="1:16" x14ac:dyDescent="0.25">
      <c r="A12" s="16"/>
      <c r="B12" s="32" t="s">
        <v>32</v>
      </c>
      <c r="C12" s="17"/>
      <c r="D12" s="17"/>
      <c r="E12" s="17"/>
      <c r="F12" s="17"/>
      <c r="G12" s="17"/>
      <c r="H12" s="17"/>
      <c r="I12" s="17"/>
      <c r="J12" s="18">
        <f>0.13*G11*18612/360</f>
        <v>403.26</v>
      </c>
      <c r="K12" s="17"/>
    </row>
    <row r="13" spans="1:16" x14ac:dyDescent="0.25">
      <c r="A13" s="16"/>
      <c r="B13" s="17"/>
      <c r="C13" s="17"/>
      <c r="D13" s="17"/>
      <c r="E13" s="17"/>
      <c r="F13" s="17"/>
      <c r="G13" s="17"/>
      <c r="H13" s="17"/>
      <c r="I13" s="17"/>
      <c r="J13" s="17"/>
      <c r="K13" s="17"/>
    </row>
    <row r="14" spans="1:16" ht="110.25" x14ac:dyDescent="0.25">
      <c r="A14" s="16">
        <v>2</v>
      </c>
      <c r="B14" s="35" t="s">
        <v>40</v>
      </c>
      <c r="C14" s="17"/>
      <c r="D14" s="17"/>
      <c r="E14" s="17"/>
      <c r="F14" s="17"/>
      <c r="G14" s="17"/>
      <c r="H14" s="17"/>
      <c r="I14" s="17"/>
      <c r="J14" s="17"/>
      <c r="K14" s="17"/>
    </row>
    <row r="15" spans="1:16" x14ac:dyDescent="0.25">
      <c r="A15" s="16"/>
      <c r="B15" s="32" t="s">
        <v>33</v>
      </c>
      <c r="C15" s="50">
        <v>1</v>
      </c>
      <c r="D15" s="33">
        <f>D10</f>
        <v>200</v>
      </c>
      <c r="E15" s="33">
        <f>4</f>
        <v>4</v>
      </c>
      <c r="F15" s="33">
        <v>0.15</v>
      </c>
      <c r="G15" s="33">
        <f>PRODUCT(C15:F15)</f>
        <v>120</v>
      </c>
      <c r="H15" s="17"/>
      <c r="I15" s="17"/>
      <c r="J15" s="17"/>
      <c r="K15" s="17"/>
      <c r="M15" s="36"/>
      <c r="N15" s="36"/>
      <c r="O15" s="36"/>
      <c r="P15" s="36"/>
    </row>
    <row r="16" spans="1:16" ht="15" customHeight="1" x14ac:dyDescent="0.25">
      <c r="A16" s="2"/>
      <c r="B16" s="34" t="s">
        <v>16</v>
      </c>
      <c r="C16" s="3"/>
      <c r="D16" s="4"/>
      <c r="E16" s="5"/>
      <c r="F16" s="5"/>
      <c r="G16" s="6">
        <f>SUM(G15:G15)</f>
        <v>120</v>
      </c>
      <c r="H16" s="7" t="s">
        <v>34</v>
      </c>
      <c r="I16" s="6">
        <v>1691.95</v>
      </c>
      <c r="J16" s="18">
        <f>G16*I16</f>
        <v>203034</v>
      </c>
      <c r="K16" s="5"/>
    </row>
    <row r="17" spans="1:17" ht="30" x14ac:dyDescent="0.25">
      <c r="A17" s="16"/>
      <c r="B17" s="51" t="s">
        <v>35</v>
      </c>
      <c r="C17" s="17"/>
      <c r="D17" s="17"/>
      <c r="E17" s="17"/>
      <c r="F17" s="17"/>
      <c r="G17" s="17"/>
      <c r="H17" s="17"/>
      <c r="I17" s="17"/>
      <c r="J17" s="18">
        <f>0.13*G16*440971.78/300</f>
        <v>22930.532560000003</v>
      </c>
      <c r="K17" s="17"/>
    </row>
    <row r="18" spans="1:17" x14ac:dyDescent="0.25">
      <c r="A18" s="16"/>
      <c r="B18" s="32" t="s">
        <v>36</v>
      </c>
      <c r="C18" s="17"/>
      <c r="D18" s="17"/>
      <c r="E18" s="17"/>
      <c r="F18" s="17"/>
      <c r="G18" s="17"/>
      <c r="H18" s="17"/>
      <c r="I18" s="17"/>
      <c r="J18" s="18">
        <f>0.13*G16*5580/300</f>
        <v>290.16000000000003</v>
      </c>
      <c r="K18" s="17"/>
    </row>
    <row r="19" spans="1:17" x14ac:dyDescent="0.25">
      <c r="A19" s="16"/>
      <c r="B19" s="32" t="s">
        <v>37</v>
      </c>
      <c r="C19" s="17"/>
      <c r="D19" s="17"/>
      <c r="E19" s="17"/>
      <c r="F19" s="17"/>
      <c r="G19" s="17"/>
      <c r="H19" s="17"/>
      <c r="I19" s="17"/>
      <c r="J19" s="18">
        <f>0.13*G16*17490/300</f>
        <v>909.48</v>
      </c>
      <c r="K19" s="17"/>
    </row>
    <row r="20" spans="1:17" x14ac:dyDescent="0.25">
      <c r="A20" s="16"/>
      <c r="B20" s="32" t="s">
        <v>38</v>
      </c>
      <c r="C20" s="17"/>
      <c r="D20" s="17"/>
      <c r="E20" s="17"/>
      <c r="F20" s="17"/>
      <c r="G20" s="17"/>
      <c r="H20" s="17"/>
      <c r="I20" s="17"/>
      <c r="J20" s="18">
        <f>0.13*G16*19416/300</f>
        <v>1009.6320000000001</v>
      </c>
      <c r="K20" s="17"/>
    </row>
    <row r="21" spans="1:17" x14ac:dyDescent="0.25">
      <c r="A21" s="16"/>
      <c r="B21" s="32" t="s">
        <v>39</v>
      </c>
      <c r="C21" s="17"/>
      <c r="D21" s="17"/>
      <c r="E21" s="17"/>
      <c r="F21" s="17"/>
      <c r="G21" s="17"/>
      <c r="H21" s="17"/>
      <c r="I21" s="17"/>
      <c r="J21" s="18">
        <f>0.13*G16*10416/300</f>
        <v>541.63200000000006</v>
      </c>
      <c r="K21" s="17"/>
    </row>
    <row r="22" spans="1:17" x14ac:dyDescent="0.25">
      <c r="A22" s="16"/>
      <c r="B22" s="17"/>
      <c r="C22" s="17"/>
      <c r="D22" s="17"/>
      <c r="E22" s="17"/>
      <c r="F22" s="17"/>
      <c r="G22" s="17"/>
      <c r="H22" s="17"/>
      <c r="I22" s="17"/>
      <c r="J22" s="17"/>
      <c r="K22" s="17"/>
    </row>
    <row r="23" spans="1:17" ht="15" customHeight="1" x14ac:dyDescent="0.25">
      <c r="A23" s="2">
        <v>3</v>
      </c>
      <c r="B23" s="1" t="s">
        <v>18</v>
      </c>
      <c r="C23" s="3">
        <v>1</v>
      </c>
      <c r="D23" s="4"/>
      <c r="E23" s="5"/>
      <c r="F23" s="5"/>
      <c r="G23" s="7">
        <f t="shared" ref="G23" si="0">PRODUCT(C23:F23)</f>
        <v>1</v>
      </c>
      <c r="H23" s="7" t="s">
        <v>19</v>
      </c>
      <c r="I23" s="6">
        <v>500</v>
      </c>
      <c r="J23" s="7">
        <f>G23*I23</f>
        <v>500</v>
      </c>
      <c r="K23" s="5"/>
    </row>
    <row r="24" spans="1:17" x14ac:dyDescent="0.25">
      <c r="A24" s="2"/>
      <c r="B24" s="8"/>
      <c r="C24" s="3"/>
      <c r="D24" s="4"/>
      <c r="E24" s="5"/>
      <c r="F24" s="5"/>
      <c r="G24" s="6"/>
      <c r="H24" s="7"/>
      <c r="I24" s="6"/>
      <c r="J24" s="18"/>
      <c r="K24" s="5"/>
    </row>
    <row r="25" spans="1:17" x14ac:dyDescent="0.25">
      <c r="A25" s="21"/>
      <c r="B25" s="22" t="s">
        <v>21</v>
      </c>
      <c r="C25" s="23"/>
      <c r="D25" s="24"/>
      <c r="E25" s="24"/>
      <c r="F25" s="24"/>
      <c r="G25" s="18"/>
      <c r="H25" s="18"/>
      <c r="I25" s="18"/>
      <c r="J25" s="18">
        <f>SUM(J9:J23)</f>
        <v>233395.69656000004</v>
      </c>
      <c r="K25" s="25"/>
    </row>
    <row r="26" spans="1:17" x14ac:dyDescent="0.25">
      <c r="M26" s="20"/>
      <c r="N26" s="20"/>
      <c r="O26" s="20"/>
      <c r="P26" s="20"/>
      <c r="Q26" s="20"/>
    </row>
    <row r="27" spans="1:17" s="20" customFormat="1" x14ac:dyDescent="0.25">
      <c r="A27" s="26"/>
      <c r="B27" s="27" t="s">
        <v>20</v>
      </c>
      <c r="C27" s="37">
        <f>J25</f>
        <v>233395.69656000004</v>
      </c>
      <c r="D27" s="38"/>
      <c r="E27" s="9">
        <v>100</v>
      </c>
      <c r="F27" s="26"/>
      <c r="G27" s="28"/>
      <c r="H27" s="26"/>
      <c r="I27" s="29"/>
      <c r="J27" s="30"/>
      <c r="K27" s="31"/>
      <c r="M27" s="19"/>
      <c r="N27" s="19"/>
      <c r="O27" s="19"/>
      <c r="P27" s="19"/>
      <c r="Q27" s="19"/>
    </row>
    <row r="28" spans="1:17" x14ac:dyDescent="0.25">
      <c r="B28" s="27" t="s">
        <v>22</v>
      </c>
      <c r="C28" s="41">
        <v>200000</v>
      </c>
      <c r="D28" s="42"/>
      <c r="E28" s="9"/>
    </row>
    <row r="29" spans="1:17" x14ac:dyDescent="0.25">
      <c r="B29" s="27" t="s">
        <v>23</v>
      </c>
      <c r="C29" s="41">
        <f>C28-C31-C32</f>
        <v>190000</v>
      </c>
      <c r="D29" s="42"/>
      <c r="E29" s="9">
        <f>C29/C27*100</f>
        <v>81.406813750379442</v>
      </c>
    </row>
    <row r="30" spans="1:17" x14ac:dyDescent="0.25">
      <c r="B30" s="27" t="s">
        <v>27</v>
      </c>
      <c r="C30" s="43">
        <f>C27-C29</f>
        <v>43395.69656000004</v>
      </c>
      <c r="D30" s="43"/>
      <c r="E30" s="9">
        <f>100-E29</f>
        <v>18.593186249620558</v>
      </c>
    </row>
    <row r="31" spans="1:17" x14ac:dyDescent="0.25">
      <c r="B31" s="27" t="s">
        <v>24</v>
      </c>
      <c r="C31" s="37">
        <f>C28*0.03</f>
        <v>6000</v>
      </c>
      <c r="D31" s="38"/>
      <c r="E31" s="9">
        <v>3</v>
      </c>
    </row>
    <row r="32" spans="1:17" x14ac:dyDescent="0.25">
      <c r="B32" s="27" t="s">
        <v>25</v>
      </c>
      <c r="C32" s="37">
        <f>C28*0.02</f>
        <v>4000</v>
      </c>
      <c r="D32" s="38"/>
      <c r="E32" s="9">
        <v>2</v>
      </c>
    </row>
  </sheetData>
  <mergeCells count="15">
    <mergeCell ref="A6:F6"/>
    <mergeCell ref="H6:K6"/>
    <mergeCell ref="A1:K1"/>
    <mergeCell ref="A2:K2"/>
    <mergeCell ref="A3:K3"/>
    <mergeCell ref="A4:K4"/>
    <mergeCell ref="A5:K5"/>
    <mergeCell ref="C31:D31"/>
    <mergeCell ref="C32:D32"/>
    <mergeCell ref="A7:F7"/>
    <mergeCell ref="H7:K7"/>
    <mergeCell ref="C27:D27"/>
    <mergeCell ref="C28:D28"/>
    <mergeCell ref="C29:D29"/>
    <mergeCell ref="C30:D30"/>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2026-04-27T07:34:31Z</dcterms:modified>
</cp:coreProperties>
</file>