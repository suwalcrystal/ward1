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24226"/>
  <xr:revisionPtr revIDLastSave="0" documentId="13_ncr:1_{CB4E67BE-31B6-4902-AFA7-369DBCC305F0}" xr6:coauthVersionLast="47" xr6:coauthVersionMax="47" xr10:uidLastSave="{00000000-0000-0000-0000-000000000000}"/>
  <bookViews>
    <workbookView xWindow="-120" yWindow="-120" windowWidth="20730" windowHeight="11040" activeTab="3" xr2:uid="{00000000-000D-0000-FFFF-FFFF00000000}"/>
  </bookViews>
  <sheets>
    <sheet name="estimate" sheetId="12" r:id="rId1"/>
    <sheet name="V" sheetId="13" r:id="rId2"/>
    <sheet name="WCR" sheetId="14" r:id="rId3"/>
    <sheet name="M" sheetId="15" r:id="rId4"/>
  </sheets>
  <externalReferences>
    <externalReference r:id="rId5"/>
    <externalReference r:id="rId6"/>
    <externalReference r:id="rId7"/>
    <externalReference r:id="rId8"/>
    <externalReference r:id="rId9"/>
    <externalReference r:id="rId10"/>
    <externalReference r:id="rId11"/>
  </externalReferences>
  <definedNames>
    <definedName name="description_103">[1]Abstract!$B$16</definedName>
    <definedName name="description_124" localSheetId="0">#REF!</definedName>
    <definedName name="description_124" localSheetId="3">#REF!</definedName>
    <definedName name="description_124" localSheetId="1">#REF!</definedName>
    <definedName name="description_124" localSheetId="2">#REF!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63">[3]Abstract!$B$35</definedName>
    <definedName name="description_276">[3]Abstract!$B$40</definedName>
    <definedName name="description_3">[1]Abstract!$B$169</definedName>
    <definedName name="description_310" localSheetId="0">#REF!</definedName>
    <definedName name="description_310" localSheetId="3">#REF!</definedName>
    <definedName name="description_310" localSheetId="1">#REF!</definedName>
    <definedName name="description_310" localSheetId="2">[4]Abstract!$B$60</definedName>
    <definedName name="description_310">#REF!</definedName>
    <definedName name="description_312" localSheetId="0">#REF!</definedName>
    <definedName name="description_312" localSheetId="3">#REF!</definedName>
    <definedName name="description_312" localSheetId="1">#REF!</definedName>
    <definedName name="description_312" localSheetId="2">[5]Abstract!$B$61</definedName>
    <definedName name="description_312">#REF!</definedName>
    <definedName name="description_5">[1]Abstract!$B$171</definedName>
    <definedName name="description_6" localSheetId="0">#REF!</definedName>
    <definedName name="description_6" localSheetId="3">#REF!</definedName>
    <definedName name="description_6" localSheetId="1">#REF!</definedName>
    <definedName name="description_6" localSheetId="2">[4]Abstract!$B$172</definedName>
    <definedName name="description_6">#REF!</definedName>
    <definedName name="description_706">[3]Abstract!$B$265</definedName>
    <definedName name="description_759">[1]Abstract!$B$278</definedName>
    <definedName name="description_781" localSheetId="0">#REF!</definedName>
    <definedName name="description_781" localSheetId="3">#REF!</definedName>
    <definedName name="description_781" localSheetId="1">#REF!</definedName>
    <definedName name="description_781" localSheetId="2">[6]Abstract!$B$299</definedName>
    <definedName name="description_781">#REF!</definedName>
    <definedName name="description_783">[1]Abstract!$B$301</definedName>
    <definedName name="description_784">[3]Abstract!$B$300</definedName>
    <definedName name="_xlnm.Print_Area" localSheetId="0">estimate!$A$1:$K$37</definedName>
    <definedName name="_xlnm.Print_Area" localSheetId="3">M!$A$1:$K$48</definedName>
    <definedName name="_xlnm.Print_Area" localSheetId="1">V!$A$1:$K$36</definedName>
    <definedName name="_xlnm.Print_Area" localSheetId="2">WCR!$A$1:$K$26</definedName>
    <definedName name="_xlnm.Print_Titles" localSheetId="0">estimate!$1:$8</definedName>
    <definedName name="_xlnm.Print_Titles" localSheetId="3">M!$1:$8</definedName>
    <definedName name="_xlnm.Print_Titles" localSheetId="1">V!$1:$8</definedName>
    <definedName name="_xlnm.Print_Titles" localSheetId="2">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 i="15" l="1"/>
  <c r="V10" i="15"/>
  <c r="U10" i="15"/>
  <c r="R23" i="15"/>
  <c r="G23" i="15"/>
  <c r="G20" i="15"/>
  <c r="G19" i="15"/>
  <c r="E19" i="15"/>
  <c r="D19" i="15"/>
  <c r="R16" i="15"/>
  <c r="G12" i="15"/>
  <c r="G13" i="15"/>
  <c r="G14" i="15"/>
  <c r="G15" i="15"/>
  <c r="G16" i="15"/>
  <c r="G17" i="15"/>
  <c r="E11" i="15"/>
  <c r="D11" i="15"/>
  <c r="G11" i="15" s="1"/>
  <c r="E10" i="15"/>
  <c r="G10" i="15" s="1"/>
  <c r="D10" i="15"/>
  <c r="C48" i="15"/>
  <c r="C47" i="15"/>
  <c r="C45" i="15" s="1"/>
  <c r="G39" i="15"/>
  <c r="J39" i="15" s="1"/>
  <c r="G35" i="15"/>
  <c r="G36" i="15" s="1"/>
  <c r="G27" i="15"/>
  <c r="N26" i="15"/>
  <c r="M26" i="15"/>
  <c r="G26" i="15"/>
  <c r="G28" i="15" s="1"/>
  <c r="N10" i="15"/>
  <c r="M10" i="15"/>
  <c r="H24" i="14"/>
  <c r="G24" i="14"/>
  <c r="E24" i="14"/>
  <c r="D24" i="14"/>
  <c r="C24" i="14"/>
  <c r="B24" i="14"/>
  <c r="A24" i="14"/>
  <c r="I22" i="14"/>
  <c r="H21" i="14"/>
  <c r="G21" i="14"/>
  <c r="F22" i="14"/>
  <c r="E21" i="14"/>
  <c r="D21" i="14"/>
  <c r="C21" i="14"/>
  <c r="A21" i="14"/>
  <c r="B21" i="14"/>
  <c r="B22" i="14"/>
  <c r="B17" i="14"/>
  <c r="F17" i="14"/>
  <c r="I17" i="14"/>
  <c r="J17" i="14"/>
  <c r="B18" i="14"/>
  <c r="F18" i="14"/>
  <c r="I18" i="14"/>
  <c r="J18" i="14" s="1"/>
  <c r="B19" i="14"/>
  <c r="F19" i="14"/>
  <c r="I19" i="14"/>
  <c r="I16" i="14"/>
  <c r="H15" i="14"/>
  <c r="G15" i="14"/>
  <c r="F16" i="14"/>
  <c r="B16" i="14"/>
  <c r="E15" i="14"/>
  <c r="D15" i="14"/>
  <c r="C15" i="14"/>
  <c r="B15" i="14"/>
  <c r="A15" i="14"/>
  <c r="H13" i="14"/>
  <c r="G13" i="14"/>
  <c r="E13" i="14"/>
  <c r="D13" i="14"/>
  <c r="C13" i="14"/>
  <c r="B13" i="14"/>
  <c r="A13" i="14"/>
  <c r="A8" i="14"/>
  <c r="A9" i="14"/>
  <c r="J23" i="15" l="1"/>
  <c r="P10" i="15"/>
  <c r="P26" i="15"/>
  <c r="J29" i="15"/>
  <c r="J32" i="15"/>
  <c r="J30" i="15"/>
  <c r="J31" i="15"/>
  <c r="J37" i="15"/>
  <c r="J36" i="15"/>
  <c r="J28" i="15"/>
  <c r="I21" i="14"/>
  <c r="J19" i="14"/>
  <c r="F21" i="14"/>
  <c r="J16" i="14"/>
  <c r="I15" i="14"/>
  <c r="F24" i="14"/>
  <c r="F15" i="14"/>
  <c r="J22" i="14"/>
  <c r="F13" i="14"/>
  <c r="I24" i="14"/>
  <c r="I13" i="14"/>
  <c r="J41" i="15" l="1"/>
  <c r="C43" i="15" s="1"/>
  <c r="J21" i="14"/>
  <c r="I26" i="14"/>
  <c r="J6" i="14" s="1"/>
  <c r="J13" i="14"/>
  <c r="J15" i="14"/>
  <c r="J24" i="14"/>
  <c r="F26" i="14"/>
  <c r="C6" i="14" s="1"/>
  <c r="E45" i="15" l="1"/>
  <c r="E46" i="15" s="1"/>
  <c r="C46" i="15"/>
  <c r="J26" i="14"/>
  <c r="C36" i="13"/>
  <c r="C35" i="13"/>
  <c r="C33" i="13" s="1"/>
  <c r="G27" i="13"/>
  <c r="J27" i="13" s="1"/>
  <c r="G23" i="13"/>
  <c r="G24" i="13" s="1"/>
  <c r="G15" i="13"/>
  <c r="N14" i="13"/>
  <c r="M14" i="13"/>
  <c r="P14" i="13" s="1"/>
  <c r="G14" i="13"/>
  <c r="N10" i="13"/>
  <c r="M10" i="13"/>
  <c r="P10" i="13" s="1"/>
  <c r="G10" i="13"/>
  <c r="G11" i="13" s="1"/>
  <c r="J11" i="13" s="1"/>
  <c r="G24" i="12"/>
  <c r="G25" i="12" s="1"/>
  <c r="J26" i="12" s="1"/>
  <c r="G16" i="13" l="1"/>
  <c r="J19" i="13" s="1"/>
  <c r="J24" i="13"/>
  <c r="J25" i="13"/>
  <c r="J25" i="12"/>
  <c r="J17" i="13" l="1"/>
  <c r="J20" i="13"/>
  <c r="J16" i="13"/>
  <c r="J18" i="13"/>
  <c r="J29" i="13" s="1"/>
  <c r="C31" i="13" s="1"/>
  <c r="E33" i="13" s="1"/>
  <c r="E34" i="13" s="1"/>
  <c r="G16" i="12"/>
  <c r="G15" i="12"/>
  <c r="C34" i="13" l="1"/>
  <c r="C36" i="12"/>
  <c r="N14" i="12" l="1"/>
  <c r="M14" i="12"/>
  <c r="P14" i="12" l="1"/>
  <c r="G14" i="12"/>
  <c r="G17" i="12" s="1"/>
  <c r="G10" i="12"/>
  <c r="J18" i="12" l="1"/>
  <c r="J21" i="12"/>
  <c r="J20" i="12"/>
  <c r="J19" i="12"/>
  <c r="J17" i="12"/>
  <c r="N10" i="12" l="1"/>
  <c r="M10" i="12"/>
  <c r="P10" i="12" l="1"/>
  <c r="G11" i="12"/>
  <c r="J11" i="12" l="1"/>
  <c r="C37" i="12"/>
  <c r="C34" i="12" s="1"/>
  <c r="G28" i="12"/>
  <c r="J28" i="12" s="1"/>
  <c r="J30" i="12" l="1"/>
  <c r="C32" i="12"/>
  <c r="C35" i="12" s="1"/>
  <c r="E34" i="12" l="1"/>
  <c r="E35" i="12" s="1"/>
</calcChain>
</file>

<file path=xl/sharedStrings.xml><?xml version="1.0" encoding="utf-8"?>
<sst xmlns="http://schemas.openxmlformats.org/spreadsheetml/2006/main" count="163" uniqueCount="60">
  <si>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</si>
  <si>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</si>
  <si>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</si>
  <si>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</si>
  <si>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</si>
  <si>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</si>
  <si>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</si>
  <si>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</si>
  <si>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</si>
  <si>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</si>
  <si>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</si>
  <si>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</si>
  <si>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</si>
  <si>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</si>
  <si>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</si>
  <si>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</si>
  <si>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</si>
  <si>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</si>
  <si>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</si>
  <si>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</si>
  <si>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</si>
  <si>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</si>
  <si>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Budget allocated</t>
  </si>
  <si>
    <t>Municipal payment</t>
  </si>
  <si>
    <t xml:space="preserve">Contingencies </t>
  </si>
  <si>
    <t xml:space="preserve">Maintanince </t>
  </si>
  <si>
    <t>F.Y.: 2082/2083</t>
  </si>
  <si>
    <t>-13% VAT for stone</t>
  </si>
  <si>
    <t>User contribution</t>
  </si>
  <si>
    <t>Project:-सुकपानी स्याले सिंचाई कुलो मर्मत</t>
  </si>
  <si>
    <t>Earthwork Excavation in Cutting., Roadway Excavation in ordinary rock  by Manual Means ., Roadway Excavation  in ordinary rock as per Drawing and Technical specification, including all lift and lead  as per Drawing and instruction of the Engineer.</t>
  </si>
  <si>
    <t>-for base preparation</t>
  </si>
  <si>
    <t>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1 m ( 6 sqm)</t>
  </si>
  <si>
    <t>-for gabion wall</t>
  </si>
  <si>
    <t>-13% VAT for mesh wire</t>
  </si>
  <si>
    <t>-13% VAT for selvedge wire</t>
  </si>
  <si>
    <t>-13% VAT for binding wire</t>
  </si>
  <si>
    <t>Laying and fixing of Geo-Textile all complete as per specification., Providing  and laying of a geotextile filter between pitching and embankment slopes as per Drawing and Technical Specifications.</t>
  </si>
  <si>
    <t>-at back of gabion wall</t>
  </si>
  <si>
    <t>m2</t>
  </si>
  <si>
    <t>Date:2082/09/03</t>
  </si>
  <si>
    <t>Location:- Shankharapur Municipality 1</t>
  </si>
  <si>
    <t>Detail Valuated Sheet</t>
  </si>
  <si>
    <t>Date:2082/10/13</t>
  </si>
  <si>
    <t>Total Valuated</t>
  </si>
  <si>
    <t>Work Completion Report</t>
  </si>
  <si>
    <t>Total Estimated Amount:</t>
  </si>
  <si>
    <t>Total Valuated Amount :</t>
  </si>
  <si>
    <t xml:space="preserve">Work Started : </t>
  </si>
  <si>
    <t xml:space="preserve">Work Finished:           </t>
  </si>
  <si>
    <t xml:space="preserve">F.Y:2082/2083            </t>
  </si>
  <si>
    <t>S.No.</t>
  </si>
  <si>
    <t>Description</t>
  </si>
  <si>
    <t>Estimated</t>
  </si>
  <si>
    <t>Valuated</t>
  </si>
  <si>
    <t>Difference</t>
  </si>
  <si>
    <t>Remarks</t>
  </si>
  <si>
    <t xml:space="preserve">Quantity </t>
  </si>
  <si>
    <t xml:space="preserve">Date:2082/10/13       </t>
  </si>
  <si>
    <t>Detail Quantity Measurement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</si>
</sst>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1"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2"/>
      <color theme="1"/>
      <name val="Times New Roman"/>
      <family val="1"/>
    </font>
    <font>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84">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0" fillId="0" borderId="0" xfId="0" applyAlignment="1">
      <alignment vertical="center"/>
    </xf>
    <xf numFmtId="0" fontId="17" fillId="0" borderId="0" xfId="0" applyFont="1"/>
    <xf numFmtId="0" fontId="18" fillId="0" borderId="0" xfId="0" applyFont="1" applyAlignment="1">
      <alignment horizontal="center"/>
    </xf>
    <xf numFmtId="0" fontId="0" fillId="0" borderId="0" xfId="0" applyAlignment="1">
      <alignment horizontal="left"/>
    </xf>
    <xf numFmtId="0" fontId="0" fillId="3" borderId="2" xfId="0" applyFill="1" applyBorder="1"/>
    <xf numFmtId="1" fontId="14" fillId="0" borderId="2" xfId="0" applyNumberFormat="1" applyFont="1" applyBorder="1" applyAlignment="1">
      <alignment vertical="center"/>
    </xf>
    <xf numFmtId="1" fontId="19" fillId="0" borderId="2" xfId="0" applyNumberFormat="1" applyFont="1" applyBorder="1" applyAlignment="1">
      <alignment horizontal="left" vertical="center" wrapText="1"/>
    </xf>
    <xf numFmtId="2" fontId="0" fillId="0" borderId="2" xfId="0" applyNumberFormat="1" applyBorder="1" applyAlignment="1">
      <alignment vertical="center"/>
    </xf>
    <xf numFmtId="43" fontId="13" fillId="0" borderId="2" xfId="1" applyFont="1" applyBorder="1" applyAlignment="1">
      <alignment vertical="center"/>
    </xf>
    <xf numFmtId="0" fontId="0" fillId="0" borderId="2" xfId="0" applyBorder="1" applyAlignment="1">
      <alignment vertical="center" wrapText="1"/>
    </xf>
    <xf numFmtId="1" fontId="19" fillId="0" borderId="2" xfId="0" applyNumberFormat="1" applyFont="1" applyBorder="1" applyAlignment="1">
      <alignment horizontal="right" vertical="center" wrapText="1"/>
    </xf>
    <xf numFmtId="0" fontId="14" fillId="0" borderId="2" xfId="0" applyFont="1" applyBorder="1" applyAlignment="1">
      <alignment vertical="center"/>
    </xf>
    <xf numFmtId="0" fontId="20" fillId="0" borderId="2" xfId="0" applyFont="1" applyBorder="1" applyAlignment="1">
      <alignment vertical="center"/>
    </xf>
    <xf numFmtId="43" fontId="0" fillId="0" borderId="0" xfId="0" applyNumberFormat="1" applyAlignment="1">
      <alignment vertical="center"/>
    </xf>
    <xf numFmtId="1" fontId="20" fillId="0" borderId="2" xfId="0" applyNumberFormat="1" applyFont="1" applyBorder="1" applyAlignment="1">
      <alignment vertical="center" wrapText="1"/>
    </xf>
    <xf numFmtId="0" fontId="0" fillId="0" borderId="2" xfId="0" applyBorder="1"/>
    <xf numFmtId="0" fontId="13" fillId="0" borderId="2" xfId="0" applyFont="1" applyBorder="1" applyAlignment="1">
      <alignment horizontal="right"/>
    </xf>
    <xf numFmtId="2" fontId="13" fillId="0" borderId="2" xfId="0" applyNumberFormat="1" applyFont="1" applyBorder="1"/>
    <xf numFmtId="43" fontId="13" fillId="0" borderId="2" xfId="1" applyFont="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0" fontId="0" fillId="3" borderId="2" xfId="0"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center"/>
    </xf>
    <xf numFmtId="0" fontId="0" fillId="0" borderId="0" xfId="0" applyAlignment="1">
      <alignment horizontal="center"/>
    </xf>
    <xf numFmtId="0" fontId="0" fillId="0" borderId="0" xfId="0" applyAlignment="1">
      <alignment horizontal="right" vertical="center"/>
    </xf>
    <xf numFmtId="0" fontId="19" fillId="0" borderId="0" xfId="0" applyFont="1" applyAlignment="1">
      <alignment horizontal="left"/>
    </xf>
    <xf numFmtId="0" fontId="0" fillId="0" borderId="0" xfId="0" applyAlignment="1">
      <alignment horizontal="right"/>
    </xf>
    <xf numFmtId="0" fontId="0" fillId="0" borderId="0" xfId="0" applyAlignment="1">
      <alignment horizontal="left"/>
    </xf>
    <xf numFmtId="0" fontId="14" fillId="0" borderId="0" xfId="0" applyFont="1" applyAlignment="1">
      <alignment horizontal="center"/>
    </xf>
    <xf numFmtId="0" fontId="15" fillId="0" borderId="0" xfId="0" applyFont="1" applyAlignment="1">
      <alignment horizontal="center"/>
    </xf>
    <xf numFmtId="0" fontId="13" fillId="0" borderId="0" xfId="0" applyFont="1" applyAlignment="1">
      <alignment horizontal="center" vertical="center"/>
    </xf>
    <xf numFmtId="0" fontId="16" fillId="0" borderId="0" xfId="0" applyFont="1" applyAlignment="1">
      <alignment horizontal="center"/>
    </xf>
    <xf numFmtId="43" fontId="17" fillId="0" borderId="0" xfId="0" applyNumberFormat="1" applyFont="1" applyAlignment="1">
      <alignment horizontal="center"/>
    </xf>
    <xf numFmtId="0" fontId="17" fillId="0" borderId="0" xfId="0" applyFont="1" applyAlignment="1">
      <alignment horizontal="center"/>
    </xf>
    <xf numFmtId="2" fontId="4" fillId="0" borderId="0" xfId="0" applyNumberFormat="1" applyFont="1" applyBorder="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1_082\ofc\ofc\For-all-Road-rate-analysis-81-82-shankharapur-as-per-dor-norm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2344;&#2327;&#2352;%20&#2348;&#2332;&#2375;&#2335;%20estimate/&#2340;&#2367;&#2344;&#2328;&#2352;&#2375;%20&#2348;&#2366;&#2335;&#2379;%20&#2360;&#2381;&#2340;&#2352;&#2379;&#2344;&#2381;&#2344;&#2340;&#2367;/valuation%20&#2340;&#2367;&#2344;&#2328;&#2352;&#2375;%20&#2348;&#2366;&#2335;&#2379;%20&#2360;&#2381;&#2340;&#2352;&#2379;&#2344;&#2381;&#2344;&#2340;&#2367;.xlsx" TargetMode="External"/><Relationship Id="rId2" Type="http://schemas.openxmlformats.org/officeDocument/2006/relationships/externalLinkPath" Target="file:///G:\2082_2083\&#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 Id="rId1" Type="http://schemas.openxmlformats.org/officeDocument/2006/relationships/externalLinkPath" Target="/2082_2083/&#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5">
          <cell r="B35" t="str">
            <v>Earthwork Excavation in Cutting., Roadway Excavation in ordinary rock  by Manual Means ., Roadway Excavation  in ordinary rock as per Drawing and Technical specification, including all lift and lead  as per Drawing and instruction of the Engineer.</v>
          </cell>
        </row>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265">
          <cell r="B265" t="str">
            <v>Laying and fixing of Geo-Textile all complete as per specification., Providing  and laying of a geotextile filter between pitching and embankment slopes as per Drawing and Technical Specifications.</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timate"/>
      <sheetName val="valuation"/>
      <sheetName val="WCR"/>
      <sheetName val="m"/>
    </sheetNames>
    <sheetDataSet>
      <sheetData sheetId="0">
        <row r="6">
          <cell r="A6" t="str">
            <v>Project:-तिनघरे बाटो स्तरोन्नति</v>
          </cell>
        </row>
        <row r="7">
          <cell r="A7" t="str">
            <v>Location:- Shankharapur Municipality 1</v>
          </cell>
        </row>
      </sheetData>
      <sheetData sheetId="1">
        <row r="12">
          <cell r="G12">
            <v>63.93</v>
          </cell>
        </row>
      </sheetData>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
  <sheetViews>
    <sheetView topLeftCell="A15" zoomScale="90" zoomScaleNormal="90" zoomScaleSheetLayoutView="95" workbookViewId="0">
      <selection activeCell="G9" sqref="G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63" t="s">
        <v>0</v>
      </c>
      <c r="B1" s="63"/>
      <c r="C1" s="63"/>
      <c r="D1" s="63"/>
      <c r="E1" s="63"/>
      <c r="F1" s="63"/>
      <c r="G1" s="63"/>
      <c r="H1" s="63"/>
      <c r="I1" s="63"/>
      <c r="J1" s="63"/>
      <c r="K1" s="63"/>
    </row>
    <row r="2" spans="1:16" ht="22.5" x14ac:dyDescent="0.25">
      <c r="A2" s="64" t="s">
        <v>1</v>
      </c>
      <c r="B2" s="64"/>
      <c r="C2" s="64"/>
      <c r="D2" s="64"/>
      <c r="E2" s="64"/>
      <c r="F2" s="64"/>
      <c r="G2" s="64"/>
      <c r="H2" s="64"/>
      <c r="I2" s="64"/>
      <c r="J2" s="64"/>
      <c r="K2" s="64"/>
    </row>
    <row r="3" spans="1:16" x14ac:dyDescent="0.25">
      <c r="A3" s="65" t="s">
        <v>2</v>
      </c>
      <c r="B3" s="65"/>
      <c r="C3" s="65"/>
      <c r="D3" s="65"/>
      <c r="E3" s="65"/>
      <c r="F3" s="65"/>
      <c r="G3" s="65"/>
      <c r="H3" s="65"/>
      <c r="I3" s="65"/>
      <c r="J3" s="65"/>
      <c r="K3" s="65"/>
    </row>
    <row r="4" spans="1:16" x14ac:dyDescent="0.25">
      <c r="A4" s="65" t="s">
        <v>3</v>
      </c>
      <c r="B4" s="65"/>
      <c r="C4" s="65"/>
      <c r="D4" s="65"/>
      <c r="E4" s="65"/>
      <c r="F4" s="65"/>
      <c r="G4" s="65"/>
      <c r="H4" s="65"/>
      <c r="I4" s="65"/>
      <c r="J4" s="65"/>
      <c r="K4" s="65"/>
    </row>
    <row r="5" spans="1:16" ht="18.75" x14ac:dyDescent="0.3">
      <c r="A5" s="66" t="s">
        <v>4</v>
      </c>
      <c r="B5" s="66"/>
      <c r="C5" s="66"/>
      <c r="D5" s="66"/>
      <c r="E5" s="66"/>
      <c r="F5" s="66"/>
      <c r="G5" s="66"/>
      <c r="H5" s="66"/>
      <c r="I5" s="66"/>
      <c r="J5" s="66"/>
      <c r="K5" s="66"/>
    </row>
    <row r="6" spans="1:16" ht="15.75" x14ac:dyDescent="0.25">
      <c r="A6" s="67" t="s">
        <v>29</v>
      </c>
      <c r="B6" s="67"/>
      <c r="C6" s="67"/>
      <c r="D6" s="67"/>
      <c r="E6" s="67"/>
      <c r="F6" s="67"/>
      <c r="G6" s="10"/>
      <c r="H6" s="68" t="s">
        <v>26</v>
      </c>
      <c r="I6" s="68"/>
      <c r="J6" s="68"/>
      <c r="K6" s="68"/>
    </row>
    <row r="7" spans="1:16" ht="15.75" x14ac:dyDescent="0.25">
      <c r="A7" s="58" t="s">
        <v>41</v>
      </c>
      <c r="B7" s="58"/>
      <c r="C7" s="58"/>
      <c r="D7" s="58"/>
      <c r="E7" s="58"/>
      <c r="F7" s="58"/>
      <c r="G7" s="11"/>
      <c r="H7" s="59" t="s">
        <v>40</v>
      </c>
      <c r="I7" s="59"/>
      <c r="J7" s="59"/>
      <c r="K7" s="59"/>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41.75" x14ac:dyDescent="0.25">
      <c r="A9" s="16">
        <v>1</v>
      </c>
      <c r="B9" s="35" t="s">
        <v>30</v>
      </c>
      <c r="C9" s="17"/>
      <c r="D9" s="17"/>
      <c r="E9" s="17"/>
      <c r="F9" s="17"/>
      <c r="G9" s="17"/>
      <c r="H9" s="17"/>
      <c r="I9" s="17"/>
      <c r="J9" s="17"/>
      <c r="K9" s="17"/>
    </row>
    <row r="10" spans="1:16" x14ac:dyDescent="0.25">
      <c r="A10" s="16"/>
      <c r="B10" s="32" t="s">
        <v>31</v>
      </c>
      <c r="C10" s="17">
        <v>1</v>
      </c>
      <c r="D10" s="33">
        <v>6</v>
      </c>
      <c r="E10" s="33">
        <v>1</v>
      </c>
      <c r="F10" s="33">
        <v>1</v>
      </c>
      <c r="G10" s="33">
        <f>PRODUCT(C10:F10)</f>
        <v>6</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6</v>
      </c>
      <c r="H11" s="7" t="s">
        <v>17</v>
      </c>
      <c r="I11" s="6">
        <v>866.66</v>
      </c>
      <c r="J11" s="18">
        <f>G11*I11</f>
        <v>5199.96</v>
      </c>
      <c r="K11" s="5"/>
    </row>
    <row r="12" spans="1:16" x14ac:dyDescent="0.25">
      <c r="A12" s="16"/>
      <c r="B12" s="17"/>
      <c r="C12" s="17"/>
      <c r="D12" s="17"/>
      <c r="E12" s="17"/>
      <c r="F12" s="17"/>
      <c r="G12" s="17"/>
      <c r="H12" s="17"/>
      <c r="I12" s="17"/>
      <c r="J12" s="17"/>
      <c r="K12" s="17"/>
    </row>
    <row r="13" spans="1:16" ht="254.25" customHeight="1" x14ac:dyDescent="0.25">
      <c r="A13" s="16">
        <v>2</v>
      </c>
      <c r="B13" s="35" t="s">
        <v>32</v>
      </c>
      <c r="C13" s="17"/>
      <c r="D13" s="17"/>
      <c r="E13" s="17"/>
      <c r="F13" s="17"/>
      <c r="G13" s="17"/>
      <c r="H13" s="17"/>
      <c r="I13" s="17"/>
      <c r="J13" s="17"/>
      <c r="K13" s="17"/>
    </row>
    <row r="14" spans="1:16" x14ac:dyDescent="0.25">
      <c r="A14" s="16"/>
      <c r="B14" s="32" t="s">
        <v>33</v>
      </c>
      <c r="C14" s="17">
        <v>6</v>
      </c>
      <c r="D14" s="33">
        <v>2</v>
      </c>
      <c r="E14" s="33">
        <v>1</v>
      </c>
      <c r="F14" s="33">
        <v>1</v>
      </c>
      <c r="G14" s="33">
        <f>PRODUCT(C14:F14)</f>
        <v>12</v>
      </c>
      <c r="H14" s="17"/>
      <c r="I14" s="17"/>
      <c r="J14" s="17"/>
      <c r="K14" s="17"/>
      <c r="M14" s="33">
        <f>7</f>
        <v>7</v>
      </c>
      <c r="N14" s="33">
        <f>2</f>
        <v>2</v>
      </c>
      <c r="O14" s="33"/>
      <c r="P14" s="33">
        <f>PI()*M14*SQRT(M14^2+N14^2)</f>
        <v>160.09797821843054</v>
      </c>
    </row>
    <row r="15" spans="1:16" x14ac:dyDescent="0.25">
      <c r="A15" s="16"/>
      <c r="B15" s="32"/>
      <c r="C15" s="17">
        <v>6</v>
      </c>
      <c r="D15" s="33">
        <v>1.5</v>
      </c>
      <c r="E15" s="33">
        <v>1</v>
      </c>
      <c r="F15" s="33">
        <v>1</v>
      </c>
      <c r="G15" s="33">
        <f>PRODUCT(C15:F15)</f>
        <v>9</v>
      </c>
      <c r="H15" s="17"/>
      <c r="I15" s="17"/>
      <c r="J15" s="17"/>
      <c r="K15" s="17"/>
      <c r="M15" s="36"/>
      <c r="N15" s="36"/>
      <c r="O15" s="36"/>
      <c r="P15" s="36"/>
    </row>
    <row r="16" spans="1:16" x14ac:dyDescent="0.25">
      <c r="A16" s="16"/>
      <c r="B16" s="32"/>
      <c r="C16" s="17">
        <v>2</v>
      </c>
      <c r="D16" s="33">
        <v>1</v>
      </c>
      <c r="E16" s="33">
        <v>1</v>
      </c>
      <c r="F16" s="33">
        <v>1</v>
      </c>
      <c r="G16" s="33">
        <f>PRODUCT(C16:F16)</f>
        <v>2</v>
      </c>
      <c r="H16" s="17"/>
      <c r="I16" s="17"/>
      <c r="J16" s="17"/>
      <c r="K16" s="17"/>
      <c r="M16" s="36"/>
      <c r="N16" s="36"/>
      <c r="O16" s="36"/>
      <c r="P16" s="36"/>
    </row>
    <row r="17" spans="1:17" ht="15" customHeight="1" x14ac:dyDescent="0.25">
      <c r="A17" s="2"/>
      <c r="B17" s="34" t="s">
        <v>16</v>
      </c>
      <c r="C17" s="3"/>
      <c r="D17" s="4"/>
      <c r="E17" s="5"/>
      <c r="F17" s="5"/>
      <c r="G17" s="6">
        <f>SUM(G14:G16)</f>
        <v>23</v>
      </c>
      <c r="H17" s="7" t="s">
        <v>17</v>
      </c>
      <c r="I17" s="6">
        <v>6421.62</v>
      </c>
      <c r="J17" s="18">
        <f>G17*I17</f>
        <v>147697.26</v>
      </c>
      <c r="K17" s="5"/>
    </row>
    <row r="18" spans="1:17" x14ac:dyDescent="0.25">
      <c r="A18" s="16"/>
      <c r="B18" s="32" t="s">
        <v>27</v>
      </c>
      <c r="C18" s="17"/>
      <c r="D18" s="17"/>
      <c r="E18" s="17"/>
      <c r="F18" s="17"/>
      <c r="G18" s="17"/>
      <c r="H18" s="17"/>
      <c r="I18" s="17"/>
      <c r="J18" s="18">
        <f>0.13*G17*(16299.36/6+16299.36/6+16299.36/6+16299.36/6)/4</f>
        <v>8122.5144</v>
      </c>
      <c r="K18" s="17"/>
    </row>
    <row r="19" spans="1:17" x14ac:dyDescent="0.25">
      <c r="A19" s="16"/>
      <c r="B19" s="32" t="s">
        <v>34</v>
      </c>
      <c r="C19" s="17"/>
      <c r="D19" s="17"/>
      <c r="E19" s="17"/>
      <c r="F19" s="17"/>
      <c r="G19" s="17"/>
      <c r="H19" s="17"/>
      <c r="I19" s="17"/>
      <c r="J19" s="18">
        <f>0.13*G17*(9055.8/6+9346.05/6+10191/6+10185.84/6)/4</f>
        <v>4831.1784625000009</v>
      </c>
      <c r="K19" s="17"/>
    </row>
    <row r="20" spans="1:17" x14ac:dyDescent="0.25">
      <c r="A20" s="16"/>
      <c r="B20" s="32" t="s">
        <v>35</v>
      </c>
      <c r="C20" s="17"/>
      <c r="D20" s="17"/>
      <c r="E20" s="17"/>
      <c r="F20" s="17"/>
      <c r="G20" s="17"/>
      <c r="H20" s="17"/>
      <c r="I20" s="17"/>
      <c r="J20" s="18">
        <f>0.13*G17*(1008.78/6+1145.52/6+1393.2/6+1555.74/6)/4</f>
        <v>635.77864999999997</v>
      </c>
      <c r="K20" s="17"/>
    </row>
    <row r="21" spans="1:17" x14ac:dyDescent="0.25">
      <c r="A21" s="16"/>
      <c r="B21" s="32" t="s">
        <v>36</v>
      </c>
      <c r="C21" s="17"/>
      <c r="D21" s="17"/>
      <c r="E21" s="17"/>
      <c r="F21" s="17"/>
      <c r="G21" s="17"/>
      <c r="H21" s="17"/>
      <c r="I21" s="17"/>
      <c r="J21" s="18">
        <f>0.13*G17*(434.4/6+468/6+600/6+547.2/6)/4</f>
        <v>255.346</v>
      </c>
      <c r="K21" s="17"/>
    </row>
    <row r="22" spans="1:17" x14ac:dyDescent="0.25">
      <c r="A22" s="16"/>
      <c r="B22" s="32"/>
      <c r="C22" s="17"/>
      <c r="D22" s="17"/>
      <c r="E22" s="17"/>
      <c r="F22" s="17"/>
      <c r="G22" s="17"/>
      <c r="H22" s="17"/>
      <c r="I22" s="17"/>
      <c r="J22" s="18"/>
      <c r="K22" s="17"/>
    </row>
    <row r="23" spans="1:17" ht="123" customHeight="1" x14ac:dyDescent="0.25">
      <c r="A23" s="16">
        <v>3</v>
      </c>
      <c r="B23" s="35" t="s">
        <v>37</v>
      </c>
      <c r="C23" s="17"/>
      <c r="D23" s="17"/>
      <c r="E23" s="17"/>
      <c r="F23" s="17"/>
      <c r="G23" s="17"/>
      <c r="H23" s="17"/>
      <c r="I23" s="17"/>
      <c r="J23" s="17"/>
      <c r="K23" s="17"/>
    </row>
    <row r="24" spans="1:17" x14ac:dyDescent="0.25">
      <c r="A24" s="16"/>
      <c r="B24" s="32" t="s">
        <v>38</v>
      </c>
      <c r="C24" s="17">
        <v>1</v>
      </c>
      <c r="D24" s="17">
        <v>6</v>
      </c>
      <c r="E24" s="17"/>
      <c r="F24" s="17">
        <v>2</v>
      </c>
      <c r="G24" s="33">
        <f>PRODUCT(C24:F24)</f>
        <v>12</v>
      </c>
      <c r="H24" s="17"/>
      <c r="I24" s="17"/>
      <c r="J24" s="18"/>
      <c r="K24" s="17"/>
    </row>
    <row r="25" spans="1:17" ht="15" customHeight="1" x14ac:dyDescent="0.25">
      <c r="A25" s="2"/>
      <c r="B25" s="34" t="s">
        <v>16</v>
      </c>
      <c r="C25" s="3"/>
      <c r="D25" s="4"/>
      <c r="E25" s="5"/>
      <c r="F25" s="5"/>
      <c r="G25" s="6">
        <f>SUM(G22:G24)</f>
        <v>12</v>
      </c>
      <c r="H25" s="7" t="s">
        <v>39</v>
      </c>
      <c r="I25" s="6">
        <v>161.58000000000001</v>
      </c>
      <c r="J25" s="18">
        <f>G25*I25</f>
        <v>1938.96</v>
      </c>
      <c r="K25" s="5"/>
    </row>
    <row r="26" spans="1:17" x14ac:dyDescent="0.25">
      <c r="A26" s="16"/>
      <c r="B26" s="32" t="s">
        <v>27</v>
      </c>
      <c r="C26" s="17"/>
      <c r="D26" s="17"/>
      <c r="E26" s="17"/>
      <c r="F26" s="17"/>
      <c r="G26" s="17"/>
      <c r="H26" s="17"/>
      <c r="I26" s="17"/>
      <c r="J26" s="18">
        <f>0.13*G25*45360/300</f>
        <v>235.87200000000001</v>
      </c>
      <c r="K26" s="17"/>
    </row>
    <row r="27" spans="1:17" x14ac:dyDescent="0.25">
      <c r="A27" s="16"/>
      <c r="B27" s="17"/>
      <c r="C27" s="17"/>
      <c r="D27" s="17"/>
      <c r="E27" s="17"/>
      <c r="F27" s="17"/>
      <c r="G27" s="17"/>
      <c r="H27" s="17"/>
      <c r="I27" s="17"/>
      <c r="J27" s="17"/>
      <c r="K27" s="17"/>
    </row>
    <row r="28" spans="1:17" ht="15" customHeight="1" x14ac:dyDescent="0.25">
      <c r="A28" s="2">
        <v>4</v>
      </c>
      <c r="B28" s="1" t="s">
        <v>18</v>
      </c>
      <c r="C28" s="3">
        <v>1</v>
      </c>
      <c r="D28" s="4"/>
      <c r="E28" s="5"/>
      <c r="F28" s="5"/>
      <c r="G28" s="7">
        <f t="shared" ref="G28" si="0">PRODUCT(C28:F28)</f>
        <v>1</v>
      </c>
      <c r="H28" s="7" t="s">
        <v>19</v>
      </c>
      <c r="I28" s="6">
        <v>500</v>
      </c>
      <c r="J28" s="7">
        <f>G28*I28</f>
        <v>500</v>
      </c>
      <c r="K28" s="5"/>
    </row>
    <row r="29" spans="1:17" x14ac:dyDescent="0.25">
      <c r="A29" s="2"/>
      <c r="B29" s="8"/>
      <c r="C29" s="3"/>
      <c r="D29" s="4"/>
      <c r="E29" s="5"/>
      <c r="F29" s="5"/>
      <c r="G29" s="6"/>
      <c r="H29" s="7"/>
      <c r="I29" s="6"/>
      <c r="J29" s="18"/>
      <c r="K29" s="5"/>
    </row>
    <row r="30" spans="1:17" x14ac:dyDescent="0.25">
      <c r="A30" s="21"/>
      <c r="B30" s="22" t="s">
        <v>21</v>
      </c>
      <c r="C30" s="23"/>
      <c r="D30" s="24"/>
      <c r="E30" s="24"/>
      <c r="F30" s="24"/>
      <c r="G30" s="18"/>
      <c r="H30" s="18"/>
      <c r="I30" s="18"/>
      <c r="J30" s="18">
        <f>SUM(J9:J28)</f>
        <v>169416.86951250001</v>
      </c>
      <c r="K30" s="25"/>
    </row>
    <row r="31" spans="1:17" x14ac:dyDescent="0.25">
      <c r="M31" s="20"/>
      <c r="N31" s="20"/>
      <c r="O31" s="20"/>
      <c r="P31" s="20"/>
      <c r="Q31" s="20"/>
    </row>
    <row r="32" spans="1:17" s="20" customFormat="1" x14ac:dyDescent="0.25">
      <c r="A32" s="26"/>
      <c r="B32" s="27" t="s">
        <v>20</v>
      </c>
      <c r="C32" s="56">
        <f>J30</f>
        <v>169416.86951250001</v>
      </c>
      <c r="D32" s="57"/>
      <c r="E32" s="9">
        <v>100</v>
      </c>
      <c r="F32" s="26"/>
      <c r="G32" s="28"/>
      <c r="H32" s="26"/>
      <c r="I32" s="29"/>
      <c r="J32" s="30"/>
      <c r="K32" s="31"/>
      <c r="M32" s="19"/>
      <c r="N32" s="19"/>
      <c r="O32" s="19"/>
      <c r="P32" s="19"/>
      <c r="Q32" s="19"/>
    </row>
    <row r="33" spans="2:5" x14ac:dyDescent="0.25">
      <c r="B33" s="27" t="s">
        <v>22</v>
      </c>
      <c r="C33" s="60">
        <v>150000</v>
      </c>
      <c r="D33" s="61"/>
      <c r="E33" s="9"/>
    </row>
    <row r="34" spans="2:5" x14ac:dyDescent="0.25">
      <c r="B34" s="27" t="s">
        <v>23</v>
      </c>
      <c r="C34" s="60">
        <f>C33-C36-C37</f>
        <v>142500</v>
      </c>
      <c r="D34" s="61"/>
      <c r="E34" s="9">
        <f>C34/C32*100</f>
        <v>84.112048823736515</v>
      </c>
    </row>
    <row r="35" spans="2:5" x14ac:dyDescent="0.25">
      <c r="B35" s="27" t="s">
        <v>28</v>
      </c>
      <c r="C35" s="62">
        <f>C32-C34</f>
        <v>26916.869512500009</v>
      </c>
      <c r="D35" s="62"/>
      <c r="E35" s="9">
        <f>100-E34</f>
        <v>15.887951176263485</v>
      </c>
    </row>
    <row r="36" spans="2:5" x14ac:dyDescent="0.25">
      <c r="B36" s="27" t="s">
        <v>24</v>
      </c>
      <c r="C36" s="56">
        <f>C33*0.03</f>
        <v>4500</v>
      </c>
      <c r="D36" s="57"/>
      <c r="E36" s="9">
        <v>3</v>
      </c>
    </row>
    <row r="37" spans="2:5" x14ac:dyDescent="0.25">
      <c r="B37" s="27" t="s">
        <v>25</v>
      </c>
      <c r="C37" s="56">
        <f>C33*0.02</f>
        <v>3000</v>
      </c>
      <c r="D37" s="57"/>
      <c r="E37" s="9">
        <v>2</v>
      </c>
    </row>
  </sheetData>
  <mergeCells count="15">
    <mergeCell ref="C36:D36"/>
    <mergeCell ref="C37:D37"/>
    <mergeCell ref="A7:F7"/>
    <mergeCell ref="H7:K7"/>
    <mergeCell ref="C32:D32"/>
    <mergeCell ref="C33:D33"/>
    <mergeCell ref="C34:D34"/>
    <mergeCell ref="C35:D35"/>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12"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E10C-C491-47BC-9420-98BE87C6776A}">
  <dimension ref="A1:Q36"/>
  <sheetViews>
    <sheetView zoomScale="90" zoomScaleNormal="90" zoomScaleSheetLayoutView="95" workbookViewId="0">
      <selection activeCell="I22" sqref="I22"/>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63" t="s">
        <v>0</v>
      </c>
      <c r="B1" s="63"/>
      <c r="C1" s="63"/>
      <c r="D1" s="63"/>
      <c r="E1" s="63"/>
      <c r="F1" s="63"/>
      <c r="G1" s="63"/>
      <c r="H1" s="63"/>
      <c r="I1" s="63"/>
      <c r="J1" s="63"/>
      <c r="K1" s="63"/>
    </row>
    <row r="2" spans="1:16" ht="22.5" x14ac:dyDescent="0.25">
      <c r="A2" s="64" t="s">
        <v>1</v>
      </c>
      <c r="B2" s="64"/>
      <c r="C2" s="64"/>
      <c r="D2" s="64"/>
      <c r="E2" s="64"/>
      <c r="F2" s="64"/>
      <c r="G2" s="64"/>
      <c r="H2" s="64"/>
      <c r="I2" s="64"/>
      <c r="J2" s="64"/>
      <c r="K2" s="64"/>
    </row>
    <row r="3" spans="1:16" x14ac:dyDescent="0.25">
      <c r="A3" s="65" t="s">
        <v>2</v>
      </c>
      <c r="B3" s="65"/>
      <c r="C3" s="65"/>
      <c r="D3" s="65"/>
      <c r="E3" s="65"/>
      <c r="F3" s="65"/>
      <c r="G3" s="65"/>
      <c r="H3" s="65"/>
      <c r="I3" s="65"/>
      <c r="J3" s="65"/>
      <c r="K3" s="65"/>
    </row>
    <row r="4" spans="1:16" x14ac:dyDescent="0.25">
      <c r="A4" s="65" t="s">
        <v>3</v>
      </c>
      <c r="B4" s="65"/>
      <c r="C4" s="65"/>
      <c r="D4" s="65"/>
      <c r="E4" s="65"/>
      <c r="F4" s="65"/>
      <c r="G4" s="65"/>
      <c r="H4" s="65"/>
      <c r="I4" s="65"/>
      <c r="J4" s="65"/>
      <c r="K4" s="65"/>
    </row>
    <row r="5" spans="1:16" ht="18.75" x14ac:dyDescent="0.3">
      <c r="A5" s="66" t="s">
        <v>42</v>
      </c>
      <c r="B5" s="66"/>
      <c r="C5" s="66"/>
      <c r="D5" s="66"/>
      <c r="E5" s="66"/>
      <c r="F5" s="66"/>
      <c r="G5" s="66"/>
      <c r="H5" s="66"/>
      <c r="I5" s="66"/>
      <c r="J5" s="66"/>
      <c r="K5" s="66"/>
    </row>
    <row r="6" spans="1:16" ht="15.75" x14ac:dyDescent="0.25">
      <c r="A6" s="67" t="s">
        <v>29</v>
      </c>
      <c r="B6" s="67"/>
      <c r="C6" s="67"/>
      <c r="D6" s="67"/>
      <c r="E6" s="67"/>
      <c r="F6" s="67"/>
      <c r="G6" s="10"/>
      <c r="H6" s="68" t="s">
        <v>26</v>
      </c>
      <c r="I6" s="68"/>
      <c r="J6" s="68"/>
      <c r="K6" s="68"/>
    </row>
    <row r="7" spans="1:16" ht="15.75" x14ac:dyDescent="0.25">
      <c r="A7" s="58" t="s">
        <v>41</v>
      </c>
      <c r="B7" s="58"/>
      <c r="C7" s="58"/>
      <c r="D7" s="58"/>
      <c r="E7" s="58"/>
      <c r="F7" s="58"/>
      <c r="G7" s="11"/>
      <c r="H7" s="59" t="s">
        <v>43</v>
      </c>
      <c r="I7" s="59"/>
      <c r="J7" s="59"/>
      <c r="K7" s="59"/>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41.75" x14ac:dyDescent="0.25">
      <c r="A9" s="16">
        <v>1</v>
      </c>
      <c r="B9" s="35" t="s">
        <v>30</v>
      </c>
      <c r="C9" s="17"/>
      <c r="D9" s="17"/>
      <c r="E9" s="17"/>
      <c r="F9" s="17"/>
      <c r="G9" s="17"/>
      <c r="H9" s="17"/>
      <c r="I9" s="17"/>
      <c r="J9" s="17"/>
      <c r="K9" s="17"/>
    </row>
    <row r="10" spans="1:16" x14ac:dyDescent="0.25">
      <c r="A10" s="16"/>
      <c r="B10" s="32" t="s">
        <v>31</v>
      </c>
      <c r="C10" s="17">
        <v>1</v>
      </c>
      <c r="D10" s="33">
        <v>6</v>
      </c>
      <c r="E10" s="33">
        <v>1</v>
      </c>
      <c r="F10" s="33">
        <v>1</v>
      </c>
      <c r="G10" s="33">
        <f>PRODUCT(C10:F10)</f>
        <v>6</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6</v>
      </c>
      <c r="H11" s="7" t="s">
        <v>17</v>
      </c>
      <c r="I11" s="6">
        <v>866.66</v>
      </c>
      <c r="J11" s="18">
        <f>G11*I11</f>
        <v>5199.96</v>
      </c>
      <c r="K11" s="5"/>
    </row>
    <row r="12" spans="1:16" x14ac:dyDescent="0.25">
      <c r="A12" s="16"/>
      <c r="B12" s="17"/>
      <c r="C12" s="17"/>
      <c r="D12" s="17"/>
      <c r="E12" s="17"/>
      <c r="F12" s="17"/>
      <c r="G12" s="17"/>
      <c r="H12" s="17"/>
      <c r="I12" s="17"/>
      <c r="J12" s="17"/>
      <c r="K12" s="17"/>
    </row>
    <row r="13" spans="1:16" ht="254.25" customHeight="1" x14ac:dyDescent="0.25">
      <c r="A13" s="16">
        <v>2</v>
      </c>
      <c r="B13" s="35" t="s">
        <v>32</v>
      </c>
      <c r="C13" s="17"/>
      <c r="D13" s="17"/>
      <c r="E13" s="17"/>
      <c r="F13" s="17"/>
      <c r="G13" s="17"/>
      <c r="H13" s="17"/>
      <c r="I13" s="17"/>
      <c r="J13" s="17"/>
      <c r="K13" s="17"/>
    </row>
    <row r="14" spans="1:16" x14ac:dyDescent="0.25">
      <c r="A14" s="16"/>
      <c r="B14" s="32" t="s">
        <v>33</v>
      </c>
      <c r="C14" s="17">
        <v>7</v>
      </c>
      <c r="D14" s="33">
        <v>3</v>
      </c>
      <c r="E14" s="33">
        <v>1</v>
      </c>
      <c r="F14" s="33">
        <v>1</v>
      </c>
      <c r="G14" s="33">
        <f>PRODUCT(C14:F14)</f>
        <v>21</v>
      </c>
      <c r="H14" s="17"/>
      <c r="I14" s="17"/>
      <c r="J14" s="17"/>
      <c r="K14" s="17"/>
      <c r="M14" s="33">
        <f>7</f>
        <v>7</v>
      </c>
      <c r="N14" s="33">
        <f>2</f>
        <v>2</v>
      </c>
      <c r="O14" s="33"/>
      <c r="P14" s="33">
        <f>PI()*M14*SQRT(M14^2+N14^2)</f>
        <v>160.09797821843054</v>
      </c>
    </row>
    <row r="15" spans="1:16" x14ac:dyDescent="0.25">
      <c r="A15" s="16"/>
      <c r="B15" s="32"/>
      <c r="C15" s="17">
        <v>1</v>
      </c>
      <c r="D15" s="33">
        <v>2</v>
      </c>
      <c r="E15" s="33">
        <v>1</v>
      </c>
      <c r="F15" s="33">
        <v>1</v>
      </c>
      <c r="G15" s="33">
        <f>PRODUCT(C15:F15)</f>
        <v>2</v>
      </c>
      <c r="H15" s="17"/>
      <c r="I15" s="17"/>
      <c r="J15" s="17"/>
      <c r="K15" s="17"/>
      <c r="M15" s="36"/>
      <c r="N15" s="36"/>
      <c r="O15" s="36"/>
      <c r="P15" s="36"/>
    </row>
    <row r="16" spans="1:16" ht="15" customHeight="1" x14ac:dyDescent="0.25">
      <c r="A16" s="2"/>
      <c r="B16" s="34" t="s">
        <v>16</v>
      </c>
      <c r="C16" s="3"/>
      <c r="D16" s="4"/>
      <c r="E16" s="5"/>
      <c r="F16" s="5"/>
      <c r="G16" s="6">
        <f>SUM(G14:G15)</f>
        <v>23</v>
      </c>
      <c r="H16" s="7" t="s">
        <v>17</v>
      </c>
      <c r="I16" s="6">
        <v>6421.62</v>
      </c>
      <c r="J16" s="18">
        <f>G16*I16</f>
        <v>147697.26</v>
      </c>
      <c r="K16" s="5"/>
    </row>
    <row r="17" spans="1:17" x14ac:dyDescent="0.25">
      <c r="A17" s="16"/>
      <c r="B17" s="32" t="s">
        <v>27</v>
      </c>
      <c r="C17" s="17"/>
      <c r="D17" s="17"/>
      <c r="E17" s="17"/>
      <c r="F17" s="17"/>
      <c r="G17" s="17"/>
      <c r="H17" s="17"/>
      <c r="I17" s="17"/>
      <c r="J17" s="18">
        <f>0.13*G16*(16299.36/6+16299.36/6+16299.36/6+16299.36/6)/4</f>
        <v>8122.5144</v>
      </c>
      <c r="K17" s="17"/>
    </row>
    <row r="18" spans="1:17" x14ac:dyDescent="0.25">
      <c r="A18" s="16"/>
      <c r="B18" s="32" t="s">
        <v>34</v>
      </c>
      <c r="C18" s="17"/>
      <c r="D18" s="17"/>
      <c r="E18" s="17"/>
      <c r="F18" s="17"/>
      <c r="G18" s="17"/>
      <c r="H18" s="17"/>
      <c r="I18" s="17"/>
      <c r="J18" s="18">
        <f>0.13*G16*(9055.8/6+9346.05/6+10191/6+10185.84/6)/4</f>
        <v>4831.1784625000009</v>
      </c>
      <c r="K18" s="17"/>
    </row>
    <row r="19" spans="1:17" x14ac:dyDescent="0.25">
      <c r="A19" s="16"/>
      <c r="B19" s="32" t="s">
        <v>35</v>
      </c>
      <c r="C19" s="17"/>
      <c r="D19" s="17"/>
      <c r="E19" s="17"/>
      <c r="F19" s="17"/>
      <c r="G19" s="17"/>
      <c r="H19" s="17"/>
      <c r="I19" s="17"/>
      <c r="J19" s="18">
        <f>0.13*G16*(1008.78/6+1145.52/6+1393.2/6+1555.74/6)/4</f>
        <v>635.77864999999997</v>
      </c>
      <c r="K19" s="17"/>
    </row>
    <row r="20" spans="1:17" x14ac:dyDescent="0.25">
      <c r="A20" s="16"/>
      <c r="B20" s="32" t="s">
        <v>36</v>
      </c>
      <c r="C20" s="17"/>
      <c r="D20" s="17"/>
      <c r="E20" s="17"/>
      <c r="F20" s="17"/>
      <c r="G20" s="17"/>
      <c r="H20" s="17"/>
      <c r="I20" s="17"/>
      <c r="J20" s="18">
        <f>0.13*G16*(434.4/6+468/6+600/6+547.2/6)/4</f>
        <v>255.346</v>
      </c>
      <c r="K20" s="17"/>
    </row>
    <row r="21" spans="1:17" x14ac:dyDescent="0.25">
      <c r="A21" s="16"/>
      <c r="B21" s="32"/>
      <c r="C21" s="17"/>
      <c r="D21" s="17"/>
      <c r="E21" s="17"/>
      <c r="F21" s="17"/>
      <c r="G21" s="17"/>
      <c r="H21" s="17"/>
      <c r="I21" s="17"/>
      <c r="J21" s="18"/>
      <c r="K21" s="17"/>
    </row>
    <row r="22" spans="1:17" ht="123" customHeight="1" x14ac:dyDescent="0.25">
      <c r="A22" s="16">
        <v>3</v>
      </c>
      <c r="B22" s="35" t="s">
        <v>37</v>
      </c>
      <c r="C22" s="17"/>
      <c r="D22" s="17"/>
      <c r="E22" s="17"/>
      <c r="F22" s="17"/>
      <c r="G22" s="17"/>
      <c r="H22" s="17"/>
      <c r="I22" s="17"/>
      <c r="J22" s="17"/>
      <c r="K22" s="17"/>
    </row>
    <row r="23" spans="1:17" x14ac:dyDescent="0.25">
      <c r="A23" s="16"/>
      <c r="B23" s="32" t="s">
        <v>38</v>
      </c>
      <c r="C23" s="17">
        <v>1</v>
      </c>
      <c r="D23" s="17">
        <v>6</v>
      </c>
      <c r="E23" s="17"/>
      <c r="F23" s="17">
        <v>2</v>
      </c>
      <c r="G23" s="33">
        <f>PRODUCT(C23:F23)</f>
        <v>12</v>
      </c>
      <c r="H23" s="17"/>
      <c r="I23" s="17"/>
      <c r="J23" s="18"/>
      <c r="K23" s="17"/>
    </row>
    <row r="24" spans="1:17" ht="15" customHeight="1" x14ac:dyDescent="0.25">
      <c r="A24" s="2"/>
      <c r="B24" s="34" t="s">
        <v>16</v>
      </c>
      <c r="C24" s="3"/>
      <c r="D24" s="4"/>
      <c r="E24" s="5"/>
      <c r="F24" s="5"/>
      <c r="G24" s="6">
        <f>SUM(G21:G23)</f>
        <v>12</v>
      </c>
      <c r="H24" s="7" t="s">
        <v>39</v>
      </c>
      <c r="I24" s="6">
        <v>161.58000000000001</v>
      </c>
      <c r="J24" s="18">
        <f>G24*I24</f>
        <v>1938.96</v>
      </c>
      <c r="K24" s="5"/>
    </row>
    <row r="25" spans="1:17" x14ac:dyDescent="0.25">
      <c r="A25" s="16"/>
      <c r="B25" s="32" t="s">
        <v>27</v>
      </c>
      <c r="C25" s="17"/>
      <c r="D25" s="17"/>
      <c r="E25" s="17"/>
      <c r="F25" s="17"/>
      <c r="G25" s="17"/>
      <c r="H25" s="17"/>
      <c r="I25" s="17"/>
      <c r="J25" s="18">
        <f>0.13*G24*45360/300</f>
        <v>235.87200000000001</v>
      </c>
      <c r="K25" s="17"/>
    </row>
    <row r="26" spans="1:17" x14ac:dyDescent="0.25">
      <c r="A26" s="16"/>
      <c r="B26" s="17"/>
      <c r="C26" s="17"/>
      <c r="D26" s="17"/>
      <c r="E26" s="17"/>
      <c r="F26" s="17"/>
      <c r="G26" s="17"/>
      <c r="H26" s="17"/>
      <c r="I26" s="17"/>
      <c r="J26" s="17"/>
      <c r="K26" s="17"/>
    </row>
    <row r="27" spans="1:17" ht="15" customHeight="1" x14ac:dyDescent="0.25">
      <c r="A27" s="2">
        <v>4</v>
      </c>
      <c r="B27" s="1" t="s">
        <v>18</v>
      </c>
      <c r="C27" s="3">
        <v>1</v>
      </c>
      <c r="D27" s="4"/>
      <c r="E27" s="5"/>
      <c r="F27" s="5"/>
      <c r="G27" s="7">
        <f t="shared" ref="G27" si="0">PRODUCT(C27:F27)</f>
        <v>1</v>
      </c>
      <c r="H27" s="7" t="s">
        <v>19</v>
      </c>
      <c r="I27" s="6">
        <v>500</v>
      </c>
      <c r="J27" s="7">
        <f>G27*I27</f>
        <v>500</v>
      </c>
      <c r="K27" s="5"/>
    </row>
    <row r="28" spans="1:17" x14ac:dyDescent="0.25">
      <c r="A28" s="2"/>
      <c r="B28" s="8"/>
      <c r="C28" s="3"/>
      <c r="D28" s="4"/>
      <c r="E28" s="5"/>
      <c r="F28" s="5"/>
      <c r="G28" s="6"/>
      <c r="H28" s="7"/>
      <c r="I28" s="6"/>
      <c r="J28" s="18"/>
      <c r="K28" s="5"/>
    </row>
    <row r="29" spans="1:17" x14ac:dyDescent="0.25">
      <c r="A29" s="21"/>
      <c r="B29" s="22" t="s">
        <v>21</v>
      </c>
      <c r="C29" s="23"/>
      <c r="D29" s="24"/>
      <c r="E29" s="24"/>
      <c r="F29" s="24"/>
      <c r="G29" s="18"/>
      <c r="H29" s="18"/>
      <c r="I29" s="18"/>
      <c r="J29" s="18">
        <f>SUM(J9:J27)</f>
        <v>169416.86951250001</v>
      </c>
      <c r="K29" s="25"/>
    </row>
    <row r="30" spans="1:17" x14ac:dyDescent="0.25">
      <c r="M30" s="20"/>
      <c r="N30" s="20"/>
      <c r="O30" s="20"/>
      <c r="P30" s="20"/>
      <c r="Q30" s="20"/>
    </row>
    <row r="31" spans="1:17" s="20" customFormat="1" x14ac:dyDescent="0.25">
      <c r="A31" s="26"/>
      <c r="B31" s="27" t="s">
        <v>44</v>
      </c>
      <c r="C31" s="56">
        <f>J29</f>
        <v>169416.86951250001</v>
      </c>
      <c r="D31" s="57"/>
      <c r="E31" s="9">
        <v>100</v>
      </c>
      <c r="F31" s="26"/>
      <c r="G31" s="28"/>
      <c r="H31" s="26"/>
      <c r="I31" s="29"/>
      <c r="J31" s="30"/>
      <c r="K31" s="31"/>
      <c r="M31" s="19"/>
      <c r="N31" s="19"/>
      <c r="O31" s="19"/>
      <c r="P31" s="19"/>
      <c r="Q31" s="19"/>
    </row>
    <row r="32" spans="1:17" x14ac:dyDescent="0.25">
      <c r="B32" s="27" t="s">
        <v>22</v>
      </c>
      <c r="C32" s="60">
        <v>150000</v>
      </c>
      <c r="D32" s="61"/>
      <c r="E32" s="9"/>
    </row>
    <row r="33" spans="2:5" x14ac:dyDescent="0.25">
      <c r="B33" s="27" t="s">
        <v>23</v>
      </c>
      <c r="C33" s="60">
        <f>C32-C35-C36</f>
        <v>142500</v>
      </c>
      <c r="D33" s="61"/>
      <c r="E33" s="9">
        <f>C33/C31*100</f>
        <v>84.112048823736515</v>
      </c>
    </row>
    <row r="34" spans="2:5" x14ac:dyDescent="0.25">
      <c r="B34" s="27" t="s">
        <v>28</v>
      </c>
      <c r="C34" s="62">
        <f>C31-C33</f>
        <v>26916.869512500009</v>
      </c>
      <c r="D34" s="62"/>
      <c r="E34" s="9">
        <f>100-E33</f>
        <v>15.887951176263485</v>
      </c>
    </row>
    <row r="35" spans="2:5" x14ac:dyDescent="0.25">
      <c r="B35" s="27" t="s">
        <v>24</v>
      </c>
      <c r="C35" s="56">
        <f>C32*0.03</f>
        <v>4500</v>
      </c>
      <c r="D35" s="57"/>
      <c r="E35" s="9">
        <v>3</v>
      </c>
    </row>
    <row r="36" spans="2:5" x14ac:dyDescent="0.25">
      <c r="B36" s="27" t="s">
        <v>25</v>
      </c>
      <c r="C36" s="56">
        <f>C32*0.02</f>
        <v>3000</v>
      </c>
      <c r="D36" s="57"/>
      <c r="E36" s="9">
        <v>2</v>
      </c>
    </row>
  </sheetData>
  <mergeCells count="15">
    <mergeCell ref="A6:F6"/>
    <mergeCell ref="H6:K6"/>
    <mergeCell ref="A1:K1"/>
    <mergeCell ref="A2:K2"/>
    <mergeCell ref="A3:K3"/>
    <mergeCell ref="A4:K4"/>
    <mergeCell ref="A5:K5"/>
    <mergeCell ref="C35:D35"/>
    <mergeCell ref="C36:D36"/>
    <mergeCell ref="A7:F7"/>
    <mergeCell ref="H7:K7"/>
    <mergeCell ref="C31:D31"/>
    <mergeCell ref="C32:D32"/>
    <mergeCell ref="C33:D33"/>
    <mergeCell ref="C34:D34"/>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12"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8F78D-7968-4C7A-B49B-8A31E1C6881A}">
  <dimension ref="A1:M26"/>
  <sheetViews>
    <sheetView zoomScaleNormal="100" workbookViewId="0">
      <selection activeCell="B24" sqref="B24"/>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1" x14ac:dyDescent="0.25">
      <c r="A1" s="77" t="s">
        <v>0</v>
      </c>
      <c r="B1" s="77"/>
      <c r="C1" s="77"/>
      <c r="D1" s="77"/>
      <c r="E1" s="77"/>
      <c r="F1" s="77"/>
      <c r="G1" s="77"/>
      <c r="H1" s="77"/>
      <c r="I1" s="77"/>
      <c r="J1" s="77"/>
      <c r="K1" s="77"/>
    </row>
    <row r="2" spans="1:11" ht="25.5" x14ac:dyDescent="0.35">
      <c r="A2" s="78" t="s">
        <v>1</v>
      </c>
      <c r="B2" s="78"/>
      <c r="C2" s="78"/>
      <c r="D2" s="78"/>
      <c r="E2" s="78"/>
      <c r="F2" s="78"/>
      <c r="G2" s="78"/>
      <c r="H2" s="78"/>
      <c r="I2" s="78"/>
      <c r="J2" s="78"/>
      <c r="K2" s="78"/>
    </row>
    <row r="3" spans="1:11" s="37" customFormat="1" x14ac:dyDescent="0.25">
      <c r="A3" s="79" t="s">
        <v>2</v>
      </c>
      <c r="B3" s="79"/>
      <c r="C3" s="79"/>
      <c r="D3" s="79"/>
      <c r="E3" s="79"/>
      <c r="F3" s="79"/>
      <c r="G3" s="79"/>
      <c r="H3" s="79"/>
      <c r="I3" s="79"/>
      <c r="J3" s="79"/>
      <c r="K3" s="79"/>
    </row>
    <row r="4" spans="1:11" s="37" customFormat="1" x14ac:dyDescent="0.25">
      <c r="A4" s="79" t="s">
        <v>3</v>
      </c>
      <c r="B4" s="79"/>
      <c r="C4" s="79"/>
      <c r="D4" s="79"/>
      <c r="E4" s="79"/>
      <c r="F4" s="79"/>
      <c r="G4" s="79"/>
      <c r="H4" s="79"/>
      <c r="I4" s="79"/>
      <c r="J4" s="79"/>
      <c r="K4" s="79"/>
    </row>
    <row r="5" spans="1:11" ht="18.75" x14ac:dyDescent="0.3">
      <c r="A5" s="80" t="s">
        <v>45</v>
      </c>
      <c r="B5" s="80"/>
      <c r="C5" s="80"/>
      <c r="D5" s="80"/>
      <c r="E5" s="80"/>
      <c r="F5" s="80"/>
      <c r="G5" s="80"/>
      <c r="H5" s="80"/>
      <c r="I5" s="80"/>
      <c r="J5" s="80"/>
      <c r="K5" s="80"/>
    </row>
    <row r="6" spans="1:11" ht="18.75" x14ac:dyDescent="0.3">
      <c r="A6" s="38" t="s">
        <v>46</v>
      </c>
      <c r="B6" s="38"/>
      <c r="C6" s="81">
        <f>F26</f>
        <v>169416.86951250001</v>
      </c>
      <c r="D6" s="82"/>
      <c r="E6" s="39"/>
      <c r="F6" s="38"/>
      <c r="G6" s="38"/>
      <c r="H6" s="38" t="s">
        <v>47</v>
      </c>
      <c r="I6" s="38"/>
      <c r="J6" s="81">
        <f>I26</f>
        <v>169416.86951250001</v>
      </c>
      <c r="K6" s="82"/>
    </row>
    <row r="7" spans="1:11" x14ac:dyDescent="0.25">
      <c r="A7" s="40" t="s">
        <v>48</v>
      </c>
      <c r="B7" s="40"/>
      <c r="C7" s="40"/>
      <c r="D7" s="40"/>
      <c r="F7" s="72"/>
      <c r="G7" s="72"/>
      <c r="I7" s="73" t="s">
        <v>49</v>
      </c>
      <c r="J7" s="73"/>
      <c r="K7" s="73"/>
    </row>
    <row r="8" spans="1:11" ht="15.75" x14ac:dyDescent="0.25">
      <c r="A8" s="74" t="str">
        <f>estimate!A6</f>
        <v>Project:-सुकपानी स्याले सिंचाई कुलो मर्मत</v>
      </c>
      <c r="B8" s="74"/>
      <c r="C8" s="74"/>
      <c r="D8" s="74"/>
      <c r="E8" s="74"/>
      <c r="F8" s="74"/>
      <c r="I8" s="75" t="s">
        <v>50</v>
      </c>
      <c r="J8" s="75"/>
      <c r="K8" s="75"/>
    </row>
    <row r="9" spans="1:11" x14ac:dyDescent="0.25">
      <c r="A9" s="76" t="str">
        <f>[7]estimate!A7</f>
        <v>Location:- Shankharapur Municipality 1</v>
      </c>
      <c r="B9" s="76"/>
      <c r="C9" s="76"/>
      <c r="D9" s="76"/>
      <c r="E9" s="76"/>
      <c r="F9" s="76"/>
      <c r="I9" s="75" t="s">
        <v>58</v>
      </c>
      <c r="J9" s="75"/>
      <c r="K9" s="75"/>
    </row>
    <row r="11" spans="1:11" x14ac:dyDescent="0.25">
      <c r="A11" s="70" t="s">
        <v>51</v>
      </c>
      <c r="B11" s="70" t="s">
        <v>52</v>
      </c>
      <c r="C11" s="70" t="s">
        <v>12</v>
      </c>
      <c r="D11" s="71" t="s">
        <v>53</v>
      </c>
      <c r="E11" s="71"/>
      <c r="F11" s="71"/>
      <c r="G11" s="71" t="s">
        <v>54</v>
      </c>
      <c r="H11" s="71"/>
      <c r="I11" s="71"/>
      <c r="J11" s="70" t="s">
        <v>55</v>
      </c>
      <c r="K11" s="69" t="s">
        <v>56</v>
      </c>
    </row>
    <row r="12" spans="1:11" x14ac:dyDescent="0.25">
      <c r="A12" s="70"/>
      <c r="B12" s="70"/>
      <c r="C12" s="70"/>
      <c r="D12" s="41" t="s">
        <v>57</v>
      </c>
      <c r="E12" s="41" t="s">
        <v>13</v>
      </c>
      <c r="F12" s="41" t="s">
        <v>14</v>
      </c>
      <c r="G12" s="41" t="s">
        <v>57</v>
      </c>
      <c r="H12" s="41" t="s">
        <v>13</v>
      </c>
      <c r="I12" s="41" t="s">
        <v>14</v>
      </c>
      <c r="J12" s="70"/>
      <c r="K12" s="69"/>
    </row>
    <row r="13" spans="1:11" s="37" customFormat="1" ht="110.25" x14ac:dyDescent="0.25">
      <c r="A13" s="42">
        <f>estimate!A9</f>
        <v>1</v>
      </c>
      <c r="B13" s="43" t="str">
        <f>estimate!B9</f>
        <v>Earthwork Excavation in Cutting., Roadway Excavation in ordinary rock  by Manual Means ., Roadway Excavation  in ordinary rock as per Drawing and Technical specification, including all lift and lead  as per Drawing and instruction of the Engineer.</v>
      </c>
      <c r="C13" s="44" t="str">
        <f>estimate!H11</f>
        <v>m3</v>
      </c>
      <c r="D13" s="44">
        <f>estimate!G11</f>
        <v>6</v>
      </c>
      <c r="E13" s="44">
        <f>estimate!I11</f>
        <v>866.66</v>
      </c>
      <c r="F13" s="44">
        <f>D13*E13</f>
        <v>5199.96</v>
      </c>
      <c r="G13" s="44">
        <f>V!G11</f>
        <v>6</v>
      </c>
      <c r="H13" s="44">
        <f>V!I11</f>
        <v>866.66</v>
      </c>
      <c r="I13" s="44">
        <f>G13*H13</f>
        <v>5199.96</v>
      </c>
      <c r="J13" s="45">
        <f>I13-F13</f>
        <v>0</v>
      </c>
      <c r="K13" s="46"/>
    </row>
    <row r="14" spans="1:11" s="37" customFormat="1" x14ac:dyDescent="0.25">
      <c r="A14" s="48"/>
      <c r="B14" s="49"/>
      <c r="C14" s="44"/>
      <c r="D14" s="44"/>
      <c r="E14" s="44"/>
      <c r="F14" s="44"/>
      <c r="G14" s="44"/>
      <c r="H14" s="44"/>
      <c r="I14" s="44"/>
      <c r="J14" s="45"/>
      <c r="K14" s="46"/>
    </row>
    <row r="15" spans="1:11" s="37" customFormat="1" ht="189" x14ac:dyDescent="0.25">
      <c r="A15" s="42">
        <f>estimate!A13</f>
        <v>2</v>
      </c>
      <c r="B15" s="43" t="str">
        <f>estimate!B13</f>
        <v>Gabion Structure for Retaining Earth, Providing and laying Gabion structure for retaining earth with diaphragm including rolling, cutting, weaving, placing, laying sides and diaphragms with binding wire and filling boulders all complete as per drawing and technical specification Mesh wire- 10 Swg(0.0615 kg/m), Selvedge Wire 8 Swg ( 0.1057 kg/m), binding wire 12 Swg (0.0409 kg/m) Hexagonal mesh Type 100 mm X 120 mm,, Box size 1.0 X 1 X 1 m ( 6 sqm)</v>
      </c>
      <c r="C15" s="44" t="str">
        <f>estimate!H17</f>
        <v>m3</v>
      </c>
      <c r="D15" s="44">
        <f>estimate!G17</f>
        <v>23</v>
      </c>
      <c r="E15" s="44">
        <f>estimate!I17</f>
        <v>6421.62</v>
      </c>
      <c r="F15" s="44">
        <f>D15*E15</f>
        <v>147697.26</v>
      </c>
      <c r="G15" s="44">
        <f>V!G16</f>
        <v>23</v>
      </c>
      <c r="H15" s="44">
        <f>V!I16</f>
        <v>6421.62</v>
      </c>
      <c r="I15" s="44">
        <f>G15*H15</f>
        <v>147697.26</v>
      </c>
      <c r="J15" s="45">
        <f>I15-F15</f>
        <v>0</v>
      </c>
      <c r="K15" s="46"/>
    </row>
    <row r="16" spans="1:11" s="37" customFormat="1" ht="15.75" x14ac:dyDescent="0.25">
      <c r="A16" s="42"/>
      <c r="B16" s="47" t="str">
        <f>estimate!B18</f>
        <v>-13% VAT for stone</v>
      </c>
      <c r="C16" s="44"/>
      <c r="D16" s="44"/>
      <c r="E16" s="44"/>
      <c r="F16" s="44">
        <f>estimate!J18</f>
        <v>8122.5144</v>
      </c>
      <c r="G16" s="44"/>
      <c r="H16" s="44"/>
      <c r="I16" s="44">
        <f>V!J17</f>
        <v>8122.5144</v>
      </c>
      <c r="J16" s="45">
        <f>I16-F16</f>
        <v>0</v>
      </c>
      <c r="K16" s="46"/>
    </row>
    <row r="17" spans="1:13" s="37" customFormat="1" ht="15.75" x14ac:dyDescent="0.25">
      <c r="A17" s="42"/>
      <c r="B17" s="47" t="str">
        <f>estimate!B19</f>
        <v>-13% VAT for mesh wire</v>
      </c>
      <c r="C17" s="44"/>
      <c r="D17" s="44"/>
      <c r="E17" s="44"/>
      <c r="F17" s="44">
        <f>estimate!J19</f>
        <v>4831.1784625000009</v>
      </c>
      <c r="G17" s="44"/>
      <c r="H17" s="44"/>
      <c r="I17" s="44">
        <f>V!J18</f>
        <v>4831.1784625000009</v>
      </c>
      <c r="J17" s="45">
        <f t="shared" ref="J17:J19" si="0">I17-F17</f>
        <v>0</v>
      </c>
      <c r="K17" s="46"/>
    </row>
    <row r="18" spans="1:13" s="37" customFormat="1" ht="15.75" x14ac:dyDescent="0.25">
      <c r="A18" s="42"/>
      <c r="B18" s="47" t="str">
        <f>estimate!B20</f>
        <v>-13% VAT for selvedge wire</v>
      </c>
      <c r="C18" s="44"/>
      <c r="D18" s="44"/>
      <c r="E18" s="44"/>
      <c r="F18" s="44">
        <f>estimate!J20</f>
        <v>635.77864999999997</v>
      </c>
      <c r="G18" s="44"/>
      <c r="H18" s="44"/>
      <c r="I18" s="44">
        <f>V!J19</f>
        <v>635.77864999999997</v>
      </c>
      <c r="J18" s="45">
        <f t="shared" si="0"/>
        <v>0</v>
      </c>
      <c r="K18" s="46"/>
    </row>
    <row r="19" spans="1:13" s="37" customFormat="1" ht="15.75" x14ac:dyDescent="0.25">
      <c r="A19" s="42"/>
      <c r="B19" s="47" t="str">
        <f>estimate!B21</f>
        <v>-13% VAT for binding wire</v>
      </c>
      <c r="C19" s="44"/>
      <c r="D19" s="44"/>
      <c r="E19" s="44"/>
      <c r="F19" s="44">
        <f>estimate!J21</f>
        <v>255.346</v>
      </c>
      <c r="G19" s="44"/>
      <c r="H19" s="44"/>
      <c r="I19" s="44">
        <f>V!J20</f>
        <v>255.346</v>
      </c>
      <c r="J19" s="45">
        <f t="shared" si="0"/>
        <v>0</v>
      </c>
      <c r="K19" s="46"/>
    </row>
    <row r="20" spans="1:13" s="37" customFormat="1" x14ac:dyDescent="0.25">
      <c r="A20" s="48"/>
      <c r="B20" s="49"/>
      <c r="C20" s="44"/>
      <c r="D20" s="44"/>
      <c r="E20" s="44"/>
      <c r="F20" s="44"/>
      <c r="G20" s="44"/>
      <c r="H20" s="44"/>
      <c r="I20" s="44"/>
      <c r="J20" s="45"/>
      <c r="K20" s="46"/>
    </row>
    <row r="21" spans="1:13" s="37" customFormat="1" ht="78.75" x14ac:dyDescent="0.25">
      <c r="A21" s="42">
        <f>estimate!A23</f>
        <v>3</v>
      </c>
      <c r="B21" s="43" t="str">
        <f>estimate!B23</f>
        <v>Laying and fixing of Geo-Textile all complete as per specification., Providing  and laying of a geotextile filter between pitching and embankment slopes as per Drawing and Technical Specifications.</v>
      </c>
      <c r="C21" s="44" t="str">
        <f>estimate!H25</f>
        <v>m2</v>
      </c>
      <c r="D21" s="44">
        <f>estimate!G25</f>
        <v>12</v>
      </c>
      <c r="E21" s="44">
        <f>estimate!I25</f>
        <v>161.58000000000001</v>
      </c>
      <c r="F21" s="44">
        <f>D21*E21</f>
        <v>1938.96</v>
      </c>
      <c r="G21" s="44">
        <f>V!G24</f>
        <v>12</v>
      </c>
      <c r="H21" s="44">
        <f>V!I24</f>
        <v>161.58000000000001</v>
      </c>
      <c r="I21" s="44">
        <f>G21*H21</f>
        <v>1938.96</v>
      </c>
      <c r="J21" s="45">
        <f>I21-F21</f>
        <v>0</v>
      </c>
      <c r="K21" s="46"/>
    </row>
    <row r="22" spans="1:13" s="37" customFormat="1" ht="15.75" x14ac:dyDescent="0.25">
      <c r="A22" s="42"/>
      <c r="B22" s="47" t="str">
        <f>estimate!B26</f>
        <v>-13% VAT for stone</v>
      </c>
      <c r="C22" s="44"/>
      <c r="D22" s="44"/>
      <c r="E22" s="44"/>
      <c r="F22" s="44">
        <f>estimate!J26</f>
        <v>235.87200000000001</v>
      </c>
      <c r="G22" s="44"/>
      <c r="H22" s="44"/>
      <c r="I22" s="44">
        <f>V!J25</f>
        <v>235.87200000000001</v>
      </c>
      <c r="J22" s="45">
        <f>I22-F22</f>
        <v>0</v>
      </c>
      <c r="K22" s="46"/>
    </row>
    <row r="23" spans="1:13" s="37" customFormat="1" x14ac:dyDescent="0.25">
      <c r="A23" s="48"/>
      <c r="B23" s="49"/>
      <c r="C23" s="44"/>
      <c r="D23" s="44"/>
      <c r="E23" s="44"/>
      <c r="F23" s="44"/>
      <c r="G23" s="44"/>
      <c r="H23" s="44"/>
      <c r="I23" s="44"/>
      <c r="J23" s="45"/>
      <c r="K23" s="46"/>
      <c r="M23" s="50"/>
    </row>
    <row r="24" spans="1:13" s="37" customFormat="1" x14ac:dyDescent="0.25">
      <c r="A24" s="42">
        <f>estimate!A28</f>
        <v>4</v>
      </c>
      <c r="B24" s="51" t="str">
        <f>estimate!B28</f>
        <v>Information board (सुचना पाटि)</v>
      </c>
      <c r="C24" s="44" t="str">
        <f>estimate!H28</f>
        <v>no.</v>
      </c>
      <c r="D24" s="44">
        <f>estimate!G28</f>
        <v>1</v>
      </c>
      <c r="E24" s="44">
        <f>estimate!I28</f>
        <v>500</v>
      </c>
      <c r="F24" s="44">
        <f>D24*E24</f>
        <v>500</v>
      </c>
      <c r="G24" s="44">
        <f>V!G27</f>
        <v>1</v>
      </c>
      <c r="H24" s="44">
        <f>V!I27</f>
        <v>500</v>
      </c>
      <c r="I24" s="44">
        <f>G24*H24</f>
        <v>500</v>
      </c>
      <c r="J24" s="45">
        <f>I24-F24</f>
        <v>0</v>
      </c>
      <c r="K24" s="46"/>
    </row>
    <row r="25" spans="1:13" s="37" customFormat="1" x14ac:dyDescent="0.25">
      <c r="A25" s="49"/>
      <c r="B25" s="49"/>
      <c r="C25" s="44"/>
      <c r="D25" s="44"/>
      <c r="E25" s="44"/>
      <c r="F25" s="44"/>
      <c r="G25" s="44"/>
      <c r="H25" s="44"/>
      <c r="I25" s="44"/>
      <c r="J25" s="45"/>
      <c r="K25" s="46"/>
    </row>
    <row r="26" spans="1:13" x14ac:dyDescent="0.25">
      <c r="A26" s="52"/>
      <c r="B26" s="53" t="s">
        <v>21</v>
      </c>
      <c r="C26" s="53"/>
      <c r="D26" s="54"/>
      <c r="E26" s="54"/>
      <c r="F26" s="54">
        <f>SUM(F13:F24)</f>
        <v>169416.86951250001</v>
      </c>
      <c r="G26" s="54"/>
      <c r="H26" s="54"/>
      <c r="I26" s="54">
        <f>SUM(I13:I24)</f>
        <v>169416.86951250001</v>
      </c>
      <c r="J26" s="55">
        <f>I26-F26</f>
        <v>0</v>
      </c>
      <c r="K26" s="52"/>
    </row>
  </sheetData>
  <mergeCells count="20">
    <mergeCell ref="C6:D6"/>
    <mergeCell ref="J6:K6"/>
    <mergeCell ref="A1:K1"/>
    <mergeCell ref="A2:K2"/>
    <mergeCell ref="A3:K3"/>
    <mergeCell ref="A4:K4"/>
    <mergeCell ref="A5:K5"/>
    <mergeCell ref="F7:G7"/>
    <mergeCell ref="I7:K7"/>
    <mergeCell ref="A8:F8"/>
    <mergeCell ref="I8:K8"/>
    <mergeCell ref="A9:F9"/>
    <mergeCell ref="I9:K9"/>
    <mergeCell ref="K11:K12"/>
    <mergeCell ref="A11:A12"/>
    <mergeCell ref="B11:B12"/>
    <mergeCell ref="C11:C12"/>
    <mergeCell ref="D11:F11"/>
    <mergeCell ref="G11:I11"/>
    <mergeCell ref="J11:J12"/>
  </mergeCells>
  <printOptions horizontalCentered="1"/>
  <pageMargins left="0.7" right="0.7" top="0.75" bottom="0.75" header="0.3" footer="0.3"/>
  <pageSetup scale="80" orientation="landscape" horizontalDpi="300" verticalDpi="300" r:id="rId1"/>
  <headerFooter>
    <oddFooter xml:space="preserve">&amp;LPrepared By:
&amp;CChecked By:
&amp;RApproved By: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9C3D2-74A2-4D2F-9C80-4E81F12CF3D9}">
  <dimension ref="A1:V48"/>
  <sheetViews>
    <sheetView tabSelected="1" topLeftCell="A3" zoomScale="90" zoomScaleNormal="90" zoomScaleSheetLayoutView="95" workbookViewId="0">
      <selection activeCell="V9" sqref="V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hidden="1" customWidth="1"/>
    <col min="10" max="10" width="10.7109375" style="19" hidden="1" customWidth="1"/>
    <col min="11" max="12" width="9.140625" style="19"/>
    <col min="13" max="16" width="0" style="19" hidden="1" customWidth="1"/>
    <col min="17" max="16384" width="9.140625" style="19"/>
  </cols>
  <sheetData>
    <row r="1" spans="1:22" x14ac:dyDescent="0.25">
      <c r="A1" s="63" t="s">
        <v>0</v>
      </c>
      <c r="B1" s="63"/>
      <c r="C1" s="63"/>
      <c r="D1" s="63"/>
      <c r="E1" s="63"/>
      <c r="F1" s="63"/>
      <c r="G1" s="63"/>
      <c r="H1" s="63"/>
      <c r="I1" s="63"/>
      <c r="J1" s="63"/>
      <c r="K1" s="63"/>
    </row>
    <row r="2" spans="1:22" ht="22.5" x14ac:dyDescent="0.25">
      <c r="A2" s="64" t="s">
        <v>1</v>
      </c>
      <c r="B2" s="64"/>
      <c r="C2" s="64"/>
      <c r="D2" s="64"/>
      <c r="E2" s="64"/>
      <c r="F2" s="64"/>
      <c r="G2" s="64"/>
      <c r="H2" s="64"/>
      <c r="I2" s="64"/>
      <c r="J2" s="64"/>
      <c r="K2" s="64"/>
    </row>
    <row r="3" spans="1:22" x14ac:dyDescent="0.25">
      <c r="A3" s="65" t="s">
        <v>2</v>
      </c>
      <c r="B3" s="65"/>
      <c r="C3" s="65"/>
      <c r="D3" s="65"/>
      <c r="E3" s="65"/>
      <c r="F3" s="65"/>
      <c r="G3" s="65"/>
      <c r="H3" s="65"/>
      <c r="I3" s="65"/>
      <c r="J3" s="65"/>
      <c r="K3" s="65"/>
    </row>
    <row r="4" spans="1:22" x14ac:dyDescent="0.25">
      <c r="A4" s="65" t="s">
        <v>3</v>
      </c>
      <c r="B4" s="65"/>
      <c r="C4" s="65"/>
      <c r="D4" s="65"/>
      <c r="E4" s="65"/>
      <c r="F4" s="65"/>
      <c r="G4" s="65"/>
      <c r="H4" s="65"/>
      <c r="I4" s="65"/>
      <c r="J4" s="65"/>
      <c r="K4" s="65"/>
    </row>
    <row r="5" spans="1:22" ht="18.75" x14ac:dyDescent="0.3">
      <c r="A5" s="66" t="s">
        <v>59</v>
      </c>
      <c r="B5" s="66"/>
      <c r="C5" s="66"/>
      <c r="D5" s="66"/>
      <c r="E5" s="66"/>
      <c r="F5" s="66"/>
      <c r="G5" s="66"/>
      <c r="H5" s="66"/>
      <c r="I5" s="66"/>
      <c r="J5" s="66"/>
      <c r="K5" s="66"/>
    </row>
    <row r="6" spans="1:22" ht="15.75" x14ac:dyDescent="0.25">
      <c r="A6" s="67" t="s">
        <v>29</v>
      </c>
      <c r="B6" s="67"/>
      <c r="C6" s="67"/>
      <c r="D6" s="67"/>
      <c r="E6" s="67"/>
      <c r="F6" s="67"/>
      <c r="G6" s="10"/>
      <c r="H6" s="68" t="s">
        <v>26</v>
      </c>
      <c r="I6" s="68"/>
      <c r="J6" s="68"/>
      <c r="K6" s="68"/>
    </row>
    <row r="7" spans="1:22" ht="15.75" x14ac:dyDescent="0.25">
      <c r="A7" s="58" t="s">
        <v>41</v>
      </c>
      <c r="B7" s="58"/>
      <c r="C7" s="58"/>
      <c r="D7" s="58"/>
      <c r="E7" s="58"/>
      <c r="F7" s="58"/>
      <c r="G7" s="11"/>
      <c r="H7" s="59" t="s">
        <v>43</v>
      </c>
      <c r="I7" s="59"/>
      <c r="J7" s="59"/>
      <c r="K7" s="59"/>
    </row>
    <row r="8" spans="1:22" ht="15.75" x14ac:dyDescent="0.25">
      <c r="A8" s="12" t="s">
        <v>5</v>
      </c>
      <c r="B8" s="13" t="s">
        <v>6</v>
      </c>
      <c r="C8" s="12" t="s">
        <v>7</v>
      </c>
      <c r="D8" s="14" t="s">
        <v>8</v>
      </c>
      <c r="E8" s="14" t="s">
        <v>9</v>
      </c>
      <c r="F8" s="14" t="s">
        <v>10</v>
      </c>
      <c r="G8" s="14" t="s">
        <v>11</v>
      </c>
      <c r="H8" s="12" t="s">
        <v>12</v>
      </c>
      <c r="I8" s="14" t="s">
        <v>13</v>
      </c>
      <c r="J8" s="14" t="s">
        <v>14</v>
      </c>
      <c r="K8" s="15" t="s">
        <v>15</v>
      </c>
    </row>
    <row r="9" spans="1:22" ht="141.75" x14ac:dyDescent="0.25">
      <c r="A9" s="16">
        <v>1</v>
      </c>
      <c r="B9" s="35" t="s">
        <v>30</v>
      </c>
      <c r="C9" s="17"/>
      <c r="D9" s="17"/>
      <c r="E9" s="17"/>
      <c r="F9" s="17"/>
      <c r="G9" s="17"/>
      <c r="H9" s="17"/>
      <c r="I9" s="17"/>
      <c r="J9" s="17"/>
      <c r="K9" s="17"/>
    </row>
    <row r="10" spans="1:22" x14ac:dyDescent="0.25">
      <c r="A10" s="16"/>
      <c r="B10" s="32" t="s">
        <v>31</v>
      </c>
      <c r="C10" s="17">
        <v>1</v>
      </c>
      <c r="D10" s="33">
        <f>17/12/3.281</f>
        <v>0.43177892918825561</v>
      </c>
      <c r="E10" s="33">
        <f>39/12/3.281</f>
        <v>0.99055166107893933</v>
      </c>
      <c r="F10" s="33"/>
      <c r="G10" s="33">
        <f>PRODUCT(C10:F10)</f>
        <v>0.42769933552631234</v>
      </c>
      <c r="H10" s="17"/>
      <c r="I10" s="17"/>
      <c r="J10" s="17"/>
      <c r="K10" s="17"/>
      <c r="M10" s="33">
        <f>7</f>
        <v>7</v>
      </c>
      <c r="N10" s="33">
        <f>2</f>
        <v>2</v>
      </c>
      <c r="O10" s="33"/>
      <c r="P10" s="33">
        <f>PI()*M10*SQRT(M10^2+N10^2)</f>
        <v>160.09797821843054</v>
      </c>
      <c r="T10" s="19">
        <v>14</v>
      </c>
      <c r="U10" s="19">
        <f>24/12/3.281</f>
        <v>0.6095702529716549</v>
      </c>
      <c r="V10" s="19">
        <f>48/12/3.281</f>
        <v>1.2191405059433098</v>
      </c>
    </row>
    <row r="11" spans="1:22" x14ac:dyDescent="0.25">
      <c r="A11" s="16"/>
      <c r="B11" s="32"/>
      <c r="C11" s="17">
        <v>3</v>
      </c>
      <c r="D11" s="33">
        <f>17/12/3.281</f>
        <v>0.43177892918825561</v>
      </c>
      <c r="E11" s="33">
        <f>39/12/3.281</f>
        <v>0.99055166107893933</v>
      </c>
      <c r="F11" s="33"/>
      <c r="G11" s="33">
        <f t="shared" ref="G11:G20" si="0">PRODUCT(C11:F11)</f>
        <v>1.2830980065789368</v>
      </c>
      <c r="H11" s="17"/>
      <c r="I11" s="17"/>
      <c r="J11" s="17"/>
      <c r="K11" s="17"/>
      <c r="M11" s="83"/>
      <c r="N11" s="83"/>
      <c r="O11" s="83"/>
      <c r="P11" s="83"/>
    </row>
    <row r="12" spans="1:22" x14ac:dyDescent="0.25">
      <c r="A12" s="16"/>
      <c r="B12" s="32"/>
      <c r="C12" s="17">
        <v>1</v>
      </c>
      <c r="D12" s="33">
        <v>1.1319999999999999</v>
      </c>
      <c r="E12" s="33">
        <v>0.32500000000000001</v>
      </c>
      <c r="F12" s="33"/>
      <c r="G12" s="33">
        <f t="shared" si="0"/>
        <v>0.3679</v>
      </c>
      <c r="H12" s="17"/>
      <c r="I12" s="17"/>
      <c r="J12" s="17"/>
      <c r="K12" s="17"/>
      <c r="M12" s="83"/>
      <c r="N12" s="83"/>
      <c r="O12" s="83"/>
      <c r="P12" s="83"/>
    </row>
    <row r="13" spans="1:22" x14ac:dyDescent="0.25">
      <c r="A13" s="16"/>
      <c r="B13" s="32"/>
      <c r="C13" s="17">
        <v>1</v>
      </c>
      <c r="D13" s="33">
        <v>0.43</v>
      </c>
      <c r="E13" s="33">
        <v>0.98</v>
      </c>
      <c r="F13" s="33"/>
      <c r="G13" s="33">
        <f t="shared" si="0"/>
        <v>0.4214</v>
      </c>
      <c r="H13" s="17"/>
      <c r="I13" s="17"/>
      <c r="J13" s="17"/>
      <c r="K13" s="17"/>
      <c r="M13" s="83"/>
      <c r="N13" s="83"/>
      <c r="O13" s="83"/>
      <c r="P13" s="83"/>
      <c r="U13" s="19">
        <f>6.22*4500</f>
        <v>27990</v>
      </c>
    </row>
    <row r="14" spans="1:22" x14ac:dyDescent="0.25">
      <c r="A14" s="16"/>
      <c r="B14" s="32"/>
      <c r="C14" s="17">
        <v>1</v>
      </c>
      <c r="D14" s="33">
        <v>0.43</v>
      </c>
      <c r="E14" s="33">
        <v>0.98</v>
      </c>
      <c r="F14" s="33"/>
      <c r="G14" s="33">
        <f t="shared" si="0"/>
        <v>0.4214</v>
      </c>
      <c r="H14" s="17"/>
      <c r="I14" s="17"/>
      <c r="J14" s="17"/>
      <c r="K14" s="17"/>
      <c r="M14" s="83"/>
      <c r="N14" s="83"/>
      <c r="O14" s="83"/>
      <c r="P14" s="83"/>
    </row>
    <row r="15" spans="1:22" x14ac:dyDescent="0.25">
      <c r="A15" s="16"/>
      <c r="B15" s="32"/>
      <c r="C15" s="17">
        <v>1</v>
      </c>
      <c r="D15" s="33">
        <v>0.43</v>
      </c>
      <c r="E15" s="33">
        <v>0.98</v>
      </c>
      <c r="F15" s="33"/>
      <c r="G15" s="33">
        <f t="shared" si="0"/>
        <v>0.4214</v>
      </c>
      <c r="H15" s="17"/>
      <c r="I15" s="17"/>
      <c r="J15" s="17"/>
      <c r="K15" s="17"/>
      <c r="M15" s="83"/>
      <c r="N15" s="83"/>
      <c r="O15" s="83"/>
      <c r="P15" s="83"/>
      <c r="R15" s="19">
        <v>159.51</v>
      </c>
    </row>
    <row r="16" spans="1:22" x14ac:dyDescent="0.25">
      <c r="A16" s="16"/>
      <c r="B16" s="32"/>
      <c r="C16" s="17">
        <v>1</v>
      </c>
      <c r="D16" s="33">
        <v>0.44</v>
      </c>
      <c r="E16" s="33">
        <v>0.96499999999999997</v>
      </c>
      <c r="F16" s="33"/>
      <c r="G16" s="33">
        <f t="shared" si="0"/>
        <v>0.42459999999999998</v>
      </c>
      <c r="H16" s="17"/>
      <c r="I16" s="17"/>
      <c r="J16" s="17"/>
      <c r="K16" s="17"/>
      <c r="M16" s="83"/>
      <c r="N16" s="83"/>
      <c r="O16" s="83"/>
      <c r="P16" s="83"/>
      <c r="R16" s="19">
        <f>CONVERT(R15,"ft2","m2")</f>
        <v>14.818963910399997</v>
      </c>
    </row>
    <row r="17" spans="1:18" x14ac:dyDescent="0.25">
      <c r="A17" s="16"/>
      <c r="B17" s="32"/>
      <c r="C17" s="17">
        <v>1</v>
      </c>
      <c r="D17" s="33">
        <v>0.43</v>
      </c>
      <c r="E17" s="33">
        <v>0.3</v>
      </c>
      <c r="F17" s="33"/>
      <c r="G17" s="33">
        <f t="shared" si="0"/>
        <v>0.129</v>
      </c>
      <c r="H17" s="17"/>
      <c r="I17" s="17"/>
      <c r="J17" s="17"/>
      <c r="K17" s="17"/>
      <c r="M17" s="83"/>
      <c r="N17" s="83"/>
      <c r="O17" s="83"/>
      <c r="P17" s="83"/>
    </row>
    <row r="18" spans="1:18" x14ac:dyDescent="0.25">
      <c r="A18" s="16"/>
      <c r="B18" s="32"/>
      <c r="C18" s="17"/>
      <c r="D18" s="33"/>
      <c r="E18" s="33"/>
      <c r="F18" s="33"/>
      <c r="G18" s="33"/>
      <c r="H18" s="17"/>
      <c r="I18" s="17"/>
      <c r="J18" s="17"/>
      <c r="K18" s="17"/>
      <c r="M18" s="83"/>
      <c r="N18" s="83"/>
      <c r="O18" s="83"/>
      <c r="P18" s="83"/>
    </row>
    <row r="19" spans="1:18" x14ac:dyDescent="0.25">
      <c r="A19" s="16"/>
      <c r="B19" s="32"/>
      <c r="C19" s="17">
        <v>10</v>
      </c>
      <c r="D19" s="33">
        <f>16/12/3.281</f>
        <v>0.40638016864776993</v>
      </c>
      <c r="E19" s="33">
        <f>0.465</f>
        <v>0.46500000000000002</v>
      </c>
      <c r="F19" s="33"/>
      <c r="G19" s="33">
        <f t="shared" si="0"/>
        <v>1.8896677842121303</v>
      </c>
      <c r="H19" s="17"/>
      <c r="I19" s="17"/>
      <c r="J19" s="17"/>
      <c r="K19" s="17"/>
      <c r="M19" s="83"/>
      <c r="N19" s="83"/>
      <c r="O19" s="83"/>
      <c r="P19" s="83"/>
    </row>
    <row r="20" spans="1:18" x14ac:dyDescent="0.25">
      <c r="A20" s="16"/>
      <c r="B20" s="32"/>
      <c r="C20" s="17">
        <v>3</v>
      </c>
      <c r="D20" s="33">
        <v>1.1200000000000001</v>
      </c>
      <c r="E20" s="33">
        <v>0.32</v>
      </c>
      <c r="F20" s="33"/>
      <c r="G20" s="33">
        <f t="shared" si="0"/>
        <v>1.0752000000000002</v>
      </c>
      <c r="H20" s="17"/>
      <c r="I20" s="17"/>
      <c r="J20" s="17"/>
      <c r="K20" s="17"/>
      <c r="M20" s="83"/>
      <c r="N20" s="83"/>
      <c r="O20" s="83"/>
      <c r="P20" s="83"/>
    </row>
    <row r="21" spans="1:18" x14ac:dyDescent="0.25">
      <c r="A21" s="16"/>
      <c r="B21" s="32"/>
      <c r="C21" s="17"/>
      <c r="D21" s="33"/>
      <c r="E21" s="33"/>
      <c r="F21" s="33"/>
      <c r="G21" s="33"/>
      <c r="H21" s="17"/>
      <c r="I21" s="17"/>
      <c r="J21" s="17"/>
      <c r="K21" s="17"/>
      <c r="M21" s="83"/>
      <c r="N21" s="83"/>
      <c r="O21" s="83"/>
      <c r="P21" s="83"/>
    </row>
    <row r="22" spans="1:18" x14ac:dyDescent="0.25">
      <c r="A22" s="16"/>
      <c r="B22" s="32"/>
      <c r="C22" s="17"/>
      <c r="D22" s="33"/>
      <c r="E22" s="33"/>
      <c r="F22" s="33"/>
      <c r="G22" s="33"/>
      <c r="H22" s="17"/>
      <c r="I22" s="17"/>
      <c r="J22" s="17"/>
      <c r="K22" s="17"/>
      <c r="M22" s="83"/>
      <c r="N22" s="83"/>
      <c r="O22" s="83"/>
      <c r="P22" s="83"/>
    </row>
    <row r="23" spans="1:18" ht="15" customHeight="1" x14ac:dyDescent="0.25">
      <c r="A23" s="2"/>
      <c r="B23" s="34" t="s">
        <v>16</v>
      </c>
      <c r="C23" s="3"/>
      <c r="D23" s="4"/>
      <c r="E23" s="5"/>
      <c r="F23" s="5"/>
      <c r="G23" s="6">
        <f>SUM(G10:G20)</f>
        <v>6.8613651263173807</v>
      </c>
      <c r="H23" s="7" t="s">
        <v>17</v>
      </c>
      <c r="I23" s="6">
        <v>866.66</v>
      </c>
      <c r="J23" s="18">
        <f>G23*I23</f>
        <v>5946.4707003742205</v>
      </c>
      <c r="K23" s="5"/>
      <c r="R23" s="19">
        <f>CONVERT(G23,"m2","ft2")</f>
        <v>73.855119556016476</v>
      </c>
    </row>
    <row r="24" spans="1:18" x14ac:dyDescent="0.25">
      <c r="A24" s="16"/>
      <c r="B24" s="17"/>
      <c r="C24" s="17"/>
      <c r="D24" s="17"/>
      <c r="E24" s="17"/>
      <c r="F24" s="17"/>
      <c r="G24" s="17"/>
      <c r="H24" s="17"/>
      <c r="I24" s="17"/>
      <c r="J24" s="17"/>
      <c r="K24" s="17"/>
    </row>
    <row r="25" spans="1:18" ht="254.25" customHeight="1" x14ac:dyDescent="0.25">
      <c r="A25" s="16">
        <v>2</v>
      </c>
      <c r="B25" s="35" t="s">
        <v>32</v>
      </c>
      <c r="C25" s="17"/>
      <c r="D25" s="17"/>
      <c r="E25" s="17"/>
      <c r="F25" s="17"/>
      <c r="G25" s="17"/>
      <c r="H25" s="17"/>
      <c r="I25" s="17"/>
      <c r="J25" s="17"/>
      <c r="K25" s="17"/>
    </row>
    <row r="26" spans="1:18" x14ac:dyDescent="0.25">
      <c r="A26" s="16"/>
      <c r="B26" s="32" t="s">
        <v>33</v>
      </c>
      <c r="C26" s="17">
        <v>7</v>
      </c>
      <c r="D26" s="33">
        <v>3</v>
      </c>
      <c r="E26" s="33">
        <v>1</v>
      </c>
      <c r="F26" s="33">
        <v>1</v>
      </c>
      <c r="G26" s="33">
        <f>PRODUCT(C26:F26)</f>
        <v>21</v>
      </c>
      <c r="H26" s="17"/>
      <c r="I26" s="17"/>
      <c r="J26" s="17"/>
      <c r="K26" s="17"/>
      <c r="M26" s="33">
        <f>7</f>
        <v>7</v>
      </c>
      <c r="N26" s="33">
        <f>2</f>
        <v>2</v>
      </c>
      <c r="O26" s="33"/>
      <c r="P26" s="33">
        <f>PI()*M26*SQRT(M26^2+N26^2)</f>
        <v>160.09797821843054</v>
      </c>
    </row>
    <row r="27" spans="1:18" x14ac:dyDescent="0.25">
      <c r="A27" s="16"/>
      <c r="B27" s="32"/>
      <c r="C27" s="17">
        <v>1</v>
      </c>
      <c r="D27" s="33">
        <v>2</v>
      </c>
      <c r="E27" s="33">
        <v>1</v>
      </c>
      <c r="F27" s="33">
        <v>1</v>
      </c>
      <c r="G27" s="33">
        <f>PRODUCT(C27:F27)</f>
        <v>2</v>
      </c>
      <c r="H27" s="17"/>
      <c r="I27" s="17"/>
      <c r="J27" s="17"/>
      <c r="K27" s="17"/>
      <c r="M27" s="36"/>
      <c r="N27" s="36"/>
      <c r="O27" s="36"/>
      <c r="P27" s="36"/>
    </row>
    <row r="28" spans="1:18" ht="15" customHeight="1" x14ac:dyDescent="0.25">
      <c r="A28" s="2"/>
      <c r="B28" s="34" t="s">
        <v>16</v>
      </c>
      <c r="C28" s="3"/>
      <c r="D28" s="4"/>
      <c r="E28" s="5"/>
      <c r="F28" s="5"/>
      <c r="G28" s="6">
        <f>SUM(G26:G27)</f>
        <v>23</v>
      </c>
      <c r="H28" s="7" t="s">
        <v>17</v>
      </c>
      <c r="I28" s="6">
        <v>6421.62</v>
      </c>
      <c r="J28" s="18">
        <f>G28*I28</f>
        <v>147697.26</v>
      </c>
      <c r="K28" s="5"/>
    </row>
    <row r="29" spans="1:18" hidden="1" x14ac:dyDescent="0.25">
      <c r="A29" s="16"/>
      <c r="B29" s="32" t="s">
        <v>27</v>
      </c>
      <c r="C29" s="17"/>
      <c r="D29" s="17"/>
      <c r="E29" s="17"/>
      <c r="F29" s="17"/>
      <c r="G29" s="17"/>
      <c r="H29" s="17"/>
      <c r="I29" s="17"/>
      <c r="J29" s="18">
        <f>0.13*G28*(16299.36/6+16299.36/6+16299.36/6+16299.36/6)/4</f>
        <v>8122.5144</v>
      </c>
      <c r="K29" s="17"/>
    </row>
    <row r="30" spans="1:18" hidden="1" x14ac:dyDescent="0.25">
      <c r="A30" s="16"/>
      <c r="B30" s="32" t="s">
        <v>34</v>
      </c>
      <c r="C30" s="17"/>
      <c r="D30" s="17"/>
      <c r="E30" s="17"/>
      <c r="F30" s="17"/>
      <c r="G30" s="17"/>
      <c r="H30" s="17"/>
      <c r="I30" s="17"/>
      <c r="J30" s="18">
        <f>0.13*G28*(9055.8/6+9346.05/6+10191/6+10185.84/6)/4</f>
        <v>4831.1784625000009</v>
      </c>
      <c r="K30" s="17"/>
    </row>
    <row r="31" spans="1:18" hidden="1" x14ac:dyDescent="0.25">
      <c r="A31" s="16"/>
      <c r="B31" s="32" t="s">
        <v>35</v>
      </c>
      <c r="C31" s="17"/>
      <c r="D31" s="17"/>
      <c r="E31" s="17"/>
      <c r="F31" s="17"/>
      <c r="G31" s="17"/>
      <c r="H31" s="17"/>
      <c r="I31" s="17"/>
      <c r="J31" s="18">
        <f>0.13*G28*(1008.78/6+1145.52/6+1393.2/6+1555.74/6)/4</f>
        <v>635.77864999999997</v>
      </c>
      <c r="K31" s="17"/>
    </row>
    <row r="32" spans="1:18" hidden="1" x14ac:dyDescent="0.25">
      <c r="A32" s="16"/>
      <c r="B32" s="32" t="s">
        <v>36</v>
      </c>
      <c r="C32" s="17"/>
      <c r="D32" s="17"/>
      <c r="E32" s="17"/>
      <c r="F32" s="17"/>
      <c r="G32" s="17"/>
      <c r="H32" s="17"/>
      <c r="I32" s="17"/>
      <c r="J32" s="18">
        <f>0.13*G28*(434.4/6+468/6+600/6+547.2/6)/4</f>
        <v>255.346</v>
      </c>
      <c r="K32" s="17"/>
    </row>
    <row r="33" spans="1:17" x14ac:dyDescent="0.25">
      <c r="A33" s="16"/>
      <c r="B33" s="32"/>
      <c r="C33" s="17"/>
      <c r="D33" s="17"/>
      <c r="E33" s="17"/>
      <c r="F33" s="17"/>
      <c r="G33" s="17"/>
      <c r="H33" s="17"/>
      <c r="I33" s="17"/>
      <c r="J33" s="18"/>
      <c r="K33" s="17"/>
    </row>
    <row r="34" spans="1:17" ht="123" customHeight="1" x14ac:dyDescent="0.25">
      <c r="A34" s="16">
        <v>3</v>
      </c>
      <c r="B34" s="35" t="s">
        <v>37</v>
      </c>
      <c r="C34" s="17"/>
      <c r="D34" s="17"/>
      <c r="E34" s="17"/>
      <c r="F34" s="17"/>
      <c r="G34" s="17"/>
      <c r="H34" s="17"/>
      <c r="I34" s="17"/>
      <c r="J34" s="17"/>
      <c r="K34" s="17"/>
    </row>
    <row r="35" spans="1:17" x14ac:dyDescent="0.25">
      <c r="A35" s="16"/>
      <c r="B35" s="32" t="s">
        <v>38</v>
      </c>
      <c r="C35" s="17">
        <v>1</v>
      </c>
      <c r="D35" s="17">
        <v>6</v>
      </c>
      <c r="E35" s="17"/>
      <c r="F35" s="17">
        <v>2</v>
      </c>
      <c r="G35" s="33">
        <f>PRODUCT(C35:F35)</f>
        <v>12</v>
      </c>
      <c r="H35" s="17"/>
      <c r="I35" s="17"/>
      <c r="J35" s="18"/>
      <c r="K35" s="17"/>
    </row>
    <row r="36" spans="1:17" ht="15" customHeight="1" x14ac:dyDescent="0.25">
      <c r="A36" s="2"/>
      <c r="B36" s="34" t="s">
        <v>16</v>
      </c>
      <c r="C36" s="3"/>
      <c r="D36" s="4"/>
      <c r="E36" s="5"/>
      <c r="F36" s="5"/>
      <c r="G36" s="6">
        <f>SUM(G33:G35)</f>
        <v>12</v>
      </c>
      <c r="H36" s="7" t="s">
        <v>39</v>
      </c>
      <c r="I36" s="6">
        <v>161.58000000000001</v>
      </c>
      <c r="J36" s="18">
        <f>G36*I36</f>
        <v>1938.96</v>
      </c>
      <c r="K36" s="5"/>
    </row>
    <row r="37" spans="1:17" hidden="1" x14ac:dyDescent="0.25">
      <c r="A37" s="16"/>
      <c r="B37" s="32" t="s">
        <v>27</v>
      </c>
      <c r="C37" s="17"/>
      <c r="D37" s="17"/>
      <c r="E37" s="17"/>
      <c r="F37" s="17"/>
      <c r="G37" s="17"/>
      <c r="H37" s="17"/>
      <c r="I37" s="17"/>
      <c r="J37" s="18">
        <f>0.13*G36*45360/300</f>
        <v>235.87200000000001</v>
      </c>
      <c r="K37" s="17"/>
    </row>
    <row r="38" spans="1:17" x14ac:dyDescent="0.25">
      <c r="A38" s="16"/>
      <c r="B38" s="17"/>
      <c r="C38" s="17"/>
      <c r="D38" s="17"/>
      <c r="E38" s="17"/>
      <c r="F38" s="17"/>
      <c r="G38" s="17"/>
      <c r="H38" s="17"/>
      <c r="I38" s="17"/>
      <c r="J38" s="17"/>
      <c r="K38" s="17"/>
    </row>
    <row r="39" spans="1:17" ht="15" customHeight="1" x14ac:dyDescent="0.25">
      <c r="A39" s="2">
        <v>4</v>
      </c>
      <c r="B39" s="1" t="s">
        <v>18</v>
      </c>
      <c r="C39" s="3">
        <v>1</v>
      </c>
      <c r="D39" s="4"/>
      <c r="E39" s="5"/>
      <c r="F39" s="5"/>
      <c r="G39" s="7">
        <f t="shared" ref="G39" si="1">PRODUCT(C39:F39)</f>
        <v>1</v>
      </c>
      <c r="H39" s="7" t="s">
        <v>19</v>
      </c>
      <c r="I39" s="6">
        <v>500</v>
      </c>
      <c r="J39" s="7">
        <f>G39*I39</f>
        <v>500</v>
      </c>
      <c r="K39" s="5"/>
    </row>
    <row r="40" spans="1:17" x14ac:dyDescent="0.25">
      <c r="A40" s="2"/>
      <c r="B40" s="8"/>
      <c r="C40" s="3"/>
      <c r="D40" s="4"/>
      <c r="E40" s="5"/>
      <c r="F40" s="5"/>
      <c r="G40" s="6"/>
      <c r="H40" s="7"/>
      <c r="I40" s="6"/>
      <c r="J40" s="18"/>
      <c r="K40" s="5"/>
    </row>
    <row r="41" spans="1:17" x14ac:dyDescent="0.25">
      <c r="A41" s="21"/>
      <c r="B41" s="22" t="s">
        <v>21</v>
      </c>
      <c r="C41" s="23"/>
      <c r="D41" s="24"/>
      <c r="E41" s="24"/>
      <c r="F41" s="24"/>
      <c r="G41" s="18"/>
      <c r="H41" s="18"/>
      <c r="I41" s="18"/>
      <c r="J41" s="18">
        <f>SUM(J9:J39)</f>
        <v>170163.38021287421</v>
      </c>
      <c r="K41" s="25"/>
    </row>
    <row r="42" spans="1:17" x14ac:dyDescent="0.25">
      <c r="M42" s="20"/>
      <c r="N42" s="20"/>
      <c r="O42" s="20"/>
      <c r="P42" s="20"/>
      <c r="Q42" s="20"/>
    </row>
    <row r="43" spans="1:17" s="20" customFormat="1" hidden="1" x14ac:dyDescent="0.25">
      <c r="A43" s="26"/>
      <c r="B43" s="27" t="s">
        <v>44</v>
      </c>
      <c r="C43" s="56">
        <f>J41</f>
        <v>170163.38021287421</v>
      </c>
      <c r="D43" s="57"/>
      <c r="E43" s="9">
        <v>100</v>
      </c>
      <c r="F43" s="26"/>
      <c r="G43" s="28"/>
      <c r="H43" s="26"/>
      <c r="I43" s="29"/>
      <c r="J43" s="30"/>
      <c r="K43" s="31"/>
      <c r="M43" s="19"/>
      <c r="N43" s="19"/>
      <c r="O43" s="19"/>
      <c r="P43" s="19"/>
      <c r="Q43" s="19"/>
    </row>
    <row r="44" spans="1:17" hidden="1" x14ac:dyDescent="0.25">
      <c r="B44" s="27" t="s">
        <v>22</v>
      </c>
      <c r="C44" s="60">
        <v>150000</v>
      </c>
      <c r="D44" s="61"/>
      <c r="E44" s="9"/>
    </row>
    <row r="45" spans="1:17" hidden="1" x14ac:dyDescent="0.25">
      <c r="B45" s="27" t="s">
        <v>23</v>
      </c>
      <c r="C45" s="60">
        <f>C44-C47-C48</f>
        <v>142500</v>
      </c>
      <c r="D45" s="61"/>
      <c r="E45" s="9">
        <f>C45/C43*100</f>
        <v>83.743047312372767</v>
      </c>
    </row>
    <row r="46" spans="1:17" hidden="1" x14ac:dyDescent="0.25">
      <c r="B46" s="27" t="s">
        <v>28</v>
      </c>
      <c r="C46" s="62">
        <f>C43-C45</f>
        <v>27663.38021287421</v>
      </c>
      <c r="D46" s="62"/>
      <c r="E46" s="9">
        <f>100-E45</f>
        <v>16.256952687627233</v>
      </c>
    </row>
    <row r="47" spans="1:17" hidden="1" x14ac:dyDescent="0.25">
      <c r="B47" s="27" t="s">
        <v>24</v>
      </c>
      <c r="C47" s="56">
        <f>C44*0.03</f>
        <v>4500</v>
      </c>
      <c r="D47" s="57"/>
      <c r="E47" s="9">
        <v>3</v>
      </c>
    </row>
    <row r="48" spans="1:17" hidden="1" x14ac:dyDescent="0.25">
      <c r="B48" s="27" t="s">
        <v>25</v>
      </c>
      <c r="C48" s="56">
        <f>C44*0.02</f>
        <v>3000</v>
      </c>
      <c r="D48" s="57"/>
      <c r="E48" s="9">
        <v>2</v>
      </c>
    </row>
  </sheetData>
  <mergeCells count="15">
    <mergeCell ref="A6:F6"/>
    <mergeCell ref="H6:K6"/>
    <mergeCell ref="A1:K1"/>
    <mergeCell ref="A2:K2"/>
    <mergeCell ref="A3:K3"/>
    <mergeCell ref="A4:K4"/>
    <mergeCell ref="A5:K5"/>
    <mergeCell ref="C47:D47"/>
    <mergeCell ref="C48:D48"/>
    <mergeCell ref="A7:F7"/>
    <mergeCell ref="H7:K7"/>
    <mergeCell ref="C43:D43"/>
    <mergeCell ref="C44:D44"/>
    <mergeCell ref="C45:D45"/>
    <mergeCell ref="C46:D4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4"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estimate</vt:lpstr>
      <vt:lpstr>V</vt:lpstr>
      <vt:lpstr>WCR</vt:lpstr>
      <vt:lpstr>M</vt:lpstr>
      <vt:lpstr>estimate!Print_Area</vt:lpstr>
      <vt:lpstr>M!Print_Area</vt:lpstr>
      <vt:lpstr>V!Print_Area</vt:lpstr>
      <vt:lpstr>WCR!Print_Area</vt:lpstr>
      <vt:lpstr>estimate!Print_Titles</vt:lpstr>
      <vt:lpstr>M!Print_Titles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2026-07-02T09:52:35Z</dcterms:modified>
</cp:coreProperties>
</file>