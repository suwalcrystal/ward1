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124226"/>
  <xr:revisionPtr revIDLastSave="0" documentId="13_ncr:1_{E97708FA-8A0D-4758-8756-702C4687E443}" xr6:coauthVersionLast="47" xr6:coauthVersionMax="47" xr10:uidLastSave="{00000000-0000-0000-0000-000000000000}"/>
  <bookViews>
    <workbookView xWindow="-120" yWindow="-120" windowWidth="20730" windowHeight="11040" xr2:uid="{00000000-000D-0000-FFFF-FFFF00000000}"/>
  </bookViews>
  <sheets>
    <sheet name="estimate" sheetId="12"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49">[2]Abstract!$B$24</definedName>
    <definedName name="description_261">[3]Abstract!$B$33</definedName>
    <definedName name="description_262">[1]Abstract!$B$34</definedName>
    <definedName name="description_276">[2]Abstract!$B$40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[2]Abstract!$B$300</definedName>
    <definedName name="_xlnm.Print_Area" localSheetId="0">estimate!$A$1:$K$30</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0" i="12" l="1"/>
  <c r="M10" i="12"/>
  <c r="G10" i="12" l="1"/>
  <c r="P10" i="12"/>
  <c r="C29" i="12"/>
  <c r="G11" i="12" l="1"/>
  <c r="N15" i="12"/>
  <c r="M15" i="12"/>
  <c r="J12" i="12" l="1"/>
  <c r="J11" i="12"/>
  <c r="P15" i="12"/>
  <c r="G15" i="12"/>
  <c r="G16" i="12" s="1"/>
  <c r="J19" i="12" l="1"/>
  <c r="J17" i="12"/>
  <c r="J18" i="12"/>
  <c r="J16" i="12"/>
  <c r="J23" i="12" l="1"/>
  <c r="C30" i="12"/>
  <c r="C27" i="12" s="1"/>
  <c r="G21" i="12"/>
  <c r="J21" i="12" s="1"/>
  <c r="C25" i="12" l="1"/>
  <c r="C28" i="12" s="1"/>
  <c r="E27" i="12" l="1"/>
  <c r="E28" i="12" s="1"/>
</calcChain>
</file>

<file path=xl/sharedStrings.xml><?xml version="1.0" encoding="utf-8"?>
<sst xmlns="http://schemas.openxmlformats.org/spreadsheetml/2006/main" count="41" uniqueCount="38">
  <si>
    <t>Government of Nepal</t>
  </si>
  <si>
    <t>Shankharapur Municipality Office</t>
  </si>
  <si>
    <t>Bagmati Province</t>
  </si>
  <si>
    <t>Sankhu, Kathmandu</t>
  </si>
  <si>
    <t>Detail Estimated Sheet</t>
  </si>
  <si>
    <t>Location:- Shankharapur Municipality 9</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</si>
  <si>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</si>
  <si>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</si>
  <si>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</si>
  <si>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</si>
  <si>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</si>
  <si>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</si>
  <si>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</si>
  <si>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</si>
  <si>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</si>
  <si>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</si>
  <si>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</si>
  <si>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</si>
  <si>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</si>
  <si>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</si>
  <si>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</si>
  <si>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</si>
  <si>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</si>
  <si>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 xml:space="preserve">Date:                </t>
  </si>
  <si>
    <t>Budget allocated</t>
  </si>
  <si>
    <t>Municipal payment</t>
  </si>
  <si>
    <t xml:space="preserve">Contingencies </t>
  </si>
  <si>
    <t xml:space="preserve">Maintanince </t>
  </si>
  <si>
    <t>F.Y.: 2082/2083</t>
  </si>
  <si>
    <t>-13% VAT for cement</t>
  </si>
  <si>
    <t>-13% VAT for sand</t>
  </si>
  <si>
    <t>User contribution</t>
  </si>
  <si>
    <t>-for hume pipe laying</t>
  </si>
  <si>
    <t>-13% VAT for NP3 RCC Pipe 900mm dia</t>
  </si>
  <si>
    <t>Project:-ह्युम पाइप बिछ्याउने कार्य</t>
  </si>
  <si>
    <t>Providing and Laying Reinforced cement concrete NP3 Flush jointed pipe for culverts including fixing with cement mortar 1:2 as per Drawing and Technical Specifications., 450 mm  internal dia.</t>
  </si>
  <si>
    <t>Earthwork Excavation in Cutting., Roadway Excavation in all types of Soil by Mechanical  Means ., Road way Excavation in  all types of soil as per Drawing and technical specifications  including  removal of stumps and other deleterious matter and backfilling, all lifts and lead as per Drawing and instruction of the Engineer.</t>
  </si>
  <si>
    <t>-13% VAT for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</si>
</sst>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3"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ont>
    <font>
      <sz val="10"/>
      <name val="Arial"/>
      <family val="2"/>
    </font>
    <font>
      <sz val="12"/>
      <color theme="1"/>
      <name val="Times New Roman"/>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1">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0" fontId="4" fillId="0" borderId="2" xfId="0" quotePrefix="1" applyFont="1" applyBorder="1" applyAlignment="1">
      <alignment horizontal="right" vertical="center" wrapText="1"/>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1" fontId="4" fillId="0" borderId="2" xfId="0" applyNumberFormat="1" applyFont="1" applyBorder="1"/>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rate%20analysis/For%20all%20Road-rate%20analysis%2082%2083%20shankharapur.xlsx" TargetMode="External"/><Relationship Id="rId2" Type="http://schemas.openxmlformats.org/officeDocument/2006/relationships/externalLinkPath" Target="file:///G:\2082_2083\rate%20analysis\For%20all%20Road-rate%20analysis%2082%2083%20shankharapur.xlsx" TargetMode="External"/><Relationship Id="rId1" Type="http://schemas.openxmlformats.org/officeDocument/2006/relationships/externalLinkPath" Target="/2082_2083/rate%20analysis/For%20all%20Road-rate%20analysis%2082%2083%20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24">
          <cell r="B24" t="str">
            <v>Providing and Laying Reinforced cement concrete NP3 Flush jointed pipe for culverts including fixing with cement mortar 1:2 as per Drawing and Technical Specifications., 900 mm  internal dia.</v>
          </cell>
        </row>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0"/>
  <sheetViews>
    <sheetView tabSelected="1" view="pageBreakPreview" topLeftCell="A15" zoomScale="95" zoomScaleNormal="90" zoomScaleSheetLayoutView="95" workbookViewId="0">
      <selection activeCell="E11" sqref="E11"/>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bestFit="1" customWidth="1"/>
    <col min="10" max="10" width="10.7109375" style="19" bestFit="1" customWidth="1"/>
    <col min="11" max="12" width="9.140625" style="19"/>
    <col min="13" max="16" width="0" style="19" hidden="1" customWidth="1"/>
    <col min="17" max="16384" width="9.140625" style="19"/>
  </cols>
  <sheetData>
    <row r="1" spans="1:16" x14ac:dyDescent="0.25">
      <c r="A1" s="46" t="s">
        <v>0</v>
      </c>
      <c r="B1" s="46"/>
      <c r="C1" s="46"/>
      <c r="D1" s="46"/>
      <c r="E1" s="46"/>
      <c r="F1" s="46"/>
      <c r="G1" s="46"/>
      <c r="H1" s="46"/>
      <c r="I1" s="46"/>
      <c r="J1" s="46"/>
      <c r="K1" s="46"/>
    </row>
    <row r="2" spans="1:16" ht="22.5" x14ac:dyDescent="0.25">
      <c r="A2" s="47" t="s">
        <v>1</v>
      </c>
      <c r="B2" s="47"/>
      <c r="C2" s="47"/>
      <c r="D2" s="47"/>
      <c r="E2" s="47"/>
      <c r="F2" s="47"/>
      <c r="G2" s="47"/>
      <c r="H2" s="47"/>
      <c r="I2" s="47"/>
      <c r="J2" s="47"/>
      <c r="K2" s="47"/>
    </row>
    <row r="3" spans="1:16" x14ac:dyDescent="0.25">
      <c r="A3" s="48" t="s">
        <v>2</v>
      </c>
      <c r="B3" s="48"/>
      <c r="C3" s="48"/>
      <c r="D3" s="48"/>
      <c r="E3" s="48"/>
      <c r="F3" s="48"/>
      <c r="G3" s="48"/>
      <c r="H3" s="48"/>
      <c r="I3" s="48"/>
      <c r="J3" s="48"/>
      <c r="K3" s="48"/>
    </row>
    <row r="4" spans="1:16" x14ac:dyDescent="0.25">
      <c r="A4" s="48" t="s">
        <v>3</v>
      </c>
      <c r="B4" s="48"/>
      <c r="C4" s="48"/>
      <c r="D4" s="48"/>
      <c r="E4" s="48"/>
      <c r="F4" s="48"/>
      <c r="G4" s="48"/>
      <c r="H4" s="48"/>
      <c r="I4" s="48"/>
      <c r="J4" s="48"/>
      <c r="K4" s="48"/>
    </row>
    <row r="5" spans="1:16" ht="18.75" x14ac:dyDescent="0.3">
      <c r="A5" s="49" t="s">
        <v>4</v>
      </c>
      <c r="B5" s="49"/>
      <c r="C5" s="49"/>
      <c r="D5" s="49"/>
      <c r="E5" s="49"/>
      <c r="F5" s="49"/>
      <c r="G5" s="49"/>
      <c r="H5" s="49"/>
      <c r="I5" s="49"/>
      <c r="J5" s="49"/>
      <c r="K5" s="49"/>
    </row>
    <row r="6" spans="1:16" ht="15.75" x14ac:dyDescent="0.25">
      <c r="A6" s="44" t="s">
        <v>34</v>
      </c>
      <c r="B6" s="44"/>
      <c r="C6" s="44"/>
      <c r="D6" s="44"/>
      <c r="E6" s="44"/>
      <c r="F6" s="44"/>
      <c r="G6" s="10"/>
      <c r="H6" s="45" t="s">
        <v>28</v>
      </c>
      <c r="I6" s="45"/>
      <c r="J6" s="45"/>
      <c r="K6" s="45"/>
    </row>
    <row r="7" spans="1:16" ht="15.75" x14ac:dyDescent="0.25">
      <c r="A7" s="39" t="s">
        <v>5</v>
      </c>
      <c r="B7" s="39"/>
      <c r="C7" s="39"/>
      <c r="D7" s="39"/>
      <c r="E7" s="39"/>
      <c r="F7" s="39"/>
      <c r="G7" s="11"/>
      <c r="H7" s="40" t="s">
        <v>23</v>
      </c>
      <c r="I7" s="40"/>
      <c r="J7" s="40"/>
      <c r="K7" s="40"/>
    </row>
    <row r="8" spans="1:16" ht="15.75" x14ac:dyDescent="0.25">
      <c r="A8" s="12" t="s">
        <v>6</v>
      </c>
      <c r="B8" s="13" t="s">
        <v>7</v>
      </c>
      <c r="C8" s="12" t="s">
        <v>8</v>
      </c>
      <c r="D8" s="14" t="s">
        <v>9</v>
      </c>
      <c r="E8" s="14" t="s">
        <v>10</v>
      </c>
      <c r="F8" s="14" t="s">
        <v>11</v>
      </c>
      <c r="G8" s="14" t="s">
        <v>12</v>
      </c>
      <c r="H8" s="12" t="s">
        <v>13</v>
      </c>
      <c r="I8" s="14" t="s">
        <v>14</v>
      </c>
      <c r="J8" s="14" t="s">
        <v>15</v>
      </c>
      <c r="K8" s="15" t="s">
        <v>16</v>
      </c>
    </row>
    <row r="9" spans="1:16" ht="188.25" customHeight="1" x14ac:dyDescent="0.25">
      <c r="A9" s="16">
        <v>1</v>
      </c>
      <c r="B9" s="35" t="s">
        <v>36</v>
      </c>
      <c r="C9" s="17"/>
      <c r="D9" s="17"/>
      <c r="E9" s="17"/>
      <c r="F9" s="17"/>
      <c r="G9" s="17"/>
      <c r="H9" s="17"/>
      <c r="I9" s="17"/>
      <c r="J9" s="17"/>
      <c r="K9" s="17"/>
    </row>
    <row r="10" spans="1:16" x14ac:dyDescent="0.25">
      <c r="A10" s="16"/>
      <c r="B10" s="32" t="s">
        <v>32</v>
      </c>
      <c r="C10" s="50">
        <v>5</v>
      </c>
      <c r="D10" s="33">
        <v>2.5</v>
      </c>
      <c r="E10" s="33">
        <v>0.6</v>
      </c>
      <c r="F10" s="33">
        <v>0.6</v>
      </c>
      <c r="G10" s="33">
        <f>PRODUCT(C10:F10)</f>
        <v>4.5</v>
      </c>
      <c r="H10" s="17"/>
      <c r="I10" s="17"/>
      <c r="J10" s="17"/>
      <c r="K10" s="17"/>
      <c r="M10" s="33">
        <f>7</f>
        <v>7</v>
      </c>
      <c r="N10" s="33">
        <f>2</f>
        <v>2</v>
      </c>
      <c r="O10" s="33"/>
      <c r="P10" s="33">
        <f>PI()*M10*SQRT(M10^2+N10^2)</f>
        <v>160.09797821843054</v>
      </c>
    </row>
    <row r="11" spans="1:16" ht="15" customHeight="1" x14ac:dyDescent="0.25">
      <c r="A11" s="2"/>
      <c r="B11" s="34" t="s">
        <v>17</v>
      </c>
      <c r="C11" s="3"/>
      <c r="D11" s="4"/>
      <c r="E11" s="5"/>
      <c r="F11" s="5"/>
      <c r="G11" s="6">
        <f>SUM(G10:G10)</f>
        <v>4.5</v>
      </c>
      <c r="H11" s="7" t="s">
        <v>18</v>
      </c>
      <c r="I11" s="6">
        <v>62.95</v>
      </c>
      <c r="J11" s="18">
        <f>G11*I11</f>
        <v>283.27500000000003</v>
      </c>
      <c r="K11" s="5"/>
    </row>
    <row r="12" spans="1:16" x14ac:dyDescent="0.25">
      <c r="A12" s="16"/>
      <c r="B12" s="32" t="s">
        <v>37</v>
      </c>
      <c r="C12" s="17"/>
      <c r="D12" s="17"/>
      <c r="E12" s="17"/>
      <c r="F12" s="17"/>
      <c r="G12" s="17"/>
      <c r="H12" s="17"/>
      <c r="I12" s="17"/>
      <c r="J12" s="18">
        <f>0.13*G11*(18612)/360</f>
        <v>30.244499999999995</v>
      </c>
      <c r="K12" s="17"/>
    </row>
    <row r="13" spans="1:16" x14ac:dyDescent="0.25">
      <c r="A13" s="16"/>
      <c r="B13" s="32"/>
      <c r="C13" s="17"/>
      <c r="D13" s="17"/>
      <c r="E13" s="17"/>
      <c r="F13" s="17"/>
      <c r="G13" s="17"/>
      <c r="H13" s="17"/>
      <c r="I13" s="17"/>
      <c r="J13" s="18"/>
      <c r="K13" s="17"/>
    </row>
    <row r="14" spans="1:16" ht="110.25" x14ac:dyDescent="0.25">
      <c r="A14" s="16">
        <v>2</v>
      </c>
      <c r="B14" s="35" t="s">
        <v>35</v>
      </c>
      <c r="C14" s="17"/>
      <c r="D14" s="17"/>
      <c r="E14" s="17"/>
      <c r="F14" s="17"/>
      <c r="G14" s="17"/>
      <c r="H14" s="17"/>
      <c r="I14" s="17"/>
      <c r="J14" s="17"/>
      <c r="K14" s="17"/>
    </row>
    <row r="15" spans="1:16" x14ac:dyDescent="0.25">
      <c r="A15" s="16"/>
      <c r="B15" s="32" t="s">
        <v>32</v>
      </c>
      <c r="C15" s="17">
        <v>5</v>
      </c>
      <c r="D15" s="33">
        <v>2.5</v>
      </c>
      <c r="E15" s="33"/>
      <c r="F15" s="33"/>
      <c r="G15" s="33">
        <f>PRODUCT(C15:F15)</f>
        <v>12.5</v>
      </c>
      <c r="H15" s="17"/>
      <c r="I15" s="17"/>
      <c r="J15" s="17"/>
      <c r="K15" s="17"/>
      <c r="M15" s="33">
        <f>7</f>
        <v>7</v>
      </c>
      <c r="N15" s="33">
        <f>2</f>
        <v>2</v>
      </c>
      <c r="O15" s="33"/>
      <c r="P15" s="33">
        <f>PI()*M15*SQRT(M15^2+N15^2)</f>
        <v>160.09797821843054</v>
      </c>
    </row>
    <row r="16" spans="1:16" ht="15" customHeight="1" x14ac:dyDescent="0.25">
      <c r="A16" s="2"/>
      <c r="B16" s="34" t="s">
        <v>17</v>
      </c>
      <c r="C16" s="3"/>
      <c r="D16" s="4"/>
      <c r="E16" s="5"/>
      <c r="F16" s="5"/>
      <c r="G16" s="6">
        <f>SUM(G15:G15)</f>
        <v>12.5</v>
      </c>
      <c r="H16" s="7" t="s">
        <v>18</v>
      </c>
      <c r="I16" s="6">
        <v>5610.18</v>
      </c>
      <c r="J16" s="18">
        <f>G16*I16</f>
        <v>70127.25</v>
      </c>
      <c r="K16" s="5"/>
    </row>
    <row r="17" spans="1:19" x14ac:dyDescent="0.25">
      <c r="A17" s="16"/>
      <c r="B17" s="32" t="s">
        <v>29</v>
      </c>
      <c r="C17" s="17"/>
      <c r="D17" s="17"/>
      <c r="E17" s="17"/>
      <c r="F17" s="17"/>
      <c r="G17" s="17"/>
      <c r="H17" s="17"/>
      <c r="I17" s="17"/>
      <c r="J17" s="18">
        <f>0.13*G16*(912.17)/12.5</f>
        <v>118.5821</v>
      </c>
      <c r="K17" s="17"/>
    </row>
    <row r="18" spans="1:19" x14ac:dyDescent="0.25">
      <c r="A18" s="16"/>
      <c r="B18" s="32" t="s">
        <v>30</v>
      </c>
      <c r="C18" s="17"/>
      <c r="D18" s="17"/>
      <c r="E18" s="17"/>
      <c r="F18" s="17"/>
      <c r="G18" s="17"/>
      <c r="H18" s="17"/>
      <c r="I18" s="17"/>
      <c r="J18" s="18">
        <f>0.13*G16*(279.4176)/12.5</f>
        <v>36.324287999999996</v>
      </c>
      <c r="K18" s="17"/>
    </row>
    <row r="19" spans="1:19" s="20" customFormat="1" ht="30" x14ac:dyDescent="0.25">
      <c r="A19" s="16"/>
      <c r="B19" s="36" t="s">
        <v>33</v>
      </c>
      <c r="C19" s="27"/>
      <c r="D19" s="27"/>
      <c r="E19" s="27"/>
      <c r="F19" s="27"/>
      <c r="G19" s="27"/>
      <c r="H19" s="27"/>
      <c r="I19" s="27"/>
      <c r="J19" s="7">
        <f>0.13*G16*(56250)/12.5</f>
        <v>7312.5</v>
      </c>
      <c r="K19" s="27"/>
    </row>
    <row r="20" spans="1:19" x14ac:dyDescent="0.25">
      <c r="A20" s="16"/>
      <c r="B20" s="17"/>
      <c r="C20" s="17"/>
      <c r="D20" s="17"/>
      <c r="E20" s="17"/>
      <c r="F20" s="17"/>
      <c r="G20" s="17"/>
      <c r="H20" s="17"/>
      <c r="I20" s="17"/>
      <c r="J20" s="17"/>
      <c r="K20" s="17"/>
    </row>
    <row r="21" spans="1:19" ht="15" customHeight="1" x14ac:dyDescent="0.25">
      <c r="A21" s="2">
        <v>3</v>
      </c>
      <c r="B21" s="1" t="s">
        <v>19</v>
      </c>
      <c r="C21" s="3">
        <v>1</v>
      </c>
      <c r="D21" s="4"/>
      <c r="E21" s="5"/>
      <c r="F21" s="5"/>
      <c r="G21" s="7">
        <f t="shared" ref="G21" si="0">PRODUCT(C21:F21)</f>
        <v>1</v>
      </c>
      <c r="H21" s="7" t="s">
        <v>20</v>
      </c>
      <c r="I21" s="6">
        <v>500</v>
      </c>
      <c r="J21" s="7">
        <f>G21*I21</f>
        <v>500</v>
      </c>
      <c r="K21" s="5"/>
    </row>
    <row r="22" spans="1:19" x14ac:dyDescent="0.25">
      <c r="A22" s="2"/>
      <c r="B22" s="8"/>
      <c r="C22" s="3"/>
      <c r="D22" s="4"/>
      <c r="E22" s="5"/>
      <c r="F22" s="5"/>
      <c r="G22" s="6"/>
      <c r="H22" s="7"/>
      <c r="I22" s="6"/>
      <c r="J22" s="18"/>
      <c r="K22" s="5"/>
    </row>
    <row r="23" spans="1:19" x14ac:dyDescent="0.25">
      <c r="A23" s="21"/>
      <c r="B23" s="22" t="s">
        <v>22</v>
      </c>
      <c r="C23" s="23"/>
      <c r="D23" s="24"/>
      <c r="E23" s="24"/>
      <c r="F23" s="24"/>
      <c r="G23" s="18"/>
      <c r="H23" s="18"/>
      <c r="I23" s="18"/>
      <c r="J23" s="18">
        <f>SUM(J11:J21)</f>
        <v>78408.175887999998</v>
      </c>
      <c r="K23" s="25"/>
    </row>
    <row r="24" spans="1:19" x14ac:dyDescent="0.25">
      <c r="M24" s="20"/>
      <c r="N24" s="20"/>
      <c r="O24" s="20"/>
      <c r="P24" s="20"/>
      <c r="Q24" s="20"/>
      <c r="R24" s="20"/>
      <c r="S24" s="20"/>
    </row>
    <row r="25" spans="1:19" s="20" customFormat="1" x14ac:dyDescent="0.25">
      <c r="A25" s="26"/>
      <c r="B25" s="27" t="s">
        <v>21</v>
      </c>
      <c r="C25" s="37">
        <f>J23</f>
        <v>78408.175887999998</v>
      </c>
      <c r="D25" s="38"/>
      <c r="E25" s="9">
        <v>100</v>
      </c>
      <c r="F25" s="26"/>
      <c r="G25" s="28"/>
      <c r="H25" s="26"/>
      <c r="I25" s="29"/>
      <c r="J25" s="30"/>
      <c r="K25" s="31"/>
      <c r="M25" s="19"/>
      <c r="N25" s="19"/>
      <c r="O25" s="19"/>
      <c r="P25" s="19"/>
      <c r="Q25" s="19"/>
      <c r="R25" s="19"/>
      <c r="S25" s="19"/>
    </row>
    <row r="26" spans="1:19" x14ac:dyDescent="0.25">
      <c r="B26" s="27" t="s">
        <v>24</v>
      </c>
      <c r="C26" s="41">
        <v>60000</v>
      </c>
      <c r="D26" s="42"/>
      <c r="E26" s="9"/>
    </row>
    <row r="27" spans="1:19" x14ac:dyDescent="0.25">
      <c r="B27" s="27" t="s">
        <v>25</v>
      </c>
      <c r="C27" s="41">
        <f>C26-C29-C30</f>
        <v>57000</v>
      </c>
      <c r="D27" s="42"/>
      <c r="E27" s="9">
        <f>C27/C25*100</f>
        <v>72.696500530021353</v>
      </c>
    </row>
    <row r="28" spans="1:19" x14ac:dyDescent="0.25">
      <c r="B28" s="27" t="s">
        <v>31</v>
      </c>
      <c r="C28" s="43">
        <f>C25-C27</f>
        <v>21408.175887999998</v>
      </c>
      <c r="D28" s="43"/>
      <c r="E28" s="9">
        <f>100-E27</f>
        <v>27.303499469978647</v>
      </c>
    </row>
    <row r="29" spans="1:19" x14ac:dyDescent="0.25">
      <c r="B29" s="27" t="s">
        <v>26</v>
      </c>
      <c r="C29" s="37">
        <f>C26*0.03</f>
        <v>1800</v>
      </c>
      <c r="D29" s="38"/>
      <c r="E29" s="9">
        <v>3</v>
      </c>
    </row>
    <row r="30" spans="1:19" x14ac:dyDescent="0.25">
      <c r="B30" s="27" t="s">
        <v>27</v>
      </c>
      <c r="C30" s="37">
        <f>C26*0.02</f>
        <v>1200</v>
      </c>
      <c r="D30" s="38"/>
      <c r="E30" s="9">
        <v>2</v>
      </c>
    </row>
  </sheetData>
  <mergeCells count="15">
    <mergeCell ref="A6:F6"/>
    <mergeCell ref="H6:K6"/>
    <mergeCell ref="A1:K1"/>
    <mergeCell ref="A2:K2"/>
    <mergeCell ref="A3:K3"/>
    <mergeCell ref="A4:K4"/>
    <mergeCell ref="A5:K5"/>
    <mergeCell ref="C29:D29"/>
    <mergeCell ref="C30:D30"/>
    <mergeCell ref="A7:F7"/>
    <mergeCell ref="H7:K7"/>
    <mergeCell ref="C25:D25"/>
    <mergeCell ref="C26:D26"/>
    <mergeCell ref="C27:D27"/>
    <mergeCell ref="C28:D28"/>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2026-06-10T04:41:36Z</dcterms:modified>
</cp:coreProperties>
</file>