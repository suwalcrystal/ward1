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082_083\ward1\बजेट माग estimate\Swasthya chauki\"/>
    </mc:Choice>
  </mc:AlternateContent>
  <bookViews>
    <workbookView xWindow="0" yWindow="0" windowWidth="11520" windowHeight="8400" activeTab="2"/>
  </bookViews>
  <sheets>
    <sheet name="ESTIMATE" sheetId="25" r:id="rId1"/>
    <sheet name="WCR" sheetId="27" r:id="rId2"/>
    <sheet name="me" sheetId="29" r:id="rId3"/>
    <sheet name="Sheet1" sheetId="30" r:id="rId4"/>
  </sheets>
  <externalReferences>
    <externalReference r:id="rId5"/>
    <externalReference r:id="rId6"/>
  </externalReferences>
  <definedNames>
    <definedName name="_xlnm.Print_Area" localSheetId="0">ESTIMATE!$A$1:$L$71</definedName>
    <definedName name="_xlnm.Print_Area" localSheetId="2">me!$A$1:$L$108</definedName>
    <definedName name="_xlnm.Print_Titles" localSheetId="0">ESTIMATE!$1:$8</definedName>
    <definedName name="_xlnm.Print_Titles" localSheetId="2">me!$1:$8</definedName>
    <definedName name="_xlnm.Print_Titles" localSheetId="1">WCR!$1:$11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7" i="29" l="1"/>
  <c r="H42" i="29"/>
  <c r="G41" i="29"/>
  <c r="H41" i="29" s="1"/>
  <c r="E41" i="29"/>
  <c r="D41" i="29"/>
  <c r="H56" i="29"/>
  <c r="G56" i="29"/>
  <c r="F56" i="29"/>
  <c r="E56" i="29"/>
  <c r="G55" i="29"/>
  <c r="G54" i="29"/>
  <c r="E55" i="29"/>
  <c r="G53" i="29"/>
  <c r="F53" i="29"/>
  <c r="H53" i="29" s="1"/>
  <c r="E53" i="29"/>
  <c r="F48" i="29"/>
  <c r="H48" i="29" s="1"/>
  <c r="E48" i="29"/>
  <c r="H47" i="29"/>
  <c r="H46" i="29"/>
  <c r="G47" i="29"/>
  <c r="G46" i="29"/>
  <c r="E47" i="29"/>
  <c r="E46" i="29"/>
  <c r="J42" i="29"/>
  <c r="G39" i="29"/>
  <c r="G40" i="29"/>
  <c r="D39" i="29"/>
  <c r="E40" i="29"/>
  <c r="E39" i="29"/>
  <c r="D40" i="29" s="1"/>
  <c r="G36" i="29"/>
  <c r="E36" i="29"/>
  <c r="E37" i="29"/>
  <c r="E35" i="29"/>
  <c r="G35" i="29"/>
  <c r="G38" i="29"/>
  <c r="G37" i="29"/>
  <c r="E38" i="29"/>
  <c r="G33" i="29"/>
  <c r="E34" i="29"/>
  <c r="E33" i="29"/>
  <c r="C26" i="29"/>
  <c r="J23" i="29"/>
  <c r="D7" i="30"/>
  <c r="D6" i="30"/>
  <c r="G6" i="30" s="1"/>
  <c r="G4" i="30"/>
  <c r="G7" i="30"/>
  <c r="G5" i="30"/>
  <c r="H49" i="29" l="1"/>
  <c r="H39" i="29"/>
  <c r="H40" i="29"/>
  <c r="H37" i="29"/>
  <c r="H38" i="29"/>
  <c r="H36" i="29"/>
  <c r="H35" i="29"/>
  <c r="H7" i="30"/>
  <c r="H5" i="30"/>
  <c r="H8" i="30" s="1"/>
  <c r="D22" i="29"/>
  <c r="D26" i="29" s="1"/>
  <c r="E14" i="29"/>
  <c r="E22" i="29" s="1"/>
  <c r="E26" i="29" s="1"/>
  <c r="E18" i="29"/>
  <c r="D18" i="29"/>
  <c r="K50" i="29" l="1"/>
  <c r="K49" i="29"/>
  <c r="H9" i="30"/>
  <c r="H10" i="30" s="1"/>
  <c r="B10" i="30" s="1"/>
  <c r="D10" i="30" s="1"/>
  <c r="H14" i="29"/>
  <c r="F10" i="29" l="1"/>
  <c r="K116" i="29"/>
  <c r="K115" i="29"/>
  <c r="K113" i="29"/>
  <c r="K107" i="29"/>
  <c r="N105" i="29"/>
  <c r="N106" i="29" s="1"/>
  <c r="J104" i="29"/>
  <c r="J100" i="29"/>
  <c r="F100" i="29"/>
  <c r="F102" i="29" s="1"/>
  <c r="E100" i="29"/>
  <c r="E102" i="29" s="1"/>
  <c r="E104" i="29" s="1"/>
  <c r="H104" i="29" s="1"/>
  <c r="K94" i="29"/>
  <c r="K95" i="29" s="1"/>
  <c r="H91" i="29"/>
  <c r="K91" i="29" s="1"/>
  <c r="K92" i="29" s="1"/>
  <c r="J87" i="29"/>
  <c r="D86" i="29"/>
  <c r="D85" i="29"/>
  <c r="D84" i="29"/>
  <c r="J80" i="29"/>
  <c r="D79" i="29"/>
  <c r="D78" i="29"/>
  <c r="J73" i="29"/>
  <c r="J57" i="29"/>
  <c r="G86" i="29"/>
  <c r="G79" i="29" s="1"/>
  <c r="G85" i="29"/>
  <c r="G78" i="29" s="1"/>
  <c r="G34" i="29"/>
  <c r="H34" i="29" s="1"/>
  <c r="J68" i="29"/>
  <c r="E67" i="29"/>
  <c r="H67" i="29" s="1"/>
  <c r="E12" i="29"/>
  <c r="H12" i="29" s="1"/>
  <c r="H100" i="29" l="1"/>
  <c r="K100" i="29" s="1"/>
  <c r="F18" i="29"/>
  <c r="E13" i="29"/>
  <c r="H13" i="29" s="1"/>
  <c r="H15" i="29" s="1"/>
  <c r="K15" i="29" s="1"/>
  <c r="H10" i="29"/>
  <c r="K10" i="29" s="1"/>
  <c r="K105" i="29"/>
  <c r="K104" i="29"/>
  <c r="H102" i="29"/>
  <c r="E65" i="29"/>
  <c r="K68" i="25"/>
  <c r="J67" i="25"/>
  <c r="F63" i="25"/>
  <c r="F65" i="25" s="1"/>
  <c r="E63" i="25"/>
  <c r="E65" i="25" s="1"/>
  <c r="E67" i="25" s="1"/>
  <c r="H67" i="25" s="1"/>
  <c r="J63" i="25"/>
  <c r="H18" i="29" l="1"/>
  <c r="H19" i="29" s="1"/>
  <c r="K19" i="29" s="1"/>
  <c r="F22" i="29"/>
  <c r="E66" i="29"/>
  <c r="K103" i="29"/>
  <c r="K102" i="29"/>
  <c r="H65" i="29"/>
  <c r="E78" i="29"/>
  <c r="H78" i="29" s="1"/>
  <c r="E54" i="29"/>
  <c r="K67" i="25"/>
  <c r="H65" i="25"/>
  <c r="H63" i="25"/>
  <c r="K63" i="25" s="1"/>
  <c r="H22" i="29" l="1"/>
  <c r="H23" i="29" s="1"/>
  <c r="F26" i="29"/>
  <c r="H26" i="29" s="1"/>
  <c r="H27" i="29" s="1"/>
  <c r="H33" i="29"/>
  <c r="K43" i="29" s="1"/>
  <c r="E79" i="29"/>
  <c r="H79" i="29" s="1"/>
  <c r="H80" i="29" s="1"/>
  <c r="H66" i="29"/>
  <c r="H68" i="29" s="1"/>
  <c r="E73" i="29"/>
  <c r="E84" i="29"/>
  <c r="E85" i="29"/>
  <c r="H85" i="29" s="1"/>
  <c r="H54" i="29"/>
  <c r="K65" i="25"/>
  <c r="K66" i="25"/>
  <c r="K30" i="29" l="1"/>
  <c r="K29" i="29"/>
  <c r="K28" i="29"/>
  <c r="K27" i="29"/>
  <c r="K70" i="29"/>
  <c r="K69" i="29"/>
  <c r="K71" i="29"/>
  <c r="K68" i="29"/>
  <c r="K82" i="29"/>
  <c r="K80" i="29"/>
  <c r="K81" i="29"/>
  <c r="H55" i="29"/>
  <c r="E86" i="29"/>
  <c r="H86" i="29" s="1"/>
  <c r="G84" i="29"/>
  <c r="H84" i="29" s="1"/>
  <c r="H87" i="29" s="1"/>
  <c r="F73" i="29"/>
  <c r="H73" i="29" s="1"/>
  <c r="K73" i="29" s="1"/>
  <c r="K42" i="29"/>
  <c r="N68" i="25"/>
  <c r="N69" i="25" s="1"/>
  <c r="K58" i="29" l="1"/>
  <c r="K74" i="29"/>
  <c r="K88" i="29"/>
  <c r="K87" i="29"/>
  <c r="K76" i="29"/>
  <c r="K75" i="29"/>
  <c r="H10" i="25"/>
  <c r="J10" i="25"/>
  <c r="K10" i="25" s="1"/>
  <c r="E18" i="25"/>
  <c r="H18" i="25" s="1"/>
  <c r="K57" i="25"/>
  <c r="K58" i="25" s="1"/>
  <c r="J26" i="25"/>
  <c r="G25" i="25"/>
  <c r="G24" i="25"/>
  <c r="D48" i="25"/>
  <c r="D49" i="25"/>
  <c r="D47" i="25"/>
  <c r="J50" i="25"/>
  <c r="J43" i="25"/>
  <c r="D42" i="25"/>
  <c r="D41" i="25"/>
  <c r="J36" i="25"/>
  <c r="G30" i="25"/>
  <c r="G49" i="25" s="1"/>
  <c r="G42" i="25" s="1"/>
  <c r="G29" i="25"/>
  <c r="G48" i="25" s="1"/>
  <c r="G41" i="25" s="1"/>
  <c r="J31" i="25"/>
  <c r="J19" i="25"/>
  <c r="J14" i="25"/>
  <c r="E13" i="25"/>
  <c r="H13" i="25" s="1"/>
  <c r="E12" i="25"/>
  <c r="H12" i="25" s="1"/>
  <c r="K59" i="29" l="1"/>
  <c r="K57" i="29"/>
  <c r="K60" i="29"/>
  <c r="E16" i="25"/>
  <c r="E17" i="25"/>
  <c r="E25" i="25" s="1"/>
  <c r="D24" i="25" s="1"/>
  <c r="H14" i="25"/>
  <c r="K14" i="25" s="1"/>
  <c r="E41" i="25" l="1"/>
  <c r="H41" i="25" s="1"/>
  <c r="E24" i="25"/>
  <c r="D25" i="25" s="1"/>
  <c r="H25" i="25" s="1"/>
  <c r="E30" i="25"/>
  <c r="E42" i="25"/>
  <c r="H42" i="25" s="1"/>
  <c r="E28" i="25"/>
  <c r="E29" i="25"/>
  <c r="E48" i="25" s="1"/>
  <c r="H48" i="25" s="1"/>
  <c r="H17" i="25"/>
  <c r="F28" i="25"/>
  <c r="H43" i="25" l="1"/>
  <c r="K45" i="25" s="1"/>
  <c r="K44" i="25"/>
  <c r="H24" i="25"/>
  <c r="H26" i="25" s="1"/>
  <c r="K26" i="25" s="1"/>
  <c r="K27" i="25" s="1"/>
  <c r="H30" i="25"/>
  <c r="E49" i="25"/>
  <c r="H49" i="25" s="1"/>
  <c r="F36" i="25"/>
  <c r="G47" i="25"/>
  <c r="E36" i="25"/>
  <c r="E47" i="25"/>
  <c r="H47" i="25" l="1"/>
  <c r="H50" i="25" s="1"/>
  <c r="K50" i="25" l="1"/>
  <c r="K51" i="25"/>
  <c r="B8" i="27" l="1"/>
  <c r="G12" i="27" l="1"/>
  <c r="G14" i="27"/>
  <c r="G16" i="27"/>
  <c r="G19" i="27"/>
  <c r="G22" i="27"/>
  <c r="G27" i="27"/>
  <c r="G32" i="27"/>
  <c r="G35" i="27"/>
  <c r="G39" i="27"/>
  <c r="G41" i="27"/>
  <c r="G44" i="27"/>
  <c r="G47" i="27"/>
  <c r="G50" i="27"/>
  <c r="F50" i="27"/>
  <c r="I50" i="27" s="1"/>
  <c r="F47" i="27"/>
  <c r="D12" i="27"/>
  <c r="D14" i="27"/>
  <c r="D16" i="27"/>
  <c r="D19" i="27"/>
  <c r="D22" i="27"/>
  <c r="D27" i="27"/>
  <c r="D32" i="27"/>
  <c r="D35" i="27"/>
  <c r="D39" i="27"/>
  <c r="D41" i="27"/>
  <c r="D44" i="27"/>
  <c r="D47" i="27"/>
  <c r="C47" i="27"/>
  <c r="I47" i="27" l="1"/>
  <c r="H50" i="27"/>
  <c r="F41" i="27"/>
  <c r="F19" i="27"/>
  <c r="H14" i="27" l="1"/>
  <c r="F14" i="27"/>
  <c r="H39" i="27"/>
  <c r="F39" i="27"/>
  <c r="H48" i="27"/>
  <c r="H47" i="27"/>
  <c r="H12" i="27"/>
  <c r="F12" i="27"/>
  <c r="F32" i="27"/>
  <c r="H44" i="27"/>
  <c r="F44" i="27"/>
  <c r="F27" i="27"/>
  <c r="H45" i="27"/>
  <c r="H20" i="27"/>
  <c r="H19" i="27"/>
  <c r="H41" i="27"/>
  <c r="H42" i="27"/>
  <c r="H29" i="27"/>
  <c r="F16" i="27"/>
  <c r="K79" i="25"/>
  <c r="K78" i="25"/>
  <c r="K76" i="25"/>
  <c r="K70" i="25"/>
  <c r="H54" i="25"/>
  <c r="H36" i="25"/>
  <c r="H29" i="25"/>
  <c r="K36" i="25" l="1"/>
  <c r="K37" i="25"/>
  <c r="K39" i="25"/>
  <c r="K38" i="25"/>
  <c r="C19" i="27"/>
  <c r="I19" i="27" s="1"/>
  <c r="E42" i="27"/>
  <c r="C41" i="27"/>
  <c r="I41" i="27" s="1"/>
  <c r="H30" i="27"/>
  <c r="H27" i="27"/>
  <c r="E14" i="27"/>
  <c r="C14" i="27"/>
  <c r="I14" i="27" s="1"/>
  <c r="H28" i="27"/>
  <c r="K54" i="25"/>
  <c r="C39" i="27"/>
  <c r="I39" i="27" s="1"/>
  <c r="E12" i="27"/>
  <c r="C12" i="27"/>
  <c r="I12" i="27" s="1"/>
  <c r="E45" i="27"/>
  <c r="C44" i="27"/>
  <c r="I44" i="27" s="1"/>
  <c r="E48" i="27"/>
  <c r="E47" i="27"/>
  <c r="H37" i="27"/>
  <c r="F35" i="27"/>
  <c r="H24" i="27"/>
  <c r="F22" i="27"/>
  <c r="H23" i="27"/>
  <c r="H25" i="27"/>
  <c r="H22" i="27"/>
  <c r="H35" i="27"/>
  <c r="H36" i="27"/>
  <c r="H17" i="27"/>
  <c r="H16" i="27"/>
  <c r="H32" i="27"/>
  <c r="H33" i="27"/>
  <c r="E44" i="27"/>
  <c r="E16" i="27"/>
  <c r="H28" i="25"/>
  <c r="H31" i="25" s="1"/>
  <c r="E37" i="27"/>
  <c r="C32" i="27"/>
  <c r="I32" i="27" s="1"/>
  <c r="E19" i="27"/>
  <c r="H16" i="25"/>
  <c r="H19" i="25" s="1"/>
  <c r="E41" i="27"/>
  <c r="E39" i="27" l="1"/>
  <c r="K55" i="25"/>
  <c r="K33" i="25"/>
  <c r="E29" i="27" s="1"/>
  <c r="K32" i="25"/>
  <c r="E28" i="27" s="1"/>
  <c r="K34" i="25"/>
  <c r="E30" i="27" s="1"/>
  <c r="E20" i="27"/>
  <c r="E36" i="27"/>
  <c r="C35" i="27"/>
  <c r="I35" i="27" s="1"/>
  <c r="C27" i="27"/>
  <c r="I27" i="27" s="1"/>
  <c r="E17" i="27"/>
  <c r="C16" i="27"/>
  <c r="I16" i="27" s="1"/>
  <c r="H51" i="27"/>
  <c r="I6" i="27" s="1"/>
  <c r="K31" i="25"/>
  <c r="E27" i="27" s="1"/>
  <c r="K43" i="25"/>
  <c r="E35" i="27" s="1"/>
  <c r="E33" i="27"/>
  <c r="E32" i="27"/>
  <c r="C22" i="27" l="1"/>
  <c r="I22" i="27" s="1"/>
  <c r="K21" i="25"/>
  <c r="E24" i="27" s="1"/>
  <c r="K20" i="25"/>
  <c r="K22" i="25"/>
  <c r="E25" i="27" s="1"/>
  <c r="K19" i="25"/>
  <c r="K71" i="25" l="1"/>
  <c r="K74" i="25" s="1"/>
  <c r="K77" i="25" s="1"/>
  <c r="L77" i="25" s="1"/>
  <c r="E22" i="27"/>
  <c r="E51" i="27" s="1"/>
  <c r="C6" i="27" s="1"/>
  <c r="E23" i="27"/>
  <c r="L76" i="25" l="1"/>
  <c r="K23" i="29"/>
  <c r="K108" i="29" s="1"/>
  <c r="K111" i="29" s="1"/>
  <c r="L113" i="29" l="1"/>
  <c r="K114" i="29"/>
  <c r="L114" i="29" s="1"/>
</calcChain>
</file>

<file path=xl/comments1.xml><?xml version="1.0" encoding="utf-8"?>
<comments xmlns="http://schemas.openxmlformats.org/spreadsheetml/2006/main">
  <authors>
    <author>DELL</author>
  </authors>
  <commentList>
    <comment ref="F10" authorId="0" shapeId="0">
      <text>
        <r>
          <rPr>
            <b/>
            <sz val="10"/>
            <color indexed="81"/>
            <rFont val="Tahoma"/>
            <charset val="1"/>
          </rPr>
          <t>DELL:</t>
        </r>
        <r>
          <rPr>
            <sz val="10"/>
            <color indexed="81"/>
            <rFont val="Tahoma"/>
            <charset val="1"/>
          </rPr>
          <t xml:space="preserve">
need to verify</t>
        </r>
      </text>
    </comment>
    <comment ref="G10" authorId="0" shapeId="0">
      <text>
        <r>
          <rPr>
            <b/>
            <sz val="10"/>
            <color indexed="81"/>
            <rFont val="Tahoma"/>
            <charset val="1"/>
          </rPr>
          <t>DELL:</t>
        </r>
        <r>
          <rPr>
            <sz val="10"/>
            <color indexed="81"/>
            <rFont val="Tahoma"/>
            <charset val="1"/>
          </rPr>
          <t xml:space="preserve">
need to verify</t>
        </r>
      </text>
    </comment>
  </commentList>
</comments>
</file>

<file path=xl/sharedStrings.xml><?xml version="1.0" encoding="utf-8"?>
<sst xmlns="http://schemas.openxmlformats.org/spreadsheetml/2006/main" count="266" uniqueCount="146">
  <si>
    <t>S.N.</t>
  </si>
  <si>
    <t>Description of work</t>
  </si>
  <si>
    <t>No.</t>
  </si>
  <si>
    <t>Length</t>
  </si>
  <si>
    <t>Breadth</t>
  </si>
  <si>
    <t>Height</t>
  </si>
  <si>
    <t>Quantity</t>
  </si>
  <si>
    <t>Unit</t>
  </si>
  <si>
    <t>Rate</t>
  </si>
  <si>
    <t>Amount</t>
  </si>
  <si>
    <t>Remarks</t>
  </si>
  <si>
    <t>Government of Nepal</t>
  </si>
  <si>
    <t>Description</t>
  </si>
  <si>
    <t>Total Estimated</t>
  </si>
  <si>
    <t>Budget Allocated</t>
  </si>
  <si>
    <t>User Contribution</t>
  </si>
  <si>
    <t>Shankharapur Municipality</t>
  </si>
  <si>
    <t>Shankhu, Kathmandu</t>
  </si>
  <si>
    <t>kg</t>
  </si>
  <si>
    <t>Municipal Payment</t>
  </si>
  <si>
    <t>Maintenance 2%</t>
  </si>
  <si>
    <t>Contingencies 3%</t>
  </si>
  <si>
    <t>Detail Estimate Sheet</t>
  </si>
  <si>
    <t>sqm</t>
  </si>
  <si>
    <t>cum</t>
  </si>
  <si>
    <t>RCC works 1:1.5:3 ratio in water collection chamber with all work complete</t>
  </si>
  <si>
    <t>3mm punning all complete work</t>
  </si>
  <si>
    <t xml:space="preserve">Project:- </t>
  </si>
  <si>
    <t>Location:- Shankharapur Municipality- 1</t>
  </si>
  <si>
    <t>vat on cement</t>
  </si>
  <si>
    <t xml:space="preserve">vat on sand </t>
  </si>
  <si>
    <t>vat on aggregate</t>
  </si>
  <si>
    <t xml:space="preserve"> </t>
  </si>
  <si>
    <t>Information Board</t>
  </si>
  <si>
    <t>no.</t>
  </si>
  <si>
    <t>cu.m.</t>
  </si>
  <si>
    <t>stone soling</t>
  </si>
  <si>
    <t>vat on stone</t>
  </si>
  <si>
    <t>vat on brick</t>
  </si>
  <si>
    <t>plastering work</t>
  </si>
  <si>
    <t>sq.m.</t>
  </si>
  <si>
    <t xml:space="preserve">tap and fittings </t>
  </si>
  <si>
    <t xml:space="preserve">Dry Stone  Masonry work </t>
  </si>
  <si>
    <t>Dismantle the rcc work on the base of water tank</t>
  </si>
  <si>
    <t xml:space="preserve">Earthwork in excavaiton </t>
  </si>
  <si>
    <t>Iron frame for barbed wire</t>
  </si>
  <si>
    <t xml:space="preserve">Barbed wire </t>
  </si>
  <si>
    <t>Roof top PVC Water Tank</t>
  </si>
  <si>
    <t>vat on pvc water tank</t>
  </si>
  <si>
    <t xml:space="preserve">Brick  Masonry work in 1:6 </t>
  </si>
  <si>
    <t>Vat on iron frame</t>
  </si>
  <si>
    <t>vat on barbed wire</t>
  </si>
  <si>
    <t>Shankharapur Municipality Office</t>
  </si>
  <si>
    <t>Sankhu, Kathmandu</t>
  </si>
  <si>
    <t>Work Completion Report</t>
  </si>
  <si>
    <t xml:space="preserve">Total Estimated Amount: </t>
  </si>
  <si>
    <t>Total Valuated Amount :</t>
  </si>
  <si>
    <t>Project:</t>
  </si>
  <si>
    <t>Fiscal Year:079/80</t>
  </si>
  <si>
    <t>Location:Shankharapur-1</t>
  </si>
  <si>
    <t>S.No.</t>
  </si>
  <si>
    <t>Estimated</t>
  </si>
  <si>
    <t>Valuated</t>
  </si>
  <si>
    <t>Difference</t>
  </si>
  <si>
    <t xml:space="preserve">Quantity </t>
  </si>
  <si>
    <t>Amount (Rs)</t>
  </si>
  <si>
    <t>Amount(Rs)</t>
  </si>
  <si>
    <t>Total</t>
  </si>
  <si>
    <t>Date:2079/12/21</t>
  </si>
  <si>
    <t>F.Y.:-2080/081</t>
  </si>
  <si>
    <t>Date: 2080/05/21</t>
  </si>
  <si>
    <t xml:space="preserve">Amount </t>
  </si>
  <si>
    <t>Percent</t>
  </si>
  <si>
    <t>cf/=l;=l;= jf cf/=lj=l;= sfd eTsfO{ !) dL= k/ x6fpg] sfd</t>
  </si>
  <si>
    <t>l;d]G6 jf jh| Knfi6/ eTsfO{ !) dL= k/ x6fpg] sfd</t>
  </si>
  <si>
    <t>e'O{+tNnfdf lrDgL e§fsf] O{+6fsf] uf/f] l;d]G6 d;nf -!M$_ df</t>
  </si>
  <si>
    <r>
      <t>;'k/ :6«Sr/, 8]s :n]a ljdx?df l;d]G6 s+lqm6 ug]{ sfd -!M!</t>
    </r>
    <r>
      <rPr>
        <sz val="15"/>
        <rFont val="Arial"/>
        <family val="2"/>
      </rPr>
      <t>.</t>
    </r>
    <r>
      <rPr>
        <sz val="15"/>
        <rFont val="Preeti"/>
      </rPr>
      <t>%M#_</t>
    </r>
  </si>
  <si>
    <t xml:space="preserve">l;d]G6 s+qmL6 ˆnf]l/Ë -!M@M$_ -#* dL=dL=_ </t>
  </si>
  <si>
    <t>!@=% dL=dL= l;d]G6 afn'jf -!M$_ Knfi6/</t>
  </si>
  <si>
    <t># dL=dL= df]6fO{ d;Lgf] l;d]G6 3f]6\g] sfd</t>
  </si>
  <si>
    <t xml:space="preserve">cf/=;L=;L= nflu !) ld=ld= kmnfd] 808L sf6\g], df]8\g] #) dL6/ ;Dd </t>
  </si>
  <si>
    <t>vat on material</t>
  </si>
  <si>
    <t>vat on machine</t>
  </si>
  <si>
    <t>page 175</t>
  </si>
  <si>
    <t>1 HP water pump (mono block</t>
  </si>
  <si>
    <t xml:space="preserve">    </t>
  </si>
  <si>
    <t>page 196</t>
  </si>
  <si>
    <t>square frame medium duty 24"X24</t>
  </si>
  <si>
    <t>vat for material</t>
  </si>
  <si>
    <t>Information Board  and photographs</t>
  </si>
  <si>
    <t>sq.m</t>
  </si>
  <si>
    <t>m</t>
  </si>
  <si>
    <r>
      <t>5fgfdf</t>
    </r>
    <r>
      <rPr>
        <sz val="9"/>
        <rFont val="Preeti"/>
      </rPr>
      <t xml:space="preserve"> </t>
    </r>
    <r>
      <rPr>
        <sz val="9"/>
        <rFont val="Arial"/>
        <family val="2"/>
      </rPr>
      <t xml:space="preserve">Ridge cover UPVC PMMA(3MMTHICK) </t>
    </r>
    <r>
      <rPr>
        <b/>
        <sz val="9"/>
        <rFont val="Arial"/>
        <family val="2"/>
      </rPr>
      <t>Regular</t>
    </r>
    <r>
      <rPr>
        <sz val="14"/>
        <rFont val="Preeti"/>
      </rPr>
      <t xml:space="preserve"> nufpg] sfd lSnk tyf k]r cflb ;d]t k'/f sfo{ ug]{ .</t>
    </r>
  </si>
  <si>
    <t>gfªn]ef/] :jf:yo rf}sL 5fgf tyf kfgL 6\ofÍL dd{t</t>
  </si>
  <si>
    <t>A.</t>
  </si>
  <si>
    <t>kfgL 6\ofÍL dd{t</t>
  </si>
  <si>
    <t>5fgf dd{t</t>
  </si>
  <si>
    <t>B.</t>
  </si>
  <si>
    <t>h:tfkftfsf] 5fgf eTsfO{ ;fdfg ;'/lIft /fVg] sfd</t>
  </si>
  <si>
    <r>
      <t xml:space="preserve">dfn;fdfg pknAw u/L k'/fgf] </t>
    </r>
    <r>
      <rPr>
        <sz val="9"/>
        <rFont val="Arial"/>
        <family val="2"/>
      </rPr>
      <t xml:space="preserve">UPVC sheet </t>
    </r>
    <r>
      <rPr>
        <sz val="14"/>
        <rFont val="Preeti"/>
      </rPr>
      <t>5fgf 5fpg] sfd .</t>
    </r>
  </si>
  <si>
    <t>Date: 2081/02/21</t>
  </si>
  <si>
    <t>gfªn]ef/] :jf:yo rf}sL kfgL 6\ofÍL dd{t tyf cGo lalaw dd{t</t>
  </si>
  <si>
    <t>Date: 2082/08/17</t>
  </si>
  <si>
    <t>F.Y.:-2082/083</t>
  </si>
  <si>
    <t>l;d]G6 jf jh|df hf]8]sf] uf/f] eTsfO{ To;af6 cfPsf] ;fdfu+|L !) dL</t>
  </si>
  <si>
    <t>Kn]g l;d]G6 sqmL6 jf jh| s+qmL6 eTsfO{ !) dL= k/ x6fpg] sfd</t>
  </si>
  <si>
    <t>;'Vvf O{6f RofK6f] 5fKg] sfd</t>
  </si>
  <si>
    <t>g/d k|sf/sf] Sn] / l;N6L df6f]df ;j} lsl;dsf] vGg] sfd ===============================================================================</t>
  </si>
  <si>
    <t xml:space="preserve">;fx|f] k|sf/sf] Sn], g/d d'/d 9'+uf -#) ;]=dL=;Dd_ ld;]sf] df6f]df ;j} lsl;dsf] vGg] sfd </t>
  </si>
  <si>
    <t>;'Vvf O{6f RofK6f] 5fKg] sfd .</t>
  </si>
  <si>
    <t>H 15</t>
  </si>
  <si>
    <t>b/ ljZn]if0fsf] nflu !) j=dL= lnOPsf]</t>
  </si>
  <si>
    <t>;|f]t ;fwg</t>
  </si>
  <si>
    <t>tx÷lsl;d</t>
  </si>
  <si>
    <t>kl/df0f</t>
  </si>
  <si>
    <t>PsfO{</t>
  </si>
  <si>
    <t>b/ k|lt PsfO{</t>
  </si>
  <si>
    <t>/sd</t>
  </si>
  <si>
    <t>k|To]s ;|f]t ;fwgsf] hDdf</t>
  </si>
  <si>
    <t>&gt;lds</t>
  </si>
  <si>
    <t>s_ l;kfn'</t>
  </si>
  <si>
    <t>hjfg</t>
  </si>
  <si>
    <t>v_ HofdL</t>
  </si>
  <si>
    <t>lgdf{0f ;fdu|L</t>
  </si>
  <si>
    <t>O{6f</t>
  </si>
  <si>
    <t>uf]6f</t>
  </si>
  <si>
    <t xml:space="preserve">jfn'jf vf]nfsf] </t>
  </si>
  <si>
    <t>3=dL=</t>
  </si>
  <si>
    <t>jf:tljs b//]6</t>
  </si>
  <si>
    <t>b/ k|lt j=dL=sf]</t>
  </si>
  <si>
    <t>!%Ü 7]s]bf/ cf]e/x]8</t>
  </si>
  <si>
    <t>Ö ?=</t>
  </si>
  <si>
    <t>k}=</t>
  </si>
  <si>
    <t>hDdf b/ /]6</t>
  </si>
  <si>
    <t>hu leQf kvf{ndf l;d]G6 s+lqm6 ug]{ sfd -lk=;L=;L= !M@M$_</t>
  </si>
  <si>
    <t>-for flooring</t>
  </si>
  <si>
    <t>-Along short length</t>
  </si>
  <si>
    <t>-Slab</t>
  </si>
  <si>
    <t>kmnfd]sf] kfOk / KnfOaf]8{af6 kmdf{ agfpg] sfd</t>
  </si>
  <si>
    <t>-For shear wall</t>
  </si>
  <si>
    <t>-for slab</t>
  </si>
  <si>
    <t>-fillet</t>
  </si>
  <si>
    <t>-shear wall</t>
  </si>
  <si>
    <t>-floor and slab</t>
  </si>
  <si>
    <t>-for fillet</t>
  </si>
  <si>
    <t>d]lzgsf] k|of]u u/L ;'k/ :6«Sr/df l;d]G6 s+lqm6 ug]{ sfd -!M!=%M#_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</si>
</sst>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3" formatCode="_-* #,##0.00_-;\-* #,##0.00_-;_-* &quot;-&quot;??_-;_-@_-"/>
    <numFmt numFmtId="164" formatCode="&quot;$&quot;#,##0_);\(&quot;$&quot;#,##0\)"/>
    <numFmt numFmtId="165" formatCode="_(* #,##0.00_);_(* \(#,##0.00\);_(* &quot;-&quot;??_);_(@_)"/>
    <numFmt numFmtId="166" formatCode="_(* #,##0.000_);_(* \(#,##0.000\);_(* &quot;-&quot;??_);_(@_)"/>
    <numFmt numFmtId="167" formatCode="0.000"/>
    <numFmt numFmtId="168" formatCode="#."/>
    <numFmt numFmtId="169" formatCode="0.00_)"/>
    <numFmt numFmtId="170" formatCode="_-&quot;$&quot;* #,##0_-;\-&quot;$&quot;* #,##0_-;_-&quot;$&quot;* &quot;-&quot;_-;_-@_-"/>
    <numFmt numFmtId="171" formatCode="_-&quot;$&quot;* #,##0.00_-;\-&quot;$&quot;* #,##0.00_-;_-&quot;$&quot;* &quot;-&quot;??_-;_-@_-"/>
    <numFmt numFmtId="172" formatCode="_ * #,##0_)&quot;$&quot;_ ;_ * \(#,##0\)&quot;$&quot;_ ;_ * &quot;-&quot;_)&quot;$&quot;_ ;_ @_ "/>
    <numFmt numFmtId="173" formatCode="General_)"/>
    <numFmt numFmtId="174" formatCode="_ * #,##0_)_$_ ;_ * \(#,##0\)_$_ ;_ * &quot;-&quot;_)_$_ ;_ @_ "/>
    <numFmt numFmtId="175" formatCode="_ * #,##0.00_)&quot;$&quot;_ ;_ * \(#,##0.00\)&quot;$&quot;_ ;_ * &quot;-&quot;??_)&quot;$&quot;_ ;_ @_ "/>
    <numFmt numFmtId="176" formatCode="_ * #,##0.00_)_$_ ;_ * \(#,##0.00\)_$_ ;_ * &quot;-&quot;??_)_$_ ;_ @_ "/>
    <numFmt numFmtId="177" formatCode="mmmm\ d\,\ yyyy"/>
    <numFmt numFmtId="178" formatCode="&quot;$&quot;#,##0.00_);\(&quot;$&quot;#.##0\)"/>
    <numFmt numFmtId="179" formatCode="_ * #,##0_ ;_ * \-#,##0_ ;_ * &quot;-&quot;_ ;_ @_ "/>
    <numFmt numFmtId="180" formatCode="_ * #,##0.00_ ;_ * \-#,##0.00_ ;_ * &quot;-&quot;??_ ;_ @_ "/>
    <numFmt numFmtId="181" formatCode="_ &quot;\&quot;* #,##0_ ;_ &quot;\&quot;* \-#,##0_ ;_ &quot;\&quot;* &quot;-&quot;_ ;_ @_ "/>
    <numFmt numFmtId="182" formatCode="_ &quot;\&quot;* #,##0.00_ ;_ &quot;\&quot;* \-#,##0.00_ ;_ &quot;\&quot;* &quot;-&quot;??_ ;_ @_ "/>
    <numFmt numFmtId="183" formatCode="0.0"/>
  </numFmts>
  <fonts count="8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"/>
      <color indexed="16"/>
      <name val="Courier"/>
      <family val="3"/>
    </font>
    <font>
      <i/>
      <sz val="1"/>
      <color indexed="16"/>
      <name val="Courier"/>
      <family val="3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Tms Rmn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Arial"/>
      <family val="2"/>
    </font>
    <font>
      <sz val="11"/>
      <name val="Times New Roman"/>
      <family val="1"/>
    </font>
    <font>
      <sz val="10"/>
      <name val="MS Sans Serif"/>
      <family val="2"/>
    </font>
    <font>
      <b/>
      <i/>
      <sz val="16"/>
      <name val="Helv"/>
    </font>
    <font>
      <b/>
      <sz val="11"/>
      <color indexed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color indexed="8"/>
      <name val="Arial"/>
      <family val="2"/>
    </font>
    <font>
      <sz val="10"/>
      <color indexed="12"/>
      <name val="Arial"/>
      <family val="2"/>
    </font>
    <font>
      <sz val="9"/>
      <name val="Times New Roman"/>
      <family val="1"/>
    </font>
    <font>
      <sz val="10"/>
      <name val="BERNHARD"/>
    </font>
    <font>
      <sz val="10"/>
      <name val="Helv"/>
    </font>
    <font>
      <sz val="12"/>
      <color indexed="9"/>
      <name val="Helv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8"/>
      <color indexed="8"/>
      <name val="Helvetica"/>
      <family val="2"/>
    </font>
    <font>
      <b/>
      <sz val="18"/>
      <name val="Arial"/>
      <family val="2"/>
    </font>
    <font>
      <u/>
      <sz val="8"/>
      <color indexed="12"/>
      <name val="Arial Narrow"/>
      <family val="2"/>
    </font>
    <font>
      <b/>
      <sz val="12"/>
      <color indexed="9"/>
      <name val="Helv"/>
    </font>
    <font>
      <sz val="12"/>
      <color indexed="13"/>
      <name val="Helv"/>
    </font>
    <font>
      <sz val="12"/>
      <name val="바탕체"/>
      <family val="3"/>
      <charset val="129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Preeti"/>
    </font>
    <font>
      <sz val="10"/>
      <name val="Arial"/>
      <family val="2"/>
    </font>
    <font>
      <sz val="12"/>
      <name val="Times New Roman"/>
      <family val="1"/>
    </font>
    <font>
      <sz val="12"/>
      <name val="Helv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Preeti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5"/>
      <name val="Preeti"/>
    </font>
    <font>
      <sz val="15"/>
      <name val="Arial"/>
      <family val="2"/>
    </font>
    <font>
      <sz val="8"/>
      <name val="Calibri"/>
      <family val="2"/>
      <scheme val="minor"/>
    </font>
    <font>
      <sz val="14"/>
      <name val="Preeti"/>
    </font>
    <font>
      <sz val="9"/>
      <name val="Arial"/>
      <family val="2"/>
    </font>
    <font>
      <sz val="9"/>
      <name val="Preeti"/>
    </font>
    <font>
      <b/>
      <sz val="9"/>
      <name val="Arial"/>
      <family val="2"/>
    </font>
    <font>
      <b/>
      <sz val="14.5"/>
      <color theme="1"/>
      <name val="Preeti"/>
    </font>
    <font>
      <b/>
      <sz val="14.5"/>
      <name val="Preeti"/>
    </font>
    <font>
      <sz val="10"/>
      <color indexed="81"/>
      <name val="Tahoma"/>
      <charset val="1"/>
    </font>
    <font>
      <b/>
      <sz val="10"/>
      <color indexed="81"/>
      <name val="Tahoma"/>
      <charset val="1"/>
    </font>
    <font>
      <sz val="10"/>
      <name val="FONTASY_ HIMALI_ TT"/>
      <family val="5"/>
    </font>
    <font>
      <sz val="16"/>
      <name val="Preeti"/>
    </font>
    <font>
      <sz val="11"/>
      <name val="Preeti"/>
    </font>
    <font>
      <sz val="12"/>
      <name val="Preeti"/>
    </font>
    <font>
      <sz val="13"/>
      <name val="Preeti"/>
    </font>
    <font>
      <sz val="10"/>
      <name val="Fontasy Himali"/>
      <family val="5"/>
    </font>
    <font>
      <sz val="13"/>
      <name val="FONTASY_ HIMALI_ TT"/>
      <family val="5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13"/>
      </patternFill>
    </fill>
    <fill>
      <patternFill patternType="solid">
        <fgColor indexed="12"/>
      </patternFill>
    </fill>
    <fill>
      <patternFill patternType="solid">
        <fgColor indexed="1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10"/>
      </left>
      <right style="medium">
        <color indexed="10"/>
      </right>
      <top style="hair">
        <color indexed="10"/>
      </top>
      <bottom style="hair">
        <color indexed="10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759">
    <xf numFmtId="0" fontId="0" fillId="0" borderId="0"/>
    <xf numFmtId="165" fontId="1" fillId="0" borderId="0" applyFont="0" applyFill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165" fontId="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1" fillId="0" borderId="0" applyNumberFormat="0" applyFill="0" applyBorder="0" applyAlignment="0" applyProtection="0"/>
    <xf numFmtId="168" fontId="12" fillId="0" borderId="0">
      <protection locked="0"/>
    </xf>
    <xf numFmtId="168" fontId="12" fillId="0" borderId="0">
      <protection locked="0"/>
    </xf>
    <xf numFmtId="168" fontId="13" fillId="0" borderId="0">
      <protection locked="0"/>
    </xf>
    <xf numFmtId="168" fontId="12" fillId="0" borderId="0">
      <protection locked="0"/>
    </xf>
    <xf numFmtId="168" fontId="12" fillId="0" borderId="0">
      <protection locked="0"/>
    </xf>
    <xf numFmtId="168" fontId="12" fillId="0" borderId="0">
      <protection locked="0"/>
    </xf>
    <xf numFmtId="168" fontId="12" fillId="0" borderId="0">
      <protection locked="0"/>
    </xf>
    <xf numFmtId="0" fontId="2" fillId="0" borderId="0"/>
    <xf numFmtId="0" fontId="14" fillId="5" borderId="0" applyNumberFormat="0" applyBorder="0" applyAlignment="0" applyProtection="0"/>
    <xf numFmtId="38" fontId="5" fillId="23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8" borderId="4" applyNumberFormat="0" applyAlignment="0" applyProtection="0"/>
    <xf numFmtId="10" fontId="5" fillId="24" borderId="1" applyNumberFormat="0" applyBorder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169" fontId="30" fillId="0" borderId="0"/>
    <xf numFmtId="0" fontId="27" fillId="0" borderId="0"/>
    <xf numFmtId="0" fontId="27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" fillId="0" borderId="0"/>
    <xf numFmtId="0" fontId="1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0" borderId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7" fillId="0" borderId="0"/>
    <xf numFmtId="10" fontId="2" fillId="0" borderId="0" applyFont="0" applyFill="0" applyBorder="0" applyAlignment="0" applyProtection="0"/>
    <xf numFmtId="0" fontId="1" fillId="0" borderId="0"/>
    <xf numFmtId="0" fontId="31" fillId="0" borderId="0">
      <alignment horizontal="left" vertical="center" indent="1"/>
    </xf>
    <xf numFmtId="0" fontId="2" fillId="0" borderId="0"/>
    <xf numFmtId="0" fontId="2" fillId="0" borderId="0"/>
    <xf numFmtId="0" fontId="2" fillId="0" borderId="0"/>
    <xf numFmtId="0" fontId="1" fillId="0" borderId="0"/>
    <xf numFmtId="0" fontId="2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3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" fillId="0" borderId="0"/>
    <xf numFmtId="0" fontId="21" fillId="25" borderId="0" applyNumberFormat="0" applyBorder="0" applyAlignment="0" applyProtection="0"/>
    <xf numFmtId="0" fontId="17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5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10" fillId="22" borderId="5" applyNumberFormat="0" applyAlignment="0" applyProtection="0"/>
    <xf numFmtId="0" fontId="8" fillId="4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6" borderId="0" applyNumberFormat="0" applyBorder="0" applyAlignment="0" applyProtection="0"/>
    <xf numFmtId="0" fontId="6" fillId="11" borderId="0" applyNumberFormat="0" applyBorder="0" applyAlignment="0" applyProtection="0"/>
    <xf numFmtId="0" fontId="6" fillId="9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7" fillId="15" borderId="0" applyNumberFormat="0" applyBorder="0" applyAlignment="0" applyProtection="0"/>
    <xf numFmtId="0" fontId="8" fillId="4" borderId="0" applyNumberFormat="0" applyBorder="0" applyAlignment="0" applyProtection="0"/>
    <xf numFmtId="0" fontId="17" fillId="0" borderId="0" applyNumberFormat="0" applyFill="0" applyBorder="0" applyAlignment="0" applyProtection="0"/>
    <xf numFmtId="0" fontId="2" fillId="0" borderId="0"/>
    <xf numFmtId="0" fontId="19" fillId="8" borderId="4" applyNumberFormat="0" applyAlignment="0" applyProtection="0"/>
    <xf numFmtId="0" fontId="17" fillId="0" borderId="8" applyNumberFormat="0" applyFill="0" applyAlignment="0" applyProtection="0"/>
    <xf numFmtId="0" fontId="7" fillId="20" borderId="0" applyNumberFormat="0" applyBorder="0" applyAlignment="0" applyProtection="0"/>
    <xf numFmtId="0" fontId="7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4" borderId="0" applyNumberFormat="0" applyBorder="0" applyAlignment="0" applyProtection="0"/>
    <xf numFmtId="0" fontId="20" fillId="0" borderId="9" applyNumberFormat="0" applyFill="0" applyAlignment="0" applyProtection="0"/>
    <xf numFmtId="0" fontId="6" fillId="9" borderId="0" applyNumberFormat="0" applyBorder="0" applyAlignment="0" applyProtection="0"/>
    <xf numFmtId="0" fontId="14" fillId="5" borderId="0" applyNumberFormat="0" applyBorder="0" applyAlignment="0" applyProtection="0"/>
    <xf numFmtId="0" fontId="7" fillId="18" borderId="0" applyNumberFormat="0" applyBorder="0" applyAlignment="0" applyProtection="0"/>
    <xf numFmtId="0" fontId="7" fillId="16" borderId="0" applyNumberFormat="0" applyBorder="0" applyAlignment="0" applyProtection="0"/>
    <xf numFmtId="0" fontId="9" fillId="21" borderId="4" applyNumberFormat="0" applyAlignment="0" applyProtection="0"/>
    <xf numFmtId="0" fontId="7" fillId="17" borderId="0" applyNumberFormat="0" applyBorder="0" applyAlignment="0" applyProtection="0"/>
    <xf numFmtId="0" fontId="4" fillId="0" borderId="0"/>
    <xf numFmtId="0" fontId="6" fillId="8" borderId="0" applyNumberFormat="0" applyBorder="0" applyAlignment="0" applyProtection="0"/>
    <xf numFmtId="0" fontId="6" fillId="12" borderId="0" applyNumberFormat="0" applyBorder="0" applyAlignment="0" applyProtection="0"/>
    <xf numFmtId="0" fontId="6" fillId="6" borderId="0" applyNumberFormat="0" applyBorder="0" applyAlignment="0" applyProtection="0"/>
    <xf numFmtId="0" fontId="6" fillId="11" borderId="0" applyNumberFormat="0" applyBorder="0" applyAlignment="0" applyProtection="0"/>
    <xf numFmtId="0" fontId="6" fillId="9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2" fillId="0" borderId="0"/>
    <xf numFmtId="0" fontId="19" fillId="8" borderId="4" applyNumberFormat="0" applyAlignment="0" applyProtection="0"/>
    <xf numFmtId="0" fontId="17" fillId="0" borderId="8" applyNumberFormat="0" applyFill="0" applyAlignment="0" applyProtection="0"/>
    <xf numFmtId="0" fontId="7" fillId="20" borderId="0" applyNumberFormat="0" applyBorder="0" applyAlignment="0" applyProtection="0"/>
    <xf numFmtId="0" fontId="7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4" borderId="0" applyNumberFormat="0" applyBorder="0" applyAlignment="0" applyProtection="0"/>
    <xf numFmtId="0" fontId="20" fillId="0" borderId="9" applyNumberFormat="0" applyFill="0" applyAlignment="0" applyProtection="0"/>
    <xf numFmtId="0" fontId="6" fillId="9" borderId="0" applyNumberFormat="0" applyBorder="0" applyAlignment="0" applyProtection="0"/>
    <xf numFmtId="0" fontId="14" fillId="5" borderId="0" applyNumberFormat="0" applyBorder="0" applyAlignment="0" applyProtection="0"/>
    <xf numFmtId="0" fontId="7" fillId="18" borderId="0" applyNumberFormat="0" applyBorder="0" applyAlignment="0" applyProtection="0"/>
    <xf numFmtId="0" fontId="7" fillId="16" borderId="0" applyNumberFormat="0" applyBorder="0" applyAlignment="0" applyProtection="0"/>
    <xf numFmtId="0" fontId="9" fillId="21" borderId="4" applyNumberFormat="0" applyAlignment="0" applyProtection="0"/>
    <xf numFmtId="0" fontId="7" fillId="17" borderId="0" applyNumberFormat="0" applyBorder="0" applyAlignment="0" applyProtection="0"/>
    <xf numFmtId="0" fontId="4" fillId="0" borderId="0"/>
    <xf numFmtId="0" fontId="6" fillId="8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4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1" fillId="0" borderId="0" applyNumberFormat="0" applyFill="0" applyBorder="0" applyAlignment="0" applyProtection="0"/>
    <xf numFmtId="0" fontId="21" fillId="25" borderId="0" applyNumberFormat="0" applyBorder="0" applyAlignment="0" applyProtection="0"/>
    <xf numFmtId="0" fontId="2" fillId="0" borderId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21" fillId="25" borderId="0" applyNumberFormat="0" applyBorder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19" fillId="8" borderId="4" applyNumberFormat="0" applyAlignment="0" applyProtection="0"/>
    <xf numFmtId="0" fontId="2" fillId="0" borderId="0"/>
    <xf numFmtId="0" fontId="14" fillId="5" borderId="0" applyNumberFormat="0" applyBorder="0" applyAlignment="0" applyProtection="0"/>
    <xf numFmtId="0" fontId="11" fillId="0" borderId="0" applyNumberFormat="0" applyFill="0" applyBorder="0" applyAlignment="0" applyProtection="0"/>
    <xf numFmtId="0" fontId="10" fillId="22" borderId="5" applyNumberFormat="0" applyAlignment="0" applyProtection="0"/>
    <xf numFmtId="0" fontId="9" fillId="21" borderId="4" applyNumberFormat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7" borderId="0" applyNumberFormat="0" applyBorder="0" applyAlignment="0" applyProtection="0"/>
    <xf numFmtId="0" fontId="7" fillId="16" borderId="0" applyNumberFormat="0" applyBorder="0" applyAlignment="0" applyProtection="0"/>
    <xf numFmtId="0" fontId="7" fillId="14" borderId="0" applyNumberFormat="0" applyBorder="0" applyAlignment="0" applyProtection="0"/>
    <xf numFmtId="0" fontId="7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6" borderId="0" applyNumberFormat="0" applyBorder="0" applyAlignment="0" applyProtection="0"/>
    <xf numFmtId="0" fontId="6" fillId="8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17" fillId="0" borderId="8" applyNumberFormat="0" applyFill="0" applyAlignment="0" applyProtection="0"/>
    <xf numFmtId="0" fontId="16" fillId="0" borderId="7" applyNumberFormat="0" applyFill="0" applyAlignment="0" applyProtection="0"/>
    <xf numFmtId="0" fontId="7" fillId="13" borderId="0" applyNumberFormat="0" applyBorder="0" applyAlignment="0" applyProtection="0"/>
    <xf numFmtId="0" fontId="6" fillId="4" borderId="0" applyNumberFormat="0" applyBorder="0" applyAlignment="0" applyProtection="0"/>
    <xf numFmtId="0" fontId="15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7" fillId="19" borderId="0" applyNumberFormat="0" applyBorder="0" applyAlignment="0" applyProtection="0"/>
    <xf numFmtId="0" fontId="7" fillId="18" borderId="0" applyNumberFormat="0" applyBorder="0" applyAlignment="0" applyProtection="0"/>
    <xf numFmtId="0" fontId="4" fillId="0" borderId="0"/>
    <xf numFmtId="0" fontId="6" fillId="11" borderId="0" applyNumberFormat="0" applyBorder="0" applyAlignment="0" applyProtection="0"/>
    <xf numFmtId="0" fontId="6" fillId="9" borderId="0" applyNumberFormat="0" applyBorder="0" applyAlignment="0" applyProtection="0"/>
    <xf numFmtId="0" fontId="7" fillId="15" borderId="0" applyNumberFormat="0" applyBorder="0" applyAlignment="0" applyProtection="0"/>
    <xf numFmtId="0" fontId="7" fillId="11" borderId="0" applyNumberFormat="0" applyBorder="0" applyAlignment="0" applyProtection="0"/>
    <xf numFmtId="0" fontId="6" fillId="10" borderId="0" applyNumberFormat="0" applyBorder="0" applyAlignment="0" applyProtection="0"/>
    <xf numFmtId="0" fontId="10" fillId="22" borderId="5" applyNumberFormat="0" applyAlignment="0" applyProtection="0"/>
    <xf numFmtId="0" fontId="8" fillId="4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5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6" borderId="0" applyNumberFormat="0" applyBorder="0" applyAlignment="0" applyProtection="0"/>
    <xf numFmtId="0" fontId="6" fillId="11" borderId="0" applyNumberFormat="0" applyBorder="0" applyAlignment="0" applyProtection="0"/>
    <xf numFmtId="0" fontId="6" fillId="9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2" fillId="0" borderId="0"/>
    <xf numFmtId="0" fontId="19" fillId="8" borderId="4" applyNumberFormat="0" applyAlignment="0" applyProtection="0"/>
    <xf numFmtId="0" fontId="17" fillId="0" borderId="8" applyNumberFormat="0" applyFill="0" applyAlignment="0" applyProtection="0"/>
    <xf numFmtId="0" fontId="7" fillId="20" borderId="0" applyNumberFormat="0" applyBorder="0" applyAlignment="0" applyProtection="0"/>
    <xf numFmtId="0" fontId="7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4" borderId="0" applyNumberFormat="0" applyBorder="0" applyAlignment="0" applyProtection="0"/>
    <xf numFmtId="0" fontId="20" fillId="0" borderId="9" applyNumberFormat="0" applyFill="0" applyAlignment="0" applyProtection="0"/>
    <xf numFmtId="0" fontId="6" fillId="9" borderId="0" applyNumberFormat="0" applyBorder="0" applyAlignment="0" applyProtection="0"/>
    <xf numFmtId="0" fontId="14" fillId="5" borderId="0" applyNumberFormat="0" applyBorder="0" applyAlignment="0" applyProtection="0"/>
    <xf numFmtId="0" fontId="7" fillId="18" borderId="0" applyNumberFormat="0" applyBorder="0" applyAlignment="0" applyProtection="0"/>
    <xf numFmtId="0" fontId="7" fillId="16" borderId="0" applyNumberFormat="0" applyBorder="0" applyAlignment="0" applyProtection="0"/>
    <xf numFmtId="0" fontId="9" fillId="21" borderId="4" applyNumberFormat="0" applyAlignment="0" applyProtection="0"/>
    <xf numFmtId="0" fontId="7" fillId="17" borderId="0" applyNumberFormat="0" applyBorder="0" applyAlignment="0" applyProtection="0"/>
    <xf numFmtId="0" fontId="4" fillId="0" borderId="0"/>
    <xf numFmtId="0" fontId="6" fillId="8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4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2" fillId="0" borderId="0"/>
    <xf numFmtId="0" fontId="19" fillId="8" borderId="4" applyNumberFormat="0" applyAlignment="0" applyProtection="0"/>
    <xf numFmtId="0" fontId="17" fillId="0" borderId="8" applyNumberFormat="0" applyFill="0" applyAlignment="0" applyProtection="0"/>
    <xf numFmtId="0" fontId="16" fillId="0" borderId="7" applyNumberFormat="0" applyFill="0" applyAlignment="0" applyProtection="0"/>
    <xf numFmtId="0" fontId="15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2" fillId="0" borderId="0"/>
    <xf numFmtId="0" fontId="9" fillId="21" borderId="4" applyNumberFormat="0" applyAlignment="0" applyProtection="0"/>
    <xf numFmtId="0" fontId="7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8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6" fillId="9" borderId="0" applyNumberFormat="0" applyBorder="0" applyAlignment="0" applyProtection="0"/>
    <xf numFmtId="0" fontId="6" fillId="11" borderId="0" applyNumberFormat="0" applyBorder="0" applyAlignment="0" applyProtection="0"/>
    <xf numFmtId="0" fontId="6" fillId="10" borderId="0" applyNumberFormat="0" applyBorder="0" applyAlignment="0" applyProtection="0"/>
    <xf numFmtId="0" fontId="6" fillId="8" borderId="0" applyNumberFormat="0" applyBorder="0" applyAlignment="0" applyProtection="0"/>
    <xf numFmtId="0" fontId="6" fillId="7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21" fillId="25" borderId="0" applyNumberFormat="0" applyBorder="0" applyAlignment="0" applyProtection="0"/>
    <xf numFmtId="0" fontId="17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7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4" borderId="0" applyNumberFormat="0" applyBorder="0" applyAlignment="0" applyProtection="0"/>
    <xf numFmtId="0" fontId="2" fillId="0" borderId="0"/>
    <xf numFmtId="0" fontId="6" fillId="6" borderId="0" applyNumberFormat="0" applyBorder="0" applyAlignment="0" applyProtection="0"/>
    <xf numFmtId="0" fontId="7" fillId="17" borderId="0" applyNumberFormat="0" applyBorder="0" applyAlignment="0" applyProtection="0"/>
    <xf numFmtId="0" fontId="7" fillId="15" borderId="0" applyNumberFormat="0" applyBorder="0" applyAlignment="0" applyProtection="0"/>
    <xf numFmtId="0" fontId="10" fillId="22" borderId="5" applyNumberFormat="0" applyAlignment="0" applyProtection="0"/>
    <xf numFmtId="0" fontId="8" fillId="4" borderId="0" applyNumberFormat="0" applyBorder="0" applyAlignment="0" applyProtection="0"/>
    <xf numFmtId="0" fontId="7" fillId="16" borderId="0" applyNumberFormat="0" applyBorder="0" applyAlignment="0" applyProtection="0"/>
    <xf numFmtId="0" fontId="4" fillId="0" borderId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7" fillId="0" borderId="1" applyNumberFormat="0" applyFont="0">
      <alignment horizontal="center" vertical="justify"/>
    </xf>
    <xf numFmtId="172" fontId="2" fillId="0" borderId="0" applyFill="0" applyBorder="0" applyAlignment="0"/>
    <xf numFmtId="173" fontId="36" fillId="0" borderId="0" applyFill="0" applyBorder="0" applyAlignment="0"/>
    <xf numFmtId="167" fontId="36" fillId="0" borderId="0" applyFill="0" applyBorder="0" applyAlignment="0"/>
    <xf numFmtId="174" fontId="2" fillId="0" borderId="0" applyFill="0" applyBorder="0" applyAlignment="0"/>
    <xf numFmtId="175" fontId="2" fillId="0" borderId="0" applyFill="0" applyBorder="0" applyAlignment="0"/>
    <xf numFmtId="172" fontId="2" fillId="0" borderId="0" applyFill="0" applyBorder="0" applyAlignment="0"/>
    <xf numFmtId="176" fontId="2" fillId="0" borderId="0" applyFill="0" applyBorder="0" applyAlignment="0"/>
    <xf numFmtId="173" fontId="36" fillId="0" borderId="0" applyFill="0" applyBorder="0" applyAlignment="0"/>
    <xf numFmtId="172" fontId="2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3" fontId="2" fillId="0" borderId="0" applyFill="0" applyBorder="0" applyAlignment="0" applyProtection="0"/>
    <xf numFmtId="0" fontId="37" fillId="0" borderId="0"/>
    <xf numFmtId="0" fontId="38" fillId="0" borderId="0"/>
    <xf numFmtId="0" fontId="37" fillId="0" borderId="0"/>
    <xf numFmtId="0" fontId="38" fillId="0" borderId="0"/>
    <xf numFmtId="173" fontId="36" fillId="0" borderId="0" applyFont="0" applyFill="0" applyBorder="0" applyAlignment="0" applyProtection="0"/>
    <xf numFmtId="164" fontId="2" fillId="0" borderId="0" applyFill="0" applyBorder="0" applyAlignment="0" applyProtection="0"/>
    <xf numFmtId="0" fontId="39" fillId="0" borderId="0"/>
    <xf numFmtId="0" fontId="39" fillId="0" borderId="15"/>
    <xf numFmtId="177" fontId="2" fillId="0" borderId="0" applyFill="0" applyBorder="0" applyAlignment="0" applyProtection="0"/>
    <xf numFmtId="14" fontId="34" fillId="0" borderId="0" applyFill="0" applyBorder="0" applyAlignment="0"/>
    <xf numFmtId="38" fontId="29" fillId="0" borderId="16">
      <alignment vertical="center"/>
    </xf>
    <xf numFmtId="0" fontId="40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172" fontId="2" fillId="0" borderId="0" applyFill="0" applyBorder="0" applyAlignment="0"/>
    <xf numFmtId="173" fontId="36" fillId="0" borderId="0" applyFill="0" applyBorder="0" applyAlignment="0"/>
    <xf numFmtId="172" fontId="2" fillId="0" borderId="0" applyFill="0" applyBorder="0" applyAlignment="0"/>
    <xf numFmtId="176" fontId="2" fillId="0" borderId="0" applyFill="0" applyBorder="0" applyAlignment="0"/>
    <xf numFmtId="173" fontId="36" fillId="0" borderId="0" applyFill="0" applyBorder="0" applyAlignment="0"/>
    <xf numFmtId="0" fontId="40" fillId="0" borderId="0">
      <protection locked="0"/>
    </xf>
    <xf numFmtId="0" fontId="40" fillId="0" borderId="0">
      <protection locked="0"/>
    </xf>
    <xf numFmtId="2" fontId="2" fillId="0" borderId="0" applyFill="0" applyBorder="0" applyAlignment="0" applyProtection="0"/>
    <xf numFmtId="0" fontId="42" fillId="28" borderId="17" applyNumberFormat="0" applyAlignment="0">
      <protection locked="0"/>
    </xf>
    <xf numFmtId="0" fontId="5" fillId="23" borderId="0" applyNumberFormat="0" applyBorder="0" applyAlignment="0" applyProtection="0"/>
    <xf numFmtId="0" fontId="32" fillId="0" borderId="14" applyNumberFormat="0" applyAlignment="0" applyProtection="0">
      <alignment horizontal="left" vertical="center"/>
    </xf>
    <xf numFmtId="0" fontId="32" fillId="0" borderId="3">
      <alignment horizontal="left" vertical="center"/>
    </xf>
    <xf numFmtId="0" fontId="4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44" fillId="0" borderId="0" applyNumberFormat="0" applyFill="0" applyBorder="0" applyAlignment="0" applyProtection="0">
      <alignment vertical="top"/>
      <protection locked="0"/>
    </xf>
    <xf numFmtId="0" fontId="5" fillId="24" borderId="1" applyNumberFormat="0" applyBorder="0" applyAlignment="0" applyProtection="0"/>
    <xf numFmtId="0" fontId="28" fillId="0" borderId="13" applyNumberFormat="0" applyFont="0" applyBorder="0">
      <alignment horizontal="center" vertical="top"/>
    </xf>
    <xf numFmtId="0" fontId="45" fillId="29" borderId="15"/>
    <xf numFmtId="0" fontId="45" fillId="27" borderId="15"/>
    <xf numFmtId="172" fontId="2" fillId="0" borderId="0" applyFill="0" applyBorder="0" applyAlignment="0"/>
    <xf numFmtId="173" fontId="36" fillId="0" borderId="0" applyFill="0" applyBorder="0" applyAlignment="0"/>
    <xf numFmtId="172" fontId="2" fillId="0" borderId="0" applyFill="0" applyBorder="0" applyAlignment="0"/>
    <xf numFmtId="176" fontId="2" fillId="0" borderId="0" applyFill="0" applyBorder="0" applyAlignment="0"/>
    <xf numFmtId="173" fontId="36" fillId="0" borderId="0" applyFill="0" applyBorder="0" applyAlignment="0"/>
    <xf numFmtId="178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9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6" fillId="0" borderId="0"/>
    <xf numFmtId="0" fontId="2" fillId="0" borderId="0"/>
    <xf numFmtId="9" fontId="1" fillId="0" borderId="0" applyFont="0" applyFill="0" applyBorder="0" applyAlignment="0" applyProtection="0"/>
    <xf numFmtId="0" fontId="39" fillId="0" borderId="0"/>
    <xf numFmtId="3" fontId="3" fillId="0" borderId="2" applyBorder="0">
      <alignment horizontal="center" vertical="top"/>
    </xf>
    <xf numFmtId="0" fontId="35" fillId="0" borderId="0"/>
    <xf numFmtId="0" fontId="33" fillId="0" borderId="0"/>
    <xf numFmtId="0" fontId="39" fillId="0" borderId="15"/>
    <xf numFmtId="0" fontId="46" fillId="30" borderId="0"/>
    <xf numFmtId="0" fontId="46" fillId="31" borderId="0"/>
    <xf numFmtId="0" fontId="45" fillId="0" borderId="18"/>
    <xf numFmtId="0" fontId="45" fillId="0" borderId="15"/>
    <xf numFmtId="0" fontId="3" fillId="0" borderId="0">
      <alignment horizontal="center" vertical="center" textRotation="90"/>
    </xf>
    <xf numFmtId="9" fontId="47" fillId="0" borderId="0" applyFont="0" applyFill="0" applyBorder="0" applyAlignment="0" applyProtection="0"/>
    <xf numFmtId="179" fontId="47" fillId="0" borderId="0" applyFont="0" applyFill="0" applyBorder="0" applyAlignment="0" applyProtection="0"/>
    <xf numFmtId="180" fontId="47" fillId="0" borderId="0" applyFont="0" applyFill="0" applyBorder="0" applyAlignment="0" applyProtection="0"/>
    <xf numFmtId="181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0" fontId="47" fillId="0" borderId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2" fillId="0" borderId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11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9" fillId="8" borderId="4" applyNumberFormat="0" applyAlignment="0" applyProtection="0"/>
    <xf numFmtId="0" fontId="20" fillId="0" borderId="9" applyNumberFormat="0" applyFill="0" applyAlignment="0" applyProtection="0"/>
    <xf numFmtId="0" fontId="21" fillId="25" borderId="0" applyNumberFormat="0" applyBorder="0" applyAlignment="0" applyProtection="0"/>
    <xf numFmtId="0" fontId="25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" fillId="0" borderId="0"/>
    <xf numFmtId="0" fontId="2" fillId="0" borderId="0"/>
    <xf numFmtId="0" fontId="16" fillId="0" borderId="7" applyNumberFormat="0" applyFill="0" applyAlignment="0" applyProtection="0"/>
    <xf numFmtId="0" fontId="14" fillId="5" borderId="0" applyNumberFormat="0" applyBorder="0" applyAlignment="0" applyProtection="0"/>
    <xf numFmtId="0" fontId="9" fillId="21" borderId="4" applyNumberFormat="0" applyAlignment="0" applyProtection="0"/>
    <xf numFmtId="0" fontId="8" fillId="4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6" fillId="26" borderId="10" applyNumberFormat="0" applyFont="0" applyAlignment="0" applyProtection="0"/>
    <xf numFmtId="0" fontId="23" fillId="21" borderId="11" applyNumberFormat="0" applyAlignment="0" applyProtection="0"/>
    <xf numFmtId="0" fontId="7" fillId="18" borderId="0" applyNumberFormat="0" applyBorder="0" applyAlignment="0" applyProtection="0"/>
    <xf numFmtId="0" fontId="7" fillId="17" borderId="0" applyNumberFormat="0" applyBorder="0" applyAlignment="0" applyProtection="0"/>
    <xf numFmtId="0" fontId="7" fillId="15" borderId="0" applyNumberFormat="0" applyBorder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  <xf numFmtId="0" fontId="7" fillId="20" borderId="0" applyNumberFormat="0" applyBorder="0" applyAlignment="0" applyProtection="0"/>
    <xf numFmtId="0" fontId="7" fillId="16" borderId="0" applyNumberFormat="0" applyBorder="0" applyAlignment="0" applyProtection="0"/>
    <xf numFmtId="0" fontId="21" fillId="25" borderId="0" applyNumberFormat="0" applyBorder="0" applyAlignment="0" applyProtection="0"/>
    <xf numFmtId="0" fontId="19" fillId="8" borderId="4" applyNumberFormat="0" applyAlignment="0" applyProtection="0"/>
    <xf numFmtId="0" fontId="17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7" fillId="14" borderId="0" applyNumberFormat="0" applyBorder="0" applyAlignment="0" applyProtection="0"/>
    <xf numFmtId="0" fontId="26" fillId="0" borderId="0" applyNumberFormat="0" applyFill="0" applyBorder="0" applyAlignment="0" applyProtection="0"/>
    <xf numFmtId="0" fontId="23" fillId="21" borderId="11" applyNumberFormat="0" applyAlignment="0" applyProtection="0"/>
    <xf numFmtId="0" fontId="6" fillId="26" borderId="10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20" fillId="0" borderId="9" applyNumberFormat="0" applyFill="0" applyAlignment="0" applyProtection="0"/>
    <xf numFmtId="0" fontId="17" fillId="0" borderId="8" applyNumberFormat="0" applyFill="0" applyAlignment="0" applyProtection="0"/>
    <xf numFmtId="0" fontId="11" fillId="0" borderId="0" applyNumberFormat="0" applyFill="0" applyBorder="0" applyAlignment="0" applyProtection="0"/>
    <xf numFmtId="0" fontId="10" fillId="22" borderId="5" applyNumberFormat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6" borderId="0" applyNumberFormat="0" applyBorder="0" applyAlignment="0" applyProtection="0"/>
    <xf numFmtId="0" fontId="6" fillId="11" borderId="0" applyNumberFormat="0" applyBorder="0" applyAlignment="0" applyProtection="0"/>
    <xf numFmtId="0" fontId="6" fillId="10" borderId="0" applyNumberFormat="0" applyBorder="0" applyAlignment="0" applyProtection="0"/>
    <xf numFmtId="0" fontId="6" fillId="9" borderId="0" applyNumberFormat="0" applyBorder="0" applyAlignment="0" applyProtection="0"/>
    <xf numFmtId="0" fontId="6" fillId="8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4" borderId="0" applyNumberFormat="0" applyBorder="0" applyAlignment="0" applyProtection="0"/>
    <xf numFmtId="0" fontId="6" fillId="3" borderId="0" applyNumberFormat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55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  <xf numFmtId="0" fontId="56" fillId="0" borderId="0"/>
    <xf numFmtId="0" fontId="55" fillId="0" borderId="0"/>
    <xf numFmtId="169" fontId="57" fillId="0" borderId="0"/>
    <xf numFmtId="180" fontId="2" fillId="0" borderId="0" applyFont="0" applyFill="0" applyBorder="0" applyAlignment="0" applyProtection="0"/>
    <xf numFmtId="166" fontId="57" fillId="0" borderId="0"/>
    <xf numFmtId="165" fontId="2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58" fillId="0" borderId="0"/>
    <xf numFmtId="165" fontId="58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55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</cellStyleXfs>
  <cellXfs count="161">
    <xf numFmtId="0" fontId="0" fillId="0" borderId="0" xfId="0"/>
    <xf numFmtId="0" fontId="51" fillId="0" borderId="0" xfId="0" applyFont="1"/>
    <xf numFmtId="0" fontId="49" fillId="0" borderId="0" xfId="0" applyFont="1"/>
    <xf numFmtId="165" fontId="51" fillId="0" borderId="0" xfId="1" applyFont="1"/>
    <xf numFmtId="0" fontId="51" fillId="0" borderId="0" xfId="0" applyFont="1" applyAlignment="1">
      <alignment vertical="center"/>
    </xf>
    <xf numFmtId="0" fontId="51" fillId="0" borderId="0" xfId="0" applyFont="1" applyAlignment="1">
      <alignment horizontal="left" vertical="top" wrapText="1"/>
    </xf>
    <xf numFmtId="0" fontId="51" fillId="0" borderId="0" xfId="0" applyFont="1" applyAlignment="1">
      <alignment horizontal="center"/>
    </xf>
    <xf numFmtId="165" fontId="49" fillId="0" borderId="0" xfId="1" applyFont="1"/>
    <xf numFmtId="0" fontId="51" fillId="0" borderId="0" xfId="0" applyFont="1" applyAlignment="1">
      <alignment wrapText="1"/>
    </xf>
    <xf numFmtId="0" fontId="49" fillId="0" borderId="0" xfId="0" applyFont="1" applyAlignment="1">
      <alignment horizontal="left" vertical="top" wrapText="1"/>
    </xf>
    <xf numFmtId="0" fontId="49" fillId="0" borderId="0" xfId="0" applyFont="1" applyAlignment="1">
      <alignment horizontal="center"/>
    </xf>
    <xf numFmtId="165" fontId="49" fillId="0" borderId="0" xfId="1" applyFont="1" applyBorder="1"/>
    <xf numFmtId="0" fontId="49" fillId="0" borderId="20" xfId="0" applyFont="1" applyBorder="1" applyAlignment="1">
      <alignment vertical="center"/>
    </xf>
    <xf numFmtId="0" fontId="49" fillId="0" borderId="21" xfId="0" applyFont="1" applyBorder="1" applyAlignment="1">
      <alignment horizontal="left" vertical="top" wrapText="1"/>
    </xf>
    <xf numFmtId="165" fontId="49" fillId="0" borderId="21" xfId="1" applyFont="1" applyBorder="1"/>
    <xf numFmtId="0" fontId="49" fillId="0" borderId="21" xfId="0" applyFont="1" applyBorder="1"/>
    <xf numFmtId="0" fontId="49" fillId="0" borderId="22" xfId="0" applyFont="1" applyBorder="1" applyAlignment="1">
      <alignment wrapText="1"/>
    </xf>
    <xf numFmtId="0" fontId="49" fillId="0" borderId="21" xfId="0" applyFont="1" applyBorder="1" applyAlignment="1">
      <alignment horizontal="center"/>
    </xf>
    <xf numFmtId="0" fontId="51" fillId="2" borderId="23" xfId="0" applyFont="1" applyFill="1" applyBorder="1" applyAlignment="1">
      <alignment horizontal="left" vertical="top" wrapText="1"/>
    </xf>
    <xf numFmtId="0" fontId="51" fillId="2" borderId="23" xfId="0" applyFont="1" applyFill="1" applyBorder="1" applyAlignment="1">
      <alignment horizontal="right" vertical="top" wrapText="1"/>
    </xf>
    <xf numFmtId="0" fontId="51" fillId="0" borderId="23" xfId="0" applyFont="1" applyBorder="1"/>
    <xf numFmtId="0" fontId="52" fillId="0" borderId="23" xfId="0" applyFont="1" applyBorder="1" applyAlignment="1">
      <alignment horizontal="justify" vertical="justify"/>
    </xf>
    <xf numFmtId="0" fontId="51" fillId="2" borderId="29" xfId="0" applyFont="1" applyFill="1" applyBorder="1" applyAlignment="1">
      <alignment vertical="center"/>
    </xf>
    <xf numFmtId="0" fontId="51" fillId="2" borderId="31" xfId="0" applyFont="1" applyFill="1" applyBorder="1" applyAlignment="1">
      <alignment wrapText="1"/>
    </xf>
    <xf numFmtId="2" fontId="51" fillId="2" borderId="23" xfId="0" applyNumberFormat="1" applyFont="1" applyFill="1" applyBorder="1" applyAlignment="1">
      <alignment horizontal="right"/>
    </xf>
    <xf numFmtId="0" fontId="52" fillId="0" borderId="28" xfId="0" applyFont="1" applyBorder="1"/>
    <xf numFmtId="0" fontId="50" fillId="2" borderId="30" xfId="0" applyFont="1" applyFill="1" applyBorder="1" applyAlignment="1">
      <alignment horizontal="left" vertical="top" wrapText="1"/>
    </xf>
    <xf numFmtId="0" fontId="51" fillId="0" borderId="23" xfId="0" applyFont="1" applyBorder="1" applyAlignment="1">
      <alignment horizontal="right"/>
    </xf>
    <xf numFmtId="0" fontId="54" fillId="0" borderId="0" xfId="0" applyFont="1"/>
    <xf numFmtId="0" fontId="52" fillId="0" borderId="23" xfId="0" applyFont="1" applyBorder="1" applyAlignment="1">
      <alignment horizontal="right" vertical="top" wrapText="1"/>
    </xf>
    <xf numFmtId="0" fontId="52" fillId="0" borderId="23" xfId="0" applyFont="1" applyBorder="1" applyAlignment="1">
      <alignment horizontal="right" vertical="justify"/>
    </xf>
    <xf numFmtId="0" fontId="63" fillId="0" borderId="0" xfId="0" applyFont="1"/>
    <xf numFmtId="0" fontId="0" fillId="0" borderId="0" xfId="0" applyAlignment="1">
      <alignment horizontal="left"/>
    </xf>
    <xf numFmtId="0" fontId="64" fillId="0" borderId="0" xfId="0" applyFont="1"/>
    <xf numFmtId="0" fontId="0" fillId="0" borderId="0" xfId="0" applyAlignment="1">
      <alignment horizontal="center"/>
    </xf>
    <xf numFmtId="165" fontId="0" fillId="0" borderId="0" xfId="1" applyFont="1"/>
    <xf numFmtId="165" fontId="0" fillId="0" borderId="0" xfId="1" applyFont="1" applyAlignment="1">
      <alignment horizontal="right"/>
    </xf>
    <xf numFmtId="0" fontId="59" fillId="0" borderId="0" xfId="0" applyFont="1" applyAlignment="1">
      <alignment horizontal="center"/>
    </xf>
    <xf numFmtId="165" fontId="0" fillId="0" borderId="0" xfId="0" applyNumberFormat="1"/>
    <xf numFmtId="0" fontId="65" fillId="32" borderId="23" xfId="0" applyFont="1" applyFill="1" applyBorder="1"/>
    <xf numFmtId="0" fontId="65" fillId="32" borderId="23" xfId="0" applyFont="1" applyFill="1" applyBorder="1" applyAlignment="1">
      <alignment horizontal="center"/>
    </xf>
    <xf numFmtId="165" fontId="65" fillId="0" borderId="23" xfId="0" applyNumberFormat="1" applyFont="1" applyBorder="1"/>
    <xf numFmtId="2" fontId="65" fillId="0" borderId="23" xfId="0" applyNumberFormat="1" applyFont="1" applyBorder="1"/>
    <xf numFmtId="0" fontId="65" fillId="0" borderId="23" xfId="0" applyFont="1" applyBorder="1"/>
    <xf numFmtId="0" fontId="65" fillId="0" borderId="33" xfId="0" applyFont="1" applyBorder="1"/>
    <xf numFmtId="0" fontId="48" fillId="0" borderId="33" xfId="0" applyFont="1" applyBorder="1"/>
    <xf numFmtId="165" fontId="48" fillId="0" borderId="33" xfId="0" applyNumberFormat="1" applyFont="1" applyBorder="1"/>
    <xf numFmtId="0" fontId="66" fillId="2" borderId="23" xfId="0" applyFont="1" applyFill="1" applyBorder="1" applyAlignment="1">
      <alignment vertical="top"/>
    </xf>
    <xf numFmtId="0" fontId="56" fillId="2" borderId="23" xfId="0" applyFont="1" applyFill="1" applyBorder="1" applyAlignment="1">
      <alignment horizontal="left" vertical="top" wrapText="1"/>
    </xf>
    <xf numFmtId="0" fontId="66" fillId="2" borderId="23" xfId="0" applyFont="1" applyFill="1" applyBorder="1" applyAlignment="1">
      <alignment horizontal="right" vertical="top"/>
    </xf>
    <xf numFmtId="0" fontId="56" fillId="0" borderId="23" xfId="0" applyFont="1" applyBorder="1" applyAlignment="1">
      <alignment horizontal="justify" vertical="justify"/>
    </xf>
    <xf numFmtId="0" fontId="66" fillId="0" borderId="23" xfId="0" applyFont="1" applyBorder="1"/>
    <xf numFmtId="0" fontId="66" fillId="0" borderId="23" xfId="0" applyFont="1" applyBorder="1" applyAlignment="1">
      <alignment horizontal="right"/>
    </xf>
    <xf numFmtId="0" fontId="66" fillId="2" borderId="23" xfId="0" applyFont="1" applyFill="1" applyBorder="1" applyAlignment="1">
      <alignment horizontal="right" vertical="top" wrapText="1"/>
    </xf>
    <xf numFmtId="0" fontId="66" fillId="2" borderId="23" xfId="0" applyFont="1" applyFill="1" applyBorder="1" applyAlignment="1">
      <alignment horizontal="left" vertical="top" wrapText="1"/>
    </xf>
    <xf numFmtId="0" fontId="56" fillId="0" borderId="23" xfId="0" applyFont="1" applyBorder="1" applyAlignment="1">
      <alignment horizontal="left" vertical="top" wrapText="1"/>
    </xf>
    <xf numFmtId="0" fontId="56" fillId="0" borderId="23" xfId="0" applyFont="1" applyBorder="1" applyAlignment="1">
      <alignment horizontal="right" vertical="top" wrapText="1"/>
    </xf>
    <xf numFmtId="0" fontId="56" fillId="0" borderId="23" xfId="0" applyFont="1" applyBorder="1" applyAlignment="1">
      <alignment horizontal="right" vertical="justify"/>
    </xf>
    <xf numFmtId="0" fontId="66" fillId="2" borderId="23" xfId="0" applyFont="1" applyFill="1" applyBorder="1" applyAlignment="1">
      <alignment horizontal="right" vertical="center"/>
    </xf>
    <xf numFmtId="0" fontId="66" fillId="2" borderId="23" xfId="0" applyFont="1" applyFill="1" applyBorder="1" applyAlignment="1">
      <alignment wrapText="1"/>
    </xf>
    <xf numFmtId="0" fontId="56" fillId="2" borderId="23" xfId="0" applyFont="1" applyFill="1" applyBorder="1" applyAlignment="1">
      <alignment horizontal="right" vertical="top" wrapText="1"/>
    </xf>
    <xf numFmtId="0" fontId="66" fillId="2" borderId="23" xfId="0" applyFont="1" applyFill="1" applyBorder="1" applyAlignment="1">
      <alignment horizontal="left" vertical="top"/>
    </xf>
    <xf numFmtId="165" fontId="51" fillId="0" borderId="0" xfId="0" applyNumberFormat="1" applyFont="1" applyAlignment="1">
      <alignment horizontal="center"/>
    </xf>
    <xf numFmtId="165" fontId="51" fillId="0" borderId="0" xfId="1" applyFont="1" applyBorder="1" applyAlignment="1"/>
    <xf numFmtId="165" fontId="51" fillId="0" borderId="0" xfId="0" applyNumberFormat="1" applyFont="1"/>
    <xf numFmtId="0" fontId="49" fillId="0" borderId="1" xfId="0" applyFont="1" applyBorder="1"/>
    <xf numFmtId="0" fontId="51" fillId="0" borderId="1" xfId="0" applyFont="1" applyBorder="1"/>
    <xf numFmtId="165" fontId="51" fillId="0" borderId="1" xfId="0" applyNumberFormat="1" applyFont="1" applyBorder="1"/>
    <xf numFmtId="165" fontId="51" fillId="0" borderId="1" xfId="1" applyFont="1" applyBorder="1" applyAlignment="1"/>
    <xf numFmtId="2" fontId="51" fillId="2" borderId="23" xfId="32" applyNumberFormat="1" applyFont="1" applyFill="1" applyBorder="1" applyAlignment="1">
      <alignment horizontal="right"/>
    </xf>
    <xf numFmtId="2" fontId="51" fillId="2" borderId="23" xfId="1" applyNumberFormat="1" applyFont="1" applyFill="1" applyBorder="1" applyAlignment="1">
      <alignment horizontal="right"/>
    </xf>
    <xf numFmtId="2" fontId="52" fillId="0" borderId="23" xfId="0" applyNumberFormat="1" applyFont="1" applyBorder="1" applyAlignment="1">
      <alignment horizontal="right"/>
    </xf>
    <xf numFmtId="2" fontId="51" fillId="0" borderId="23" xfId="0" applyNumberFormat="1" applyFont="1" applyBorder="1" applyAlignment="1">
      <alignment horizontal="right"/>
    </xf>
    <xf numFmtId="2" fontId="51" fillId="0" borderId="23" xfId="1" applyNumberFormat="1" applyFont="1" applyBorder="1" applyAlignment="1">
      <alignment horizontal="right"/>
    </xf>
    <xf numFmtId="2" fontId="52" fillId="2" borderId="23" xfId="0" applyNumberFormat="1" applyFont="1" applyFill="1" applyBorder="1" applyAlignment="1">
      <alignment horizontal="right"/>
    </xf>
    <xf numFmtId="2" fontId="3" fillId="0" borderId="23" xfId="734" applyNumberFormat="1" applyFont="1" applyBorder="1" applyAlignment="1">
      <alignment horizontal="right"/>
    </xf>
    <xf numFmtId="2" fontId="51" fillId="2" borderId="30" xfId="0" applyNumberFormat="1" applyFont="1" applyFill="1" applyBorder="1" applyAlignment="1">
      <alignment horizontal="right"/>
    </xf>
    <xf numFmtId="2" fontId="51" fillId="2" borderId="30" xfId="1" applyNumberFormat="1" applyFont="1" applyFill="1" applyBorder="1" applyAlignment="1">
      <alignment horizontal="right"/>
    </xf>
    <xf numFmtId="2" fontId="49" fillId="2" borderId="30" xfId="1" applyNumberFormat="1" applyFont="1" applyFill="1" applyBorder="1" applyAlignment="1">
      <alignment horizontal="right"/>
    </xf>
    <xf numFmtId="0" fontId="67" fillId="2" borderId="23" xfId="0" quotePrefix="1" applyFont="1" applyFill="1" applyBorder="1" applyAlignment="1">
      <alignment wrapText="1"/>
    </xf>
    <xf numFmtId="0" fontId="51" fillId="0" borderId="0" xfId="0" applyFont="1"/>
    <xf numFmtId="0" fontId="51" fillId="0" borderId="0" xfId="0" applyFont="1"/>
    <xf numFmtId="0" fontId="51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183" fontId="51" fillId="2" borderId="27" xfId="0" applyNumberFormat="1" applyFont="1" applyFill="1" applyBorder="1" applyAlignment="1">
      <alignment horizontal="right" vertical="center"/>
    </xf>
    <xf numFmtId="183" fontId="51" fillId="0" borderId="27" xfId="0" applyNumberFormat="1" applyFont="1" applyBorder="1" applyAlignment="1">
      <alignment horizontal="right" vertical="center"/>
    </xf>
    <xf numFmtId="0" fontId="75" fillId="0" borderId="23" xfId="0" applyFont="1" applyBorder="1" applyAlignment="1">
      <alignment horizontal="left" vertical="top" wrapText="1"/>
    </xf>
    <xf numFmtId="0" fontId="49" fillId="0" borderId="24" xfId="0" applyFont="1" applyBorder="1" applyAlignment="1">
      <alignment vertical="center"/>
    </xf>
    <xf numFmtId="0" fontId="74" fillId="0" borderId="25" xfId="0" applyFont="1" applyBorder="1" applyAlignment="1">
      <alignment horizontal="left" vertical="top" wrapText="1"/>
    </xf>
    <xf numFmtId="0" fontId="49" fillId="0" borderId="25" xfId="0" applyFont="1" applyBorder="1" applyAlignment="1">
      <alignment horizontal="center"/>
    </xf>
    <xf numFmtId="165" fontId="49" fillId="0" borderId="25" xfId="1" applyFont="1" applyBorder="1"/>
    <xf numFmtId="0" fontId="49" fillId="0" borderId="25" xfId="0" applyFont="1" applyBorder="1"/>
    <xf numFmtId="0" fontId="49" fillId="0" borderId="26" xfId="0" applyFont="1" applyBorder="1" applyAlignment="1">
      <alignment wrapText="1"/>
    </xf>
    <xf numFmtId="0" fontId="70" fillId="2" borderId="23" xfId="0" applyFont="1" applyFill="1" applyBorder="1" applyAlignment="1">
      <alignment wrapText="1"/>
    </xf>
    <xf numFmtId="0" fontId="51" fillId="0" borderId="0" xfId="0" applyFont="1"/>
    <xf numFmtId="0" fontId="67" fillId="2" borderId="19" xfId="0" applyFont="1" applyFill="1" applyBorder="1" applyAlignment="1">
      <alignment wrapText="1"/>
    </xf>
    <xf numFmtId="0" fontId="51" fillId="0" borderId="0" xfId="0" applyFont="1" applyAlignment="1">
      <alignment horizontal="right"/>
    </xf>
    <xf numFmtId="0" fontId="51" fillId="0" borderId="0" xfId="0" applyFont="1"/>
    <xf numFmtId="0" fontId="48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51" fillId="0" borderId="0" xfId="0" quotePrefix="1" applyFont="1" applyAlignment="1">
      <alignment horizontal="right"/>
    </xf>
    <xf numFmtId="0" fontId="60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165" fontId="63" fillId="0" borderId="0" xfId="0" applyNumberFormat="1" applyFont="1" applyAlignment="1">
      <alignment horizontal="center"/>
    </xf>
    <xf numFmtId="0" fontId="6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65" fillId="32" borderId="32" xfId="0" applyFont="1" applyFill="1" applyBorder="1" applyAlignment="1">
      <alignment horizontal="center" vertical="center"/>
    </xf>
    <xf numFmtId="0" fontId="65" fillId="32" borderId="23" xfId="0" applyFont="1" applyFill="1" applyBorder="1" applyAlignment="1">
      <alignment horizontal="center" vertical="center"/>
    </xf>
    <xf numFmtId="0" fontId="65" fillId="32" borderId="32" xfId="0" applyFont="1" applyFill="1" applyBorder="1" applyAlignment="1">
      <alignment horizontal="center"/>
    </xf>
    <xf numFmtId="0" fontId="67" fillId="2" borderId="19" xfId="0" applyFont="1" applyFill="1" applyBorder="1"/>
    <xf numFmtId="1" fontId="78" fillId="0" borderId="19" xfId="0" applyNumberFormat="1" applyFont="1" applyFill="1" applyBorder="1" applyAlignment="1">
      <alignment horizontal="center"/>
    </xf>
    <xf numFmtId="0" fontId="79" fillId="0" borderId="13" xfId="0" applyFont="1" applyFill="1" applyBorder="1" applyAlignment="1">
      <alignment horizontal="center"/>
    </xf>
    <xf numFmtId="0" fontId="79" fillId="0" borderId="0" xfId="0" applyFont="1" applyFill="1" applyBorder="1" applyAlignment="1">
      <alignment horizontal="center"/>
    </xf>
    <xf numFmtId="0" fontId="27" fillId="0" borderId="34" xfId="0" applyFont="1" applyFill="1" applyBorder="1" applyAlignment="1">
      <alignment horizontal="center"/>
    </xf>
    <xf numFmtId="0" fontId="81" fillId="0" borderId="0" xfId="0" applyFont="1" applyFill="1" applyBorder="1"/>
    <xf numFmtId="0" fontId="82" fillId="0" borderId="19" xfId="0" applyFont="1" applyFill="1" applyBorder="1" applyAlignment="1">
      <alignment horizontal="center" vertical="center" wrapText="1"/>
    </xf>
    <xf numFmtId="0" fontId="82" fillId="0" borderId="35" xfId="0" applyFont="1" applyFill="1" applyBorder="1" applyAlignment="1">
      <alignment horizontal="center" vertical="center" wrapText="1"/>
    </xf>
    <xf numFmtId="0" fontId="82" fillId="0" borderId="35" xfId="0" applyFont="1" applyFill="1" applyBorder="1" applyAlignment="1">
      <alignment horizontal="center" vertical="center" wrapText="1"/>
    </xf>
    <xf numFmtId="2" fontId="83" fillId="0" borderId="35" xfId="0" applyNumberFormat="1" applyFont="1" applyFill="1" applyBorder="1" applyAlignment="1">
      <alignment horizontal="center"/>
    </xf>
    <xf numFmtId="0" fontId="82" fillId="0" borderId="35" xfId="0" applyFont="1" applyFill="1" applyBorder="1" applyAlignment="1">
      <alignment horizontal="center"/>
    </xf>
    <xf numFmtId="2" fontId="78" fillId="0" borderId="35" xfId="0" applyNumberFormat="1" applyFont="1" applyFill="1" applyBorder="1" applyAlignment="1">
      <alignment horizontal="center" vertical="center" wrapText="1"/>
    </xf>
    <xf numFmtId="2" fontId="78" fillId="0" borderId="35" xfId="0" applyNumberFormat="1" applyFont="1" applyFill="1" applyBorder="1" applyAlignment="1">
      <alignment horizontal="center" vertical="center"/>
    </xf>
    <xf numFmtId="0" fontId="82" fillId="0" borderId="36" xfId="0" applyFont="1" applyFill="1" applyBorder="1" applyAlignment="1">
      <alignment horizontal="center"/>
    </xf>
    <xf numFmtId="2" fontId="83" fillId="0" borderId="36" xfId="0" applyNumberFormat="1" applyFont="1" applyFill="1" applyBorder="1" applyAlignment="1">
      <alignment horizontal="center"/>
    </xf>
    <xf numFmtId="2" fontId="78" fillId="0" borderId="36" xfId="0" applyNumberFormat="1" applyFont="1" applyFill="1" applyBorder="1" applyAlignment="1">
      <alignment horizontal="center"/>
    </xf>
    <xf numFmtId="2" fontId="78" fillId="0" borderId="2" xfId="0" applyNumberFormat="1" applyFont="1" applyFill="1" applyBorder="1" applyAlignment="1">
      <alignment horizontal="center" vertical="center"/>
    </xf>
    <xf numFmtId="0" fontId="82" fillId="0" borderId="35" xfId="0" applyFont="1" applyFill="1" applyBorder="1" applyAlignment="1">
      <alignment horizontal="center" vertical="center"/>
    </xf>
    <xf numFmtId="2" fontId="78" fillId="0" borderId="35" xfId="0" applyNumberFormat="1" applyFont="1" applyFill="1" applyBorder="1" applyAlignment="1">
      <alignment horizontal="center"/>
    </xf>
    <xf numFmtId="2" fontId="78" fillId="0" borderId="2" xfId="0" applyNumberFormat="1" applyFont="1" applyFill="1" applyBorder="1" applyAlignment="1">
      <alignment horizontal="center"/>
    </xf>
    <xf numFmtId="2" fontId="78" fillId="0" borderId="36" xfId="0" applyNumberFormat="1" applyFont="1" applyFill="1" applyBorder="1" applyAlignment="1">
      <alignment horizontal="center" vertical="center"/>
    </xf>
    <xf numFmtId="0" fontId="82" fillId="0" borderId="0" xfId="0" applyFont="1" applyFill="1" applyBorder="1"/>
    <xf numFmtId="0" fontId="84" fillId="0" borderId="0" xfId="0" applyFont="1" applyFill="1" applyBorder="1"/>
    <xf numFmtId="2" fontId="78" fillId="0" borderId="19" xfId="0" applyNumberFormat="1" applyFont="1" applyFill="1" applyBorder="1" applyAlignment="1">
      <alignment horizontal="center"/>
    </xf>
    <xf numFmtId="0" fontId="85" fillId="0" borderId="0" xfId="0" applyFont="1" applyFill="1" applyBorder="1"/>
    <xf numFmtId="2" fontId="78" fillId="0" borderId="37" xfId="0" applyNumberFormat="1" applyFont="1" applyFill="1" applyBorder="1" applyAlignment="1">
      <alignment horizontal="center"/>
    </xf>
    <xf numFmtId="0" fontId="81" fillId="0" borderId="0" xfId="0" applyFont="1" applyFill="1" applyBorder="1" applyAlignment="1">
      <alignment horizontal="right"/>
    </xf>
    <xf numFmtId="0" fontId="78" fillId="0" borderId="0" xfId="0" applyFont="1" applyFill="1" applyBorder="1" applyAlignment="1">
      <alignment horizontal="center"/>
    </xf>
    <xf numFmtId="0" fontId="82" fillId="0" borderId="36" xfId="0" applyFont="1" applyFill="1" applyBorder="1" applyAlignment="1">
      <alignment horizontal="center" vertical="center"/>
    </xf>
    <xf numFmtId="0" fontId="82" fillId="0" borderId="36" xfId="0" applyFont="1" applyFill="1" applyBorder="1" applyAlignment="1">
      <alignment horizontal="center" vertical="center" wrapText="1"/>
    </xf>
    <xf numFmtId="0" fontId="80" fillId="0" borderId="38" xfId="0" applyFont="1" applyFill="1" applyBorder="1" applyAlignment="1">
      <alignment horizontal="center"/>
    </xf>
    <xf numFmtId="0" fontId="80" fillId="0" borderId="37" xfId="0" applyFont="1" applyFill="1" applyBorder="1" applyAlignment="1">
      <alignment horizontal="center"/>
    </xf>
    <xf numFmtId="183" fontId="52" fillId="2" borderId="27" xfId="0" applyNumberFormat="1" applyFont="1" applyFill="1" applyBorder="1" applyAlignment="1">
      <alignment horizontal="right" vertical="center"/>
    </xf>
    <xf numFmtId="2" fontId="52" fillId="2" borderId="23" xfId="1" applyNumberFormat="1" applyFont="1" applyFill="1" applyBorder="1" applyAlignment="1">
      <alignment horizontal="right"/>
    </xf>
    <xf numFmtId="0" fontId="52" fillId="0" borderId="23" xfId="0" applyFont="1" applyBorder="1"/>
    <xf numFmtId="0" fontId="52" fillId="0" borderId="23" xfId="0" quotePrefix="1" applyFont="1" applyBorder="1" applyAlignment="1">
      <alignment horizontal="right"/>
    </xf>
    <xf numFmtId="0" fontId="67" fillId="2" borderId="39" xfId="0" quotePrefix="1" applyFont="1" applyFill="1" applyBorder="1" applyAlignment="1">
      <alignment wrapText="1"/>
    </xf>
    <xf numFmtId="2" fontId="51" fillId="2" borderId="39" xfId="0" applyNumberFormat="1" applyFont="1" applyFill="1" applyBorder="1" applyAlignment="1">
      <alignment horizontal="right"/>
    </xf>
    <xf numFmtId="2" fontId="51" fillId="2" borderId="39" xfId="1" applyNumberFormat="1" applyFont="1" applyFill="1" applyBorder="1" applyAlignment="1">
      <alignment horizontal="right"/>
    </xf>
    <xf numFmtId="2" fontId="51" fillId="0" borderId="39" xfId="0" applyNumberFormat="1" applyFont="1" applyBorder="1" applyAlignment="1">
      <alignment horizontal="right"/>
    </xf>
    <xf numFmtId="183" fontId="51" fillId="2" borderId="40" xfId="0" applyNumberFormat="1" applyFont="1" applyFill="1" applyBorder="1" applyAlignment="1">
      <alignment horizontal="right" vertical="center"/>
    </xf>
    <xf numFmtId="2" fontId="51" fillId="0" borderId="41" xfId="1" applyNumberFormat="1" applyFont="1" applyBorder="1" applyAlignment="1">
      <alignment horizontal="right"/>
    </xf>
    <xf numFmtId="0" fontId="51" fillId="2" borderId="23" xfId="0" quotePrefix="1" applyFont="1" applyFill="1" applyBorder="1" applyAlignment="1">
      <alignment horizontal="right" vertical="top" wrapText="1"/>
    </xf>
    <xf numFmtId="2" fontId="51" fillId="33" borderId="23" xfId="1" applyNumberFormat="1" applyFont="1" applyFill="1" applyBorder="1" applyAlignment="1">
      <alignment horizontal="right"/>
    </xf>
    <xf numFmtId="2" fontId="51" fillId="0" borderId="23" xfId="1" applyNumberFormat="1" applyFont="1" applyFill="1" applyBorder="1" applyAlignment="1">
      <alignment horizontal="right"/>
    </xf>
    <xf numFmtId="0" fontId="51" fillId="33" borderId="23" xfId="0" applyFont="1" applyFill="1" applyBorder="1" applyAlignment="1">
      <alignment horizontal="right" vertical="top" wrapText="1"/>
    </xf>
    <xf numFmtId="2" fontId="51" fillId="33" borderId="23" xfId="0" applyNumberFormat="1" applyFont="1" applyFill="1" applyBorder="1" applyAlignment="1">
      <alignment horizontal="right"/>
    </xf>
    <xf numFmtId="2" fontId="51" fillId="33" borderId="41" xfId="1" applyNumberFormat="1" applyFont="1" applyFill="1" applyBorder="1" applyAlignment="1">
      <alignment horizontal="right"/>
    </xf>
  </cellXfs>
  <cellStyles count="759">
    <cellStyle name="??" xfId="476"/>
    <cellStyle name="?? [0.00]_PERSONAL" xfId="477"/>
    <cellStyle name="???? [0.00]_PERSONAL" xfId="478"/>
    <cellStyle name="????_PERSONAL" xfId="479"/>
    <cellStyle name="??_PERSONAL" xfId="480"/>
    <cellStyle name="20% - Accent1 10" xfId="457"/>
    <cellStyle name="20% - Accent1 11" xfId="592"/>
    <cellStyle name="20% - Accent1 12" xfId="638"/>
    <cellStyle name="20% - Accent1 13" xfId="724"/>
    <cellStyle name="20% - Accent1 2" xfId="2"/>
    <cellStyle name="20% - Accent1 3" xfId="138"/>
    <cellStyle name="20% - Accent1 4" xfId="209"/>
    <cellStyle name="20% - Accent1 5" xfId="241"/>
    <cellStyle name="20% - Accent1 6" xfId="267"/>
    <cellStyle name="20% - Accent1 7" xfId="328"/>
    <cellStyle name="20% - Accent1 8" xfId="370"/>
    <cellStyle name="20% - Accent1 9" xfId="396"/>
    <cellStyle name="20% - Accent2 10" xfId="467"/>
    <cellStyle name="20% - Accent2 11" xfId="593"/>
    <cellStyle name="20% - Accent2 12" xfId="639"/>
    <cellStyle name="20% - Accent2 13" xfId="723"/>
    <cellStyle name="20% - Accent2 2" xfId="3"/>
    <cellStyle name="20% - Accent2 3" xfId="139"/>
    <cellStyle name="20% - Accent2 4" xfId="222"/>
    <cellStyle name="20% - Accent2 5" xfId="251"/>
    <cellStyle name="20% - Accent2 6" xfId="268"/>
    <cellStyle name="20% - Accent2 7" xfId="340"/>
    <cellStyle name="20% - Accent2 8" xfId="380"/>
    <cellStyle name="20% - Accent2 9" xfId="397"/>
    <cellStyle name="20% - Accent3 10" xfId="456"/>
    <cellStyle name="20% - Accent3 11" xfId="594"/>
    <cellStyle name="20% - Accent3 12" xfId="640"/>
    <cellStyle name="20% - Accent3 13" xfId="722"/>
    <cellStyle name="20% - Accent3 2" xfId="4"/>
    <cellStyle name="20% - Accent3 3" xfId="140"/>
    <cellStyle name="20% - Accent3 4" xfId="208"/>
    <cellStyle name="20% - Accent3 5" xfId="240"/>
    <cellStyle name="20% - Accent3 6" xfId="269"/>
    <cellStyle name="20% - Accent3 7" xfId="327"/>
    <cellStyle name="20% - Accent3 8" xfId="369"/>
    <cellStyle name="20% - Accent3 9" xfId="398"/>
    <cellStyle name="20% - Accent4 10" xfId="455"/>
    <cellStyle name="20% - Accent4 11" xfId="595"/>
    <cellStyle name="20% - Accent4 12" xfId="641"/>
    <cellStyle name="20% - Accent4 13" xfId="721"/>
    <cellStyle name="20% - Accent4 2" xfId="5"/>
    <cellStyle name="20% - Accent4 3" xfId="141"/>
    <cellStyle name="20% - Accent4 4" xfId="207"/>
    <cellStyle name="20% - Accent4 5" xfId="239"/>
    <cellStyle name="20% - Accent4 6" xfId="270"/>
    <cellStyle name="20% - Accent4 7" xfId="326"/>
    <cellStyle name="20% - Accent4 8" xfId="368"/>
    <cellStyle name="20% - Accent4 9" xfId="399"/>
    <cellStyle name="20% - Accent5 10" xfId="452"/>
    <cellStyle name="20% - Accent5 11" xfId="596"/>
    <cellStyle name="20% - Accent5 12" xfId="642"/>
    <cellStyle name="20% - Accent5 13" xfId="720"/>
    <cellStyle name="20% - Accent5 2" xfId="6"/>
    <cellStyle name="20% - Accent5 3" xfId="142"/>
    <cellStyle name="20% - Accent5 4" xfId="204"/>
    <cellStyle name="20% - Accent5 5" xfId="236"/>
    <cellStyle name="20% - Accent5 6" xfId="271"/>
    <cellStyle name="20% - Accent5 7" xfId="325"/>
    <cellStyle name="20% - Accent5 8" xfId="365"/>
    <cellStyle name="20% - Accent5 9" xfId="400"/>
    <cellStyle name="20% - Accent6 10" xfId="451"/>
    <cellStyle name="20% - Accent6 11" xfId="597"/>
    <cellStyle name="20% - Accent6 12" xfId="643"/>
    <cellStyle name="20% - Accent6 13" xfId="719"/>
    <cellStyle name="20% - Accent6 2" xfId="7"/>
    <cellStyle name="20% - Accent6 3" xfId="143"/>
    <cellStyle name="20% - Accent6 4" xfId="231"/>
    <cellStyle name="20% - Accent6 5" xfId="260"/>
    <cellStyle name="20% - Accent6 6" xfId="272"/>
    <cellStyle name="20% - Accent6 7" xfId="324"/>
    <cellStyle name="20% - Accent6 8" xfId="389"/>
    <cellStyle name="20% - Accent6 9" xfId="401"/>
    <cellStyle name="40% - Accent1 10" xfId="466"/>
    <cellStyle name="40% - Accent1 11" xfId="598"/>
    <cellStyle name="40% - Accent1 12" xfId="644"/>
    <cellStyle name="40% - Accent1 13" xfId="718"/>
    <cellStyle name="40% - Accent1 2" xfId="8"/>
    <cellStyle name="40% - Accent1 3" xfId="144"/>
    <cellStyle name="40% - Accent1 4" xfId="203"/>
    <cellStyle name="40% - Accent1 5" xfId="235"/>
    <cellStyle name="40% - Accent1 6" xfId="273"/>
    <cellStyle name="40% - Accent1 7" xfId="348"/>
    <cellStyle name="40% - Accent1 8" xfId="364"/>
    <cellStyle name="40% - Accent1 9" xfId="402"/>
    <cellStyle name="40% - Accent2 10" xfId="450"/>
    <cellStyle name="40% - Accent2 11" xfId="599"/>
    <cellStyle name="40% - Accent2 12" xfId="645"/>
    <cellStyle name="40% - Accent2 13" xfId="717"/>
    <cellStyle name="40% - Accent2 2" xfId="9"/>
    <cellStyle name="40% - Accent2 3" xfId="145"/>
    <cellStyle name="40% - Accent2 4" xfId="221"/>
    <cellStyle name="40% - Accent2 5" xfId="250"/>
    <cellStyle name="40% - Accent2 6" xfId="274"/>
    <cellStyle name="40% - Accent2 7" xfId="351"/>
    <cellStyle name="40% - Accent2 8" xfId="379"/>
    <cellStyle name="40% - Accent2 9" xfId="403"/>
    <cellStyle name="40% - Accent3 10" xfId="449"/>
    <cellStyle name="40% - Accent3 11" xfId="600"/>
    <cellStyle name="40% - Accent3 12" xfId="646"/>
    <cellStyle name="40% - Accent3 13" xfId="716"/>
    <cellStyle name="40% - Accent3 2" xfId="10"/>
    <cellStyle name="40% - Accent3 3" xfId="146"/>
    <cellStyle name="40% - Accent3 4" xfId="202"/>
    <cellStyle name="40% - Accent3 5" xfId="234"/>
    <cellStyle name="40% - Accent3 6" xfId="275"/>
    <cellStyle name="40% - Accent3 7" xfId="347"/>
    <cellStyle name="40% - Accent3 8" xfId="363"/>
    <cellStyle name="40% - Accent3 9" xfId="404"/>
    <cellStyle name="40% - Accent4 10" xfId="469"/>
    <cellStyle name="40% - Accent4 11" xfId="601"/>
    <cellStyle name="40% - Accent4 12" xfId="647"/>
    <cellStyle name="40% - Accent4 13" xfId="715"/>
    <cellStyle name="40% - Accent4 2" xfId="11"/>
    <cellStyle name="40% - Accent4 3" xfId="147"/>
    <cellStyle name="40% - Accent4 4" xfId="201"/>
    <cellStyle name="40% - Accent4 5" xfId="233"/>
    <cellStyle name="40% - Accent4 6" xfId="276"/>
    <cellStyle name="40% - Accent4 7" xfId="323"/>
    <cellStyle name="40% - Accent4 8" xfId="362"/>
    <cellStyle name="40% - Accent4 9" xfId="405"/>
    <cellStyle name="40% - Accent5 10" xfId="448"/>
    <cellStyle name="40% - Accent5 11" xfId="602"/>
    <cellStyle name="40% - Accent5 12" xfId="648"/>
    <cellStyle name="40% - Accent5 13" xfId="714"/>
    <cellStyle name="40% - Accent5 2" xfId="12"/>
    <cellStyle name="40% - Accent5 3" xfId="148"/>
    <cellStyle name="40% - Accent5 4" xfId="224"/>
    <cellStyle name="40% - Accent5 5" xfId="253"/>
    <cellStyle name="40% - Accent5 6" xfId="277"/>
    <cellStyle name="40% - Accent5 7" xfId="322"/>
    <cellStyle name="40% - Accent5 8" xfId="382"/>
    <cellStyle name="40% - Accent5 9" xfId="406"/>
    <cellStyle name="40% - Accent6 10" xfId="465"/>
    <cellStyle name="40% - Accent6 11" xfId="603"/>
    <cellStyle name="40% - Accent6 12" xfId="649"/>
    <cellStyle name="40% - Accent6 13" xfId="713"/>
    <cellStyle name="40% - Accent6 2" xfId="13"/>
    <cellStyle name="40% - Accent6 3" xfId="149"/>
    <cellStyle name="40% - Accent6 4" xfId="200"/>
    <cellStyle name="40% - Accent6 5" xfId="232"/>
    <cellStyle name="40% - Accent6 6" xfId="278"/>
    <cellStyle name="40% - Accent6 7" xfId="321"/>
    <cellStyle name="40% - Accent6 8" xfId="361"/>
    <cellStyle name="40% - Accent6 9" xfId="407"/>
    <cellStyle name="60% - Accent1 10" xfId="447"/>
    <cellStyle name="60% - Accent1 11" xfId="604"/>
    <cellStyle name="60% - Accent1 12" xfId="650"/>
    <cellStyle name="60% - Accent1 13" xfId="712"/>
    <cellStyle name="60% - Accent1 2" xfId="14"/>
    <cellStyle name="60% - Accent1 3" xfId="150"/>
    <cellStyle name="60% - Accent1 4" xfId="220"/>
    <cellStyle name="60% - Accent1 5" xfId="249"/>
    <cellStyle name="60% - Accent1 6" xfId="279"/>
    <cellStyle name="60% - Accent1 7" xfId="339"/>
    <cellStyle name="60% - Accent1 8" xfId="378"/>
    <cellStyle name="60% - Accent1 9" xfId="408"/>
    <cellStyle name="60% - Accent2 10" xfId="446"/>
    <cellStyle name="60% - Accent2 11" xfId="605"/>
    <cellStyle name="60% - Accent2 12" xfId="651"/>
    <cellStyle name="60% - Accent2 13" xfId="711"/>
    <cellStyle name="60% - Accent2 2" xfId="15"/>
    <cellStyle name="60% - Accent2 3" xfId="151"/>
    <cellStyle name="60% - Accent2 4" xfId="199"/>
    <cellStyle name="60% - Accent2 5" xfId="165"/>
    <cellStyle name="60% - Accent2 6" xfId="280"/>
    <cellStyle name="60% - Accent2 7" xfId="320"/>
    <cellStyle name="60% - Accent2 8" xfId="360"/>
    <cellStyle name="60% - Accent2 9" xfId="409"/>
    <cellStyle name="60% - Accent3 10" xfId="445"/>
    <cellStyle name="60% - Accent3 11" xfId="606"/>
    <cellStyle name="60% - Accent3 12" xfId="652"/>
    <cellStyle name="60% - Accent3 13" xfId="710"/>
    <cellStyle name="60% - Accent3 2" xfId="16"/>
    <cellStyle name="60% - Accent3 3" xfId="152"/>
    <cellStyle name="60% - Accent3 4" xfId="198"/>
    <cellStyle name="60% - Accent3 5" xfId="166"/>
    <cellStyle name="60% - Accent3 6" xfId="281"/>
    <cellStyle name="60% - Accent3 7" xfId="350"/>
    <cellStyle name="60% - Accent3 8" xfId="359"/>
    <cellStyle name="60% - Accent3 9" xfId="410"/>
    <cellStyle name="60% - Accent4 10" xfId="444"/>
    <cellStyle name="60% - Accent4 11" xfId="607"/>
    <cellStyle name="60% - Accent4 12" xfId="653"/>
    <cellStyle name="60% - Accent4 13" xfId="698"/>
    <cellStyle name="60% - Accent4 2" xfId="17"/>
    <cellStyle name="60% - Accent4 3" xfId="153"/>
    <cellStyle name="60% - Accent4 4" xfId="197"/>
    <cellStyle name="60% - Accent4 5" xfId="167"/>
    <cellStyle name="60% - Accent4 6" xfId="282"/>
    <cellStyle name="60% - Accent4 7" xfId="319"/>
    <cellStyle name="60% - Accent4 8" xfId="358"/>
    <cellStyle name="60% - Accent4 9" xfId="411"/>
    <cellStyle name="60% - Accent5 10" xfId="471"/>
    <cellStyle name="60% - Accent5 11" xfId="608"/>
    <cellStyle name="60% - Accent5 12" xfId="654"/>
    <cellStyle name="60% - Accent5 13" xfId="688"/>
    <cellStyle name="60% - Accent5 2" xfId="18"/>
    <cellStyle name="60% - Accent5 3" xfId="154"/>
    <cellStyle name="60% - Accent5 4" xfId="196"/>
    <cellStyle name="60% - Accent5 5" xfId="213"/>
    <cellStyle name="60% - Accent5 6" xfId="283"/>
    <cellStyle name="60% - Accent5 7" xfId="349"/>
    <cellStyle name="60% - Accent5 8" xfId="357"/>
    <cellStyle name="60% - Accent5 9" xfId="412"/>
    <cellStyle name="60% - Accent6 10" xfId="474"/>
    <cellStyle name="60% - Accent6 11" xfId="609"/>
    <cellStyle name="60% - Accent6 12" xfId="655"/>
    <cellStyle name="60% - Accent6 13" xfId="693"/>
    <cellStyle name="60% - Accent6 2" xfId="19"/>
    <cellStyle name="60% - Accent6 3" xfId="155"/>
    <cellStyle name="60% - Accent6 4" xfId="227"/>
    <cellStyle name="60% - Accent6 5" xfId="256"/>
    <cellStyle name="60% - Accent6 6" xfId="284"/>
    <cellStyle name="60% - Accent6 7" xfId="318"/>
    <cellStyle name="60% - Accent6 8" xfId="385"/>
    <cellStyle name="60% - Accent6 9" xfId="413"/>
    <cellStyle name="Accent1 10" xfId="470"/>
    <cellStyle name="Accent1 11" xfId="610"/>
    <cellStyle name="Accent1 12" xfId="656"/>
    <cellStyle name="Accent1 13" xfId="687"/>
    <cellStyle name="Accent1 2" xfId="20"/>
    <cellStyle name="Accent1 3" xfId="156"/>
    <cellStyle name="Accent1 4" xfId="229"/>
    <cellStyle name="Accent1 5" xfId="258"/>
    <cellStyle name="Accent1 6" xfId="285"/>
    <cellStyle name="Accent1 7" xfId="317"/>
    <cellStyle name="Accent1 8" xfId="387"/>
    <cellStyle name="Accent1 9" xfId="414"/>
    <cellStyle name="Accent2 10" xfId="443"/>
    <cellStyle name="Accent2 11" xfId="611"/>
    <cellStyle name="Accent2 12" xfId="657"/>
    <cellStyle name="Accent2 13" xfId="686"/>
    <cellStyle name="Accent2 2" xfId="21"/>
    <cellStyle name="Accent2 3" xfId="157"/>
    <cellStyle name="Accent2 4" xfId="226"/>
    <cellStyle name="Accent2 5" xfId="255"/>
    <cellStyle name="Accent2 6" xfId="286"/>
    <cellStyle name="Accent2 7" xfId="345"/>
    <cellStyle name="Accent2 8" xfId="384"/>
    <cellStyle name="Accent2 9" xfId="415"/>
    <cellStyle name="Accent3 10" xfId="442"/>
    <cellStyle name="Accent3 11" xfId="612"/>
    <cellStyle name="Accent3 12" xfId="658"/>
    <cellStyle name="Accent3 13" xfId="683"/>
    <cellStyle name="Accent3 2" xfId="22"/>
    <cellStyle name="Accent3 3" xfId="158"/>
    <cellStyle name="Accent3 4" xfId="195"/>
    <cellStyle name="Accent3 5" xfId="168"/>
    <cellStyle name="Accent3 6" xfId="287"/>
    <cellStyle name="Accent3 7" xfId="344"/>
    <cellStyle name="Accent3 8" xfId="356"/>
    <cellStyle name="Accent3 9" xfId="416"/>
    <cellStyle name="Accent4 10" xfId="441"/>
    <cellStyle name="Accent4 11" xfId="613"/>
    <cellStyle name="Accent4 12" xfId="659"/>
    <cellStyle name="Accent4 13" xfId="709"/>
    <cellStyle name="Accent4 2" xfId="23"/>
    <cellStyle name="Accent4 3" xfId="159"/>
    <cellStyle name="Accent4 4" xfId="194"/>
    <cellStyle name="Accent4 5" xfId="169"/>
    <cellStyle name="Accent4 6" xfId="288"/>
    <cellStyle name="Accent4 7" xfId="316"/>
    <cellStyle name="Accent4 8" xfId="355"/>
    <cellStyle name="Accent4 9" xfId="417"/>
    <cellStyle name="Accent5 10" xfId="464"/>
    <cellStyle name="Accent5 11" xfId="614"/>
    <cellStyle name="Accent5 12" xfId="660"/>
    <cellStyle name="Accent5 13" xfId="682"/>
    <cellStyle name="Accent5 2" xfId="24"/>
    <cellStyle name="Accent5 3" xfId="160"/>
    <cellStyle name="Accent5 4" xfId="193"/>
    <cellStyle name="Accent5 5" xfId="170"/>
    <cellStyle name="Accent5 6" xfId="289"/>
    <cellStyle name="Accent5 7" xfId="315"/>
    <cellStyle name="Accent5 8" xfId="354"/>
    <cellStyle name="Accent5 9" xfId="418"/>
    <cellStyle name="Accent6 10" xfId="440"/>
    <cellStyle name="Accent6 11" xfId="615"/>
    <cellStyle name="Accent6 12" xfId="661"/>
    <cellStyle name="Accent6 13" xfId="692"/>
    <cellStyle name="Accent6 2" xfId="25"/>
    <cellStyle name="Accent6 3" xfId="161"/>
    <cellStyle name="Accent6 4" xfId="219"/>
    <cellStyle name="Accent6 5" xfId="248"/>
    <cellStyle name="Accent6 6" xfId="290"/>
    <cellStyle name="Accent6 7" xfId="314"/>
    <cellStyle name="Accent6 8" xfId="377"/>
    <cellStyle name="Accent6 9" xfId="419"/>
    <cellStyle name="as" xfId="481"/>
    <cellStyle name="Bad 10" xfId="473"/>
    <cellStyle name="Bad 11" xfId="616"/>
    <cellStyle name="Bad 12" xfId="662"/>
    <cellStyle name="Bad 13" xfId="681"/>
    <cellStyle name="Bad 2" xfId="26"/>
    <cellStyle name="Bad 3" xfId="162"/>
    <cellStyle name="Bad 4" xfId="192"/>
    <cellStyle name="Bad 5" xfId="214"/>
    <cellStyle name="Bad 6" xfId="291"/>
    <cellStyle name="Bad 7" xfId="343"/>
    <cellStyle name="Bad 8" xfId="353"/>
    <cellStyle name="Bad 9" xfId="420"/>
    <cellStyle name="Calc Currency (0)" xfId="482"/>
    <cellStyle name="Calc Currency (2)" xfId="483"/>
    <cellStyle name="Calc Percent (0)" xfId="484"/>
    <cellStyle name="Calc Percent (1)" xfId="485"/>
    <cellStyle name="Calc Percent (2)" xfId="486"/>
    <cellStyle name="Calc Units (0)" xfId="487"/>
    <cellStyle name="Calc Units (1)" xfId="488"/>
    <cellStyle name="Calc Units (2)" xfId="489"/>
    <cellStyle name="Calculation 10" xfId="439"/>
    <cellStyle name="Calculation 11" xfId="617"/>
    <cellStyle name="Calculation 12" xfId="663"/>
    <cellStyle name="Calculation 13" xfId="680"/>
    <cellStyle name="Calculation 2" xfId="27"/>
    <cellStyle name="Calculation 3" xfId="163"/>
    <cellStyle name="Calculation 4" xfId="228"/>
    <cellStyle name="Calculation 5" xfId="257"/>
    <cellStyle name="Calculation 6" xfId="292"/>
    <cellStyle name="Calculation 7" xfId="313"/>
    <cellStyle name="Calculation 8" xfId="386"/>
    <cellStyle name="Calculation 9" xfId="421"/>
    <cellStyle name="Check Cell 10" xfId="472"/>
    <cellStyle name="Check Cell 11" xfId="618"/>
    <cellStyle name="Check Cell 12" xfId="664"/>
    <cellStyle name="Check Cell 13" xfId="708"/>
    <cellStyle name="Check Cell 2" xfId="28"/>
    <cellStyle name="Check Cell 3" xfId="164"/>
    <cellStyle name="Check Cell 4" xfId="191"/>
    <cellStyle name="Check Cell 5" xfId="171"/>
    <cellStyle name="Check Cell 6" xfId="293"/>
    <cellStyle name="Check Cell 7" xfId="312"/>
    <cellStyle name="Check Cell 8" xfId="352"/>
    <cellStyle name="Check Cell 9" xfId="422"/>
    <cellStyle name="Comma" xfId="1" builtinId="3"/>
    <cellStyle name="Comma [00]" xfId="490"/>
    <cellStyle name="Comma 10" xfId="732"/>
    <cellStyle name="Comma 11" xfId="731"/>
    <cellStyle name="Comma 12" xfId="752"/>
    <cellStyle name="Comma 13" xfId="753"/>
    <cellStyle name="Comma 14" xfId="754"/>
    <cellStyle name="Comma 15" xfId="758"/>
    <cellStyle name="Comma 2" xfId="29"/>
    <cellStyle name="Comma 2 2" xfId="30"/>
    <cellStyle name="Comma 2 2 2" xfId="491"/>
    <cellStyle name="Comma 2 2 2 2" xfId="739"/>
    <cellStyle name="Comma 2 2 2 2 2" xfId="749"/>
    <cellStyle name="Comma 2 3" xfId="31"/>
    <cellStyle name="Comma 2 3 2" xfId="109"/>
    <cellStyle name="Comma 2 4" xfId="492"/>
    <cellStyle name="Comma 2 5" xfId="737"/>
    <cellStyle name="Comma 3" xfId="32"/>
    <cellStyle name="Comma 3 2" xfId="33"/>
    <cellStyle name="Comma 3 2 2" xfId="493"/>
    <cellStyle name="Comma 3 3" xfId="34"/>
    <cellStyle name="Comma 3 4" xfId="110"/>
    <cellStyle name="Comma 3 5" xfId="745"/>
    <cellStyle name="Comma 4" xfId="35"/>
    <cellStyle name="Comma 4 2" xfId="36"/>
    <cellStyle name="Comma 4 3" xfId="111"/>
    <cellStyle name="Comma 4 4" xfId="747"/>
    <cellStyle name="Comma 5" xfId="37"/>
    <cellStyle name="Comma 5 2" xfId="494"/>
    <cellStyle name="Comma 6" xfId="112"/>
    <cellStyle name="Comma 6 2" xfId="495"/>
    <cellStyle name="Comma 7" xfId="496"/>
    <cellStyle name="Comma 7 2" xfId="497"/>
    <cellStyle name="Comma 8" xfId="498"/>
    <cellStyle name="Comma 9" xfId="730"/>
    <cellStyle name="Comma0" xfId="499"/>
    <cellStyle name="Comma0 - Modelo1" xfId="500"/>
    <cellStyle name="Comma0 - Style1" xfId="501"/>
    <cellStyle name="Comma1 - Modelo2" xfId="502"/>
    <cellStyle name="Comma1 - Style2" xfId="503"/>
    <cellStyle name="ContentsHyperlink" xfId="124"/>
    <cellStyle name="Currency [00]" xfId="504"/>
    <cellStyle name="Currency0" xfId="505"/>
    <cellStyle name="Custom - Style1" xfId="506"/>
    <cellStyle name="Data   - Style2" xfId="507"/>
    <cellStyle name="Date" xfId="508"/>
    <cellStyle name="Date Short" xfId="509"/>
    <cellStyle name="DELTA" xfId="510"/>
    <cellStyle name="Dia" xfId="511"/>
    <cellStyle name="Encabez1" xfId="512"/>
    <cellStyle name="Encabez2" xfId="513"/>
    <cellStyle name="Enter Currency (0)" xfId="514"/>
    <cellStyle name="Enter Currency (2)" xfId="515"/>
    <cellStyle name="Enter Units (0)" xfId="516"/>
    <cellStyle name="Enter Units (1)" xfId="517"/>
    <cellStyle name="Enter Units (2)" xfId="518"/>
    <cellStyle name="Explanatory Text 10" xfId="437"/>
    <cellStyle name="Explanatory Text 11" xfId="619"/>
    <cellStyle name="Explanatory Text 12" xfId="665"/>
    <cellStyle name="Explanatory Text 13" xfId="707"/>
    <cellStyle name="Explanatory Text 2" xfId="38"/>
    <cellStyle name="Explanatory Text 3" xfId="172"/>
    <cellStyle name="Explanatory Text 4" xfId="190"/>
    <cellStyle name="Explanatory Text 5" xfId="173"/>
    <cellStyle name="Explanatory Text 6" xfId="296"/>
    <cellStyle name="Explanatory Text 7" xfId="311"/>
    <cellStyle name="Explanatory Text 8" xfId="294"/>
    <cellStyle name="Explanatory Text 9" xfId="423"/>
    <cellStyle name="F2" xfId="39"/>
    <cellStyle name="F3" xfId="40"/>
    <cellStyle name="F4" xfId="41"/>
    <cellStyle name="F5" xfId="42"/>
    <cellStyle name="F6" xfId="43"/>
    <cellStyle name="F7" xfId="44"/>
    <cellStyle name="F8" xfId="45"/>
    <cellStyle name="Fijo" xfId="519"/>
    <cellStyle name="Financiero" xfId="520"/>
    <cellStyle name="Fixed" xfId="521"/>
    <cellStyle name="Formulas" xfId="522"/>
    <cellStyle name="General" xfId="46"/>
    <cellStyle name="Good 10" xfId="463"/>
    <cellStyle name="Good 11" xfId="620"/>
    <cellStyle name="Good 12" xfId="666"/>
    <cellStyle name="Good 13" xfId="679"/>
    <cellStyle name="Good 2" xfId="47"/>
    <cellStyle name="Good 3" xfId="174"/>
    <cellStyle name="Good 4" xfId="225"/>
    <cellStyle name="Good 5" xfId="254"/>
    <cellStyle name="Good 6" xfId="299"/>
    <cellStyle name="Good 7" xfId="310"/>
    <cellStyle name="Good 8" xfId="383"/>
    <cellStyle name="Good 9" xfId="424"/>
    <cellStyle name="Grey" xfId="48"/>
    <cellStyle name="Grey 2" xfId="523"/>
    <cellStyle name="Header1" xfId="524"/>
    <cellStyle name="Header2" xfId="525"/>
    <cellStyle name="Heading 1 10" xfId="436"/>
    <cellStyle name="Heading 1 11" xfId="621"/>
    <cellStyle name="Heading 1 12" xfId="667"/>
    <cellStyle name="Heading 1 13" xfId="697"/>
    <cellStyle name="Heading 1 2" xfId="49"/>
    <cellStyle name="Heading 1 3" xfId="175"/>
    <cellStyle name="Heading 1 4" xfId="189"/>
    <cellStyle name="Heading 1 5" xfId="179"/>
    <cellStyle name="Heading 1 6" xfId="300"/>
    <cellStyle name="Heading 1 7" xfId="341"/>
    <cellStyle name="Heading 1 8" xfId="334"/>
    <cellStyle name="Heading 1 9" xfId="425"/>
    <cellStyle name="Heading 2 10" xfId="435"/>
    <cellStyle name="Heading 2 11" xfId="622"/>
    <cellStyle name="Heading 2 12" xfId="668"/>
    <cellStyle name="Heading 2 13" xfId="678"/>
    <cellStyle name="Heading 2 2" xfId="50"/>
    <cellStyle name="Heading 2 3" xfId="176"/>
    <cellStyle name="Heading 2 4" xfId="188"/>
    <cellStyle name="Heading 2 5" xfId="180"/>
    <cellStyle name="Heading 2 6" xfId="301"/>
    <cellStyle name="Heading 2 7" xfId="338"/>
    <cellStyle name="Heading 2 8" xfId="295"/>
    <cellStyle name="Heading 2 9" xfId="426"/>
    <cellStyle name="Heading 3 10" xfId="434"/>
    <cellStyle name="Heading 3 11" xfId="623"/>
    <cellStyle name="Heading 3 12" xfId="669"/>
    <cellStyle name="Heading 3 13" xfId="706"/>
    <cellStyle name="Heading 3 2" xfId="51"/>
    <cellStyle name="Heading 3 3" xfId="177"/>
    <cellStyle name="Heading 3 4" xfId="218"/>
    <cellStyle name="Heading 3 5" xfId="247"/>
    <cellStyle name="Heading 3 6" xfId="302"/>
    <cellStyle name="Heading 3 7" xfId="337"/>
    <cellStyle name="Heading 3 8" xfId="376"/>
    <cellStyle name="Heading 3 9" xfId="427"/>
    <cellStyle name="Heading 4 10" xfId="462"/>
    <cellStyle name="Heading 4 11" xfId="624"/>
    <cellStyle name="Heading 4 12" xfId="670"/>
    <cellStyle name="Heading 4 13" xfId="696"/>
    <cellStyle name="Heading 4 2" xfId="52"/>
    <cellStyle name="Heading 4 3" xfId="178"/>
    <cellStyle name="Heading 4 4" xfId="187"/>
    <cellStyle name="Heading 4 5" xfId="215"/>
    <cellStyle name="Heading 4 6" xfId="303"/>
    <cellStyle name="Heading 4 7" xfId="342"/>
    <cellStyle name="Heading 4 8" xfId="335"/>
    <cellStyle name="Heading 4 9" xfId="428"/>
    <cellStyle name="HEADING1" xfId="526"/>
    <cellStyle name="HEADING2" xfId="527"/>
    <cellStyle name="Hyperlink 2" xfId="53"/>
    <cellStyle name="Hyperlink 2 2" xfId="54"/>
    <cellStyle name="Hyperlink 2 3" xfId="55"/>
    <cellStyle name="Hyperlink 2 4" xfId="113"/>
    <cellStyle name="Hyperlink 3" xfId="528"/>
    <cellStyle name="Input [yellow]" xfId="57"/>
    <cellStyle name="Input [yellow] 2" xfId="529"/>
    <cellStyle name="Input 10" xfId="433"/>
    <cellStyle name="Input 11" xfId="625"/>
    <cellStyle name="Input 12" xfId="671"/>
    <cellStyle name="Input 13" xfId="695"/>
    <cellStyle name="Input 2" xfId="56"/>
    <cellStyle name="Input 3" xfId="181"/>
    <cellStyle name="Input 4" xfId="217"/>
    <cellStyle name="Input 5" xfId="246"/>
    <cellStyle name="Input 6" xfId="305"/>
    <cellStyle name="Input 7" xfId="308"/>
    <cellStyle name="Input 8" xfId="375"/>
    <cellStyle name="Input 9" xfId="429"/>
    <cellStyle name="Item" xfId="530"/>
    <cellStyle name="Labels - Style3" xfId="531"/>
    <cellStyle name="Labels - Style3 2" xfId="532"/>
    <cellStyle name="Link Currency (0)" xfId="533"/>
    <cellStyle name="Link Currency (2)" xfId="534"/>
    <cellStyle name="Link Units (0)" xfId="535"/>
    <cellStyle name="Link Units (1)" xfId="536"/>
    <cellStyle name="Link Units (2)" xfId="537"/>
    <cellStyle name="Linked Cell 10" xfId="546"/>
    <cellStyle name="Linked Cell 11" xfId="626"/>
    <cellStyle name="Linked Cell 12" xfId="672"/>
    <cellStyle name="Linked Cell 13" xfId="705"/>
    <cellStyle name="Linked Cell 2" xfId="58"/>
    <cellStyle name="Linked Cell 3" xfId="182"/>
    <cellStyle name="Linked Cell 4" xfId="223"/>
    <cellStyle name="Linked Cell 5" xfId="252"/>
    <cellStyle name="Linked Cell 6" xfId="306"/>
    <cellStyle name="Linked Cell 7" xfId="336"/>
    <cellStyle name="Linked Cell 8" xfId="381"/>
    <cellStyle name="Linked Cell 9" xfId="430"/>
    <cellStyle name="Millares [0]_10 AVERIAS MASIVAS + ANT" xfId="538"/>
    <cellStyle name="Neutral 10" xfId="461"/>
    <cellStyle name="Neutral 11" xfId="627"/>
    <cellStyle name="Neutral 12" xfId="673"/>
    <cellStyle name="Neutral 13" xfId="694"/>
    <cellStyle name="Neutral 2" xfId="59"/>
    <cellStyle name="Neutral 3" xfId="183"/>
    <cellStyle name="Neutral 4" xfId="186"/>
    <cellStyle name="Neutral 5" xfId="184"/>
    <cellStyle name="Neutral 6" xfId="307"/>
    <cellStyle name="Neutral 7" xfId="304"/>
    <cellStyle name="Neutral 8" xfId="297"/>
    <cellStyle name="Neutral 9" xfId="431"/>
    <cellStyle name="Normal" xfId="0" builtinId="0"/>
    <cellStyle name="Normal - Style1" xfId="60"/>
    <cellStyle name="Normal 10" xfId="61"/>
    <cellStyle name="Normal 10 2" xfId="742"/>
    <cellStyle name="Normal 11" xfId="62"/>
    <cellStyle name="Normal 11 2" xfId="736"/>
    <cellStyle name="Normal 12" xfId="63"/>
    <cellStyle name="Normal 12 2" xfId="125"/>
    <cellStyle name="Normal 12 2 2" xfId="539"/>
    <cellStyle name="Normal 12 3" xfId="540"/>
    <cellStyle name="Normal 13" xfId="114"/>
    <cellStyle name="Normal 13 2" xfId="541"/>
    <cellStyle name="Normal 14" xfId="115"/>
    <cellStyle name="Normal 15" xfId="123"/>
    <cellStyle name="Normal 15 4 4" xfId="740"/>
    <cellStyle name="Normal 16" xfId="65"/>
    <cellStyle name="Normal 16 2" xfId="542"/>
    <cellStyle name="Normal 16 3" xfId="588"/>
    <cellStyle name="Normal 16 4" xfId="634"/>
    <cellStyle name="Normal 16 5" xfId="702"/>
    <cellStyle name="Normal 16 6" xfId="726"/>
    <cellStyle name="Normal 17" xfId="230"/>
    <cellStyle name="Normal 17 2" xfId="543"/>
    <cellStyle name="Normal 17 2 2" xfId="544"/>
    <cellStyle name="Normal 17 3" xfId="589"/>
    <cellStyle name="Normal 17 4" xfId="635"/>
    <cellStyle name="Normal 17 5" xfId="703"/>
    <cellStyle name="Normal 17 6" xfId="727"/>
    <cellStyle name="Normal 18" xfId="259"/>
    <cellStyle name="Normal 18 2" xfId="545"/>
    <cellStyle name="Normal 18 3" xfId="590"/>
    <cellStyle name="Normal 18 4" xfId="636"/>
    <cellStyle name="Normal 18 5" xfId="704"/>
    <cellStyle name="Normal 18 6" xfId="728"/>
    <cellStyle name="Normal 19" xfId="346"/>
    <cellStyle name="Normal 2" xfId="266"/>
    <cellStyle name="Normal 2 10" xfId="116"/>
    <cellStyle name="Normal 2 11" xfId="185"/>
    <cellStyle name="Normal 2 11 2" xfId="547"/>
    <cellStyle name="Normal 2 12" xfId="216"/>
    <cellStyle name="Normal 2 13" xfId="245"/>
    <cellStyle name="Normal 2 14" xfId="309"/>
    <cellStyle name="Normal 2 15" xfId="298"/>
    <cellStyle name="Normal 2 16" xfId="374"/>
    <cellStyle name="Normal 2 17" xfId="432"/>
    <cellStyle name="Normal 2 18" xfId="468"/>
    <cellStyle name="Normal 2 19" xfId="628"/>
    <cellStyle name="Normal 2 2" xfId="64"/>
    <cellStyle name="Normal 2 2 2" xfId="66"/>
    <cellStyle name="Normal 2 2 2 2" xfId="67"/>
    <cellStyle name="Normal 2 2 2 2 2" xfId="126"/>
    <cellStyle name="Normal 2 2 2 2 2 2" xfId="548"/>
    <cellStyle name="Normal 2 2 2 2 3" xfId="549"/>
    <cellStyle name="Normal 2 2 2 26" xfId="748"/>
    <cellStyle name="Normal 2 2 2 3" xfId="68"/>
    <cellStyle name="Normal 2 2 2 4" xfId="117"/>
    <cellStyle name="Normal 2 2 2_0.JHOR JAHANIYA ESTIMATE" xfId="69"/>
    <cellStyle name="Normal 2 2 3" xfId="70"/>
    <cellStyle name="Normal 2 2 4" xfId="71"/>
    <cellStyle name="Normal 2 2 5" xfId="72"/>
    <cellStyle name="Normal 2 2 6" xfId="118"/>
    <cellStyle name="Normal 2 2_Estimated BOQ, cost, summary" xfId="73"/>
    <cellStyle name="Normal 2 20" xfId="676"/>
    <cellStyle name="Normal 2 21" xfId="677"/>
    <cellStyle name="Normal 2 3" xfId="74"/>
    <cellStyle name="Normal 2 3 2" xfId="75"/>
    <cellStyle name="Normal 2 3 3" xfId="131"/>
    <cellStyle name="Normal 2 4" xfId="76"/>
    <cellStyle name="Normal 2 4 2" xfId="743"/>
    <cellStyle name="Normal 2 5" xfId="77"/>
    <cellStyle name="Normal 2 6" xfId="78"/>
    <cellStyle name="Normal 2 7" xfId="79"/>
    <cellStyle name="Normal 2 7 2" xfId="550"/>
    <cellStyle name="Normal 2 8" xfId="80"/>
    <cellStyle name="Normal 2 8 2" xfId="551"/>
    <cellStyle name="Normal 2 9" xfId="81"/>
    <cellStyle name="Normal 2 9 2" xfId="127"/>
    <cellStyle name="Normal 2 9 2 2" xfId="552"/>
    <cellStyle name="Normal 2 9 3" xfId="553"/>
    <cellStyle name="Normal 2_150m3" xfId="438"/>
    <cellStyle name="Normal 20" xfId="388"/>
    <cellStyle name="Normal 21" xfId="395"/>
    <cellStyle name="Normal 22" xfId="475"/>
    <cellStyle name="Normal 23" xfId="591"/>
    <cellStyle name="Normal 24" xfId="637"/>
    <cellStyle name="Normal 25" xfId="725"/>
    <cellStyle name="Normal 25 4" xfId="738"/>
    <cellStyle name="Normal 26" xfId="729"/>
    <cellStyle name="Normal 27" xfId="735"/>
    <cellStyle name="Normal 28" xfId="751"/>
    <cellStyle name="Normal 29" xfId="756"/>
    <cellStyle name="Normal 3" xfId="82"/>
    <cellStyle name="Normal 3 2" xfId="83"/>
    <cellStyle name="Normal 3 2 2" xfId="554"/>
    <cellStyle name="Normal 3 22" xfId="741"/>
    <cellStyle name="Normal 3 3" xfId="84"/>
    <cellStyle name="Normal 3 3 2" xfId="128"/>
    <cellStyle name="Normal 3 3 3" xfId="555"/>
    <cellStyle name="Normal 3 3 4" xfId="556"/>
    <cellStyle name="Normal 3 4" xfId="129"/>
    <cellStyle name="Normal 3_Cost Estimate for ghat renovation" xfId="557"/>
    <cellStyle name="Normal 30" xfId="757"/>
    <cellStyle name="Normal 31" xfId="755"/>
    <cellStyle name="Normal 32" xfId="750"/>
    <cellStyle name="Normal 4" xfId="85"/>
    <cellStyle name="Normal 4 2" xfId="86"/>
    <cellStyle name="Normal 4 2 2" xfId="134"/>
    <cellStyle name="Normal 4 2 3" xfId="558"/>
    <cellStyle name="Normal 4 3" xfId="87"/>
    <cellStyle name="Normal 4 3 2" xfId="135"/>
    <cellStyle name="Normal 4 3 3" xfId="559"/>
    <cellStyle name="Normal 4 4" xfId="88"/>
    <cellStyle name="Normal 4 5" xfId="119"/>
    <cellStyle name="Normal 4 6" xfId="733"/>
    <cellStyle name="Normal 4_0.JHOR JAHANIYA ESTIMATE" xfId="89"/>
    <cellStyle name="Normal 5" xfId="90"/>
    <cellStyle name="Normal 5 2" xfId="91"/>
    <cellStyle name="Normal 5 2 2" xfId="132"/>
    <cellStyle name="Normal 5 2 2 2" xfId="136"/>
    <cellStyle name="Normal 5 2 3" xfId="560"/>
    <cellStyle name="Normal 5 2 3 2" xfId="561"/>
    <cellStyle name="Normal 5 2 4" xfId="562"/>
    <cellStyle name="Normal 5 2_Setidevi-1" xfId="133"/>
    <cellStyle name="Normal 5 3" xfId="92"/>
    <cellStyle name="Normal 5 6" xfId="563"/>
    <cellStyle name="Normal 5_Setidevi-1" xfId="93"/>
    <cellStyle name="Normal 6" xfId="94"/>
    <cellStyle name="Normal 6 2" xfId="95"/>
    <cellStyle name="Normal 6 3" xfId="120"/>
    <cellStyle name="Normal 6 4" xfId="744"/>
    <cellStyle name="Normal 7" xfId="96"/>
    <cellStyle name="Normal 7 2" xfId="130"/>
    <cellStyle name="Normal 7 3" xfId="564"/>
    <cellStyle name="Normal 7 4" xfId="746"/>
    <cellStyle name="Normal 8" xfId="97"/>
    <cellStyle name="Normal 8 2" xfId="98"/>
    <cellStyle name="Normal 8 3" xfId="121"/>
    <cellStyle name="Normal 9" xfId="99"/>
    <cellStyle name="Normal 9 2" xfId="565"/>
    <cellStyle name="Normal_Rates" xfId="734"/>
    <cellStyle name="Normalaprom-lat" xfId="100"/>
    <cellStyle name="Note 10" xfId="583"/>
    <cellStyle name="Note 11" xfId="629"/>
    <cellStyle name="Note 12" xfId="684"/>
    <cellStyle name="Note 13" xfId="701"/>
    <cellStyle name="Note 2" xfId="101"/>
    <cellStyle name="Note 3" xfId="205"/>
    <cellStyle name="Note 4" xfId="237"/>
    <cellStyle name="Note 5" xfId="261"/>
    <cellStyle name="Note 6" xfId="329"/>
    <cellStyle name="Note 7" xfId="366"/>
    <cellStyle name="Note 8" xfId="390"/>
    <cellStyle name="Note 9" xfId="453"/>
    <cellStyle name="Output 10" xfId="584"/>
    <cellStyle name="Output 11" xfId="630"/>
    <cellStyle name="Output 12" xfId="685"/>
    <cellStyle name="Output 13" xfId="700"/>
    <cellStyle name="Output 2" xfId="102"/>
    <cellStyle name="Output 3" xfId="206"/>
    <cellStyle name="Output 4" xfId="238"/>
    <cellStyle name="Output 5" xfId="262"/>
    <cellStyle name="Output 6" xfId="330"/>
    <cellStyle name="Output 7" xfId="367"/>
    <cellStyle name="Output 8" xfId="391"/>
    <cellStyle name="Output 9" xfId="454"/>
    <cellStyle name="Percent [2]" xfId="103"/>
    <cellStyle name="Percent [2] 2" xfId="104"/>
    <cellStyle name="Percent [2] 3" xfId="122"/>
    <cellStyle name="Percent 2" xfId="105"/>
    <cellStyle name="Percent 2 2" xfId="137"/>
    <cellStyle name="Percent 3" xfId="566"/>
    <cellStyle name="Reset  - Style4" xfId="567"/>
    <cellStyle name="special" xfId="568"/>
    <cellStyle name="STYL1 - Style1" xfId="569"/>
    <cellStyle name="STYL2 - Style2" xfId="570"/>
    <cellStyle name="Table  - Style5" xfId="571"/>
    <cellStyle name="Title  - Style6" xfId="572"/>
    <cellStyle name="Title  - Style6 2" xfId="573"/>
    <cellStyle name="Title 10" xfId="585"/>
    <cellStyle name="Title 11" xfId="631"/>
    <cellStyle name="Title 12" xfId="689"/>
    <cellStyle name="Title 13" xfId="675"/>
    <cellStyle name="Title 2" xfId="106"/>
    <cellStyle name="Title 3" xfId="210"/>
    <cellStyle name="Title 4" xfId="242"/>
    <cellStyle name="Title 5" xfId="263"/>
    <cellStyle name="Title 6" xfId="331"/>
    <cellStyle name="Title 7" xfId="371"/>
    <cellStyle name="Title 8" xfId="392"/>
    <cellStyle name="Title 9" xfId="458"/>
    <cellStyle name="Total 10" xfId="586"/>
    <cellStyle name="Total 11" xfId="632"/>
    <cellStyle name="Total 12" xfId="690"/>
    <cellStyle name="Total 13" xfId="674"/>
    <cellStyle name="Total 2" xfId="107"/>
    <cellStyle name="Total 3" xfId="211"/>
    <cellStyle name="Total 4" xfId="243"/>
    <cellStyle name="Total 5" xfId="264"/>
    <cellStyle name="Total 6" xfId="332"/>
    <cellStyle name="Total 7" xfId="372"/>
    <cellStyle name="Total 8" xfId="393"/>
    <cellStyle name="Total 9" xfId="459"/>
    <cellStyle name="TotCol - Style7" xfId="574"/>
    <cellStyle name="TotRow - Style8" xfId="575"/>
    <cellStyle name="Turn" xfId="576"/>
    <cellStyle name="Warning Text 10" xfId="587"/>
    <cellStyle name="Warning Text 11" xfId="633"/>
    <cellStyle name="Warning Text 12" xfId="691"/>
    <cellStyle name="Warning Text 13" xfId="699"/>
    <cellStyle name="Warning Text 2" xfId="108"/>
    <cellStyle name="Warning Text 3" xfId="212"/>
    <cellStyle name="Warning Text 4" xfId="244"/>
    <cellStyle name="Warning Text 5" xfId="265"/>
    <cellStyle name="Warning Text 6" xfId="333"/>
    <cellStyle name="Warning Text 7" xfId="373"/>
    <cellStyle name="Warning Text 8" xfId="394"/>
    <cellStyle name="Warning Text 9" xfId="460"/>
    <cellStyle name="백분율_95" xfId="577"/>
    <cellStyle name="콤마 [0]_95" xfId="578"/>
    <cellStyle name="콤마_95" xfId="579"/>
    <cellStyle name="통화 [0]_95" xfId="580"/>
    <cellStyle name="통화_95" xfId="581"/>
    <cellStyle name="표준_4월실적" xfId="58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482136</xdr:colOff>
      <xdr:row>8</xdr:row>
      <xdr:rowOff>91719</xdr:rowOff>
    </xdr:from>
    <xdr:to>
      <xdr:col>3</xdr:col>
      <xdr:colOff>2569</xdr:colOff>
      <xdr:row>9</xdr:row>
      <xdr:rowOff>96320</xdr:rowOff>
    </xdr:to>
    <xdr:sp macro="" textlink="">
      <xdr:nvSpPr>
        <xdr:cNvPr id="4" name="Text Box 41"/>
        <xdr:cNvSpPr txBox="1">
          <a:spLocks noChangeArrowheads="1"/>
        </xdr:cNvSpPr>
      </xdr:nvSpPr>
      <xdr:spPr bwMode="auto">
        <a:xfrm>
          <a:off x="1876596" y="546026619"/>
          <a:ext cx="320533" cy="23320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=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rate%20analysis%2080-81\For%20all%20Civil%20rate%20analysis%2080-81%20shankharapur%20Municipality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estimate%20FY%2080-81\rate%20analysis%2080-81\For%20all%20Civil%20rate%20analysis%2080-81%20shankharapur%20Municipality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ic"/>
      <sheetName val="Dist Rate"/>
      <sheetName val="Material rate"/>
      <sheetName val="update Rate"/>
      <sheetName val="Plant and Machinary"/>
      <sheetName val="Sheet2"/>
      <sheetName val="Table of Content 2"/>
      <sheetName val="Update Descrip"/>
      <sheetName val="Sheet3"/>
      <sheetName val="Table of Content 1"/>
      <sheetName val="Sheet1"/>
      <sheetName val="rate anal ciaa"/>
      <sheetName val="inland reven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3">
          <cell r="H43">
            <v>14911.97</v>
          </cell>
        </row>
        <row r="67">
          <cell r="H67">
            <v>17107.900000000001</v>
          </cell>
        </row>
        <row r="77">
          <cell r="H77">
            <v>130210</v>
          </cell>
        </row>
        <row r="155">
          <cell r="H155">
            <v>692.38</v>
          </cell>
        </row>
        <row r="187">
          <cell r="H187">
            <v>286.77</v>
          </cell>
        </row>
        <row r="215">
          <cell r="H215">
            <v>402.23</v>
          </cell>
        </row>
        <row r="312">
          <cell r="H312">
            <v>9900</v>
          </cell>
        </row>
        <row r="314">
          <cell r="H314">
            <v>97.2</v>
          </cell>
        </row>
        <row r="412">
          <cell r="H412">
            <v>2761</v>
          </cell>
        </row>
      </sheetData>
      <sheetData sheetId="7" refreshError="1">
        <row r="396">
          <cell r="G396">
            <v>8765.1200000000008</v>
          </cell>
        </row>
        <row r="397">
          <cell r="G397">
            <v>1443.1000000000001</v>
          </cell>
        </row>
        <row r="398">
          <cell r="G398">
            <v>701.96</v>
          </cell>
        </row>
        <row r="676">
          <cell r="G676">
            <v>5772.4000000000005</v>
          </cell>
        </row>
        <row r="677">
          <cell r="G677">
            <v>2052.92</v>
          </cell>
        </row>
        <row r="678">
          <cell r="G678">
            <v>901.11</v>
          </cell>
        </row>
        <row r="679">
          <cell r="G679">
            <v>1065.47</v>
          </cell>
        </row>
        <row r="1804">
          <cell r="G1804">
            <v>1876.03</v>
          </cell>
        </row>
        <row r="1805">
          <cell r="G1805">
            <v>451.26</v>
          </cell>
        </row>
        <row r="1806">
          <cell r="G1806">
            <v>1296.58</v>
          </cell>
        </row>
        <row r="2269">
          <cell r="H2269">
            <v>767.72</v>
          </cell>
        </row>
        <row r="2611">
          <cell r="G2611">
            <v>7763.87</v>
          </cell>
        </row>
        <row r="2612">
          <cell r="G2612">
            <v>3660.23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ic"/>
      <sheetName val="Dist Rate"/>
      <sheetName val="Material rate"/>
      <sheetName val="update Rate"/>
      <sheetName val="Plant and Machinary"/>
      <sheetName val="Sheet2"/>
      <sheetName val="Table of Content 2"/>
      <sheetName val="Update Descrip"/>
      <sheetName val="Sheet3"/>
      <sheetName val="Table of Content 1"/>
      <sheetName val="Sheet1"/>
      <sheetName val="rate anal ciaa"/>
      <sheetName val="inland reven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00">
          <cell r="H100">
            <v>1065.6608695652174</v>
          </cell>
        </row>
        <row r="329">
          <cell r="H329">
            <v>68.400000000000006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80"/>
  <sheetViews>
    <sheetView view="pageBreakPreview" zoomScaleNormal="100" zoomScaleSheetLayoutView="100" workbookViewId="0">
      <selection activeCell="N10" sqref="N10"/>
    </sheetView>
  </sheetViews>
  <sheetFormatPr defaultColWidth="9.109375" defaultRowHeight="16.8"/>
  <cols>
    <col min="1" max="1" width="3.6640625" style="1" customWidth="1"/>
    <col min="2" max="2" width="10.88671875" style="4" customWidth="1"/>
    <col min="3" max="3" width="30.5546875" style="8" customWidth="1"/>
    <col min="4" max="4" width="7" style="1" bestFit="1" customWidth="1"/>
    <col min="5" max="5" width="10.44140625" style="1" bestFit="1" customWidth="1"/>
    <col min="6" max="6" width="10" style="1" customWidth="1"/>
    <col min="7" max="7" width="9.6640625" style="1" customWidth="1"/>
    <col min="8" max="8" width="11" style="1" customWidth="1"/>
    <col min="9" max="9" width="7.5546875" style="1" customWidth="1"/>
    <col min="10" max="10" width="9.88671875" style="2" customWidth="1"/>
    <col min="11" max="11" width="14.5546875" style="1" bestFit="1" customWidth="1"/>
    <col min="12" max="12" width="10.6640625" style="1" bestFit="1" customWidth="1"/>
    <col min="13" max="13" width="9.109375" style="1"/>
    <col min="14" max="14" width="13.33203125" style="1" bestFit="1" customWidth="1"/>
    <col min="15" max="15" width="9.109375" style="1"/>
    <col min="16" max="16" width="14" style="1" bestFit="1" customWidth="1"/>
    <col min="17" max="17" width="11.6640625" style="1" bestFit="1" customWidth="1"/>
    <col min="18" max="16384" width="9.109375" style="1"/>
  </cols>
  <sheetData>
    <row r="1" spans="1:18">
      <c r="A1" s="98" t="s">
        <v>11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</row>
    <row r="2" spans="1:18" ht="20.399999999999999">
      <c r="A2" s="99" t="s">
        <v>16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</row>
    <row r="3" spans="1:18">
      <c r="A3" s="98" t="s">
        <v>17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</row>
    <row r="4" spans="1:18">
      <c r="A4" s="100" t="s">
        <v>22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</row>
    <row r="5" spans="1:18" ht="19.8">
      <c r="A5" s="6"/>
      <c r="B5" s="4" t="s">
        <v>27</v>
      </c>
      <c r="C5" s="28" t="s">
        <v>93</v>
      </c>
      <c r="H5" s="6"/>
      <c r="K5" s="101" t="s">
        <v>69</v>
      </c>
      <c r="L5" s="101"/>
    </row>
    <row r="6" spans="1:18">
      <c r="B6" s="97" t="s">
        <v>28</v>
      </c>
      <c r="C6" s="97"/>
      <c r="D6" s="97"/>
      <c r="E6" s="97"/>
      <c r="F6" s="97"/>
      <c r="G6" s="97"/>
      <c r="H6" s="3"/>
      <c r="I6" s="96" t="s">
        <v>100</v>
      </c>
      <c r="J6" s="96"/>
      <c r="K6" s="96"/>
      <c r="L6" s="96"/>
      <c r="O6" s="96" t="s">
        <v>70</v>
      </c>
      <c r="P6" s="96"/>
      <c r="Q6" s="96"/>
      <c r="R6" s="96"/>
    </row>
    <row r="7" spans="1:18" ht="17.399999999999999" thickBot="1">
      <c r="C7" s="5"/>
      <c r="D7" s="6"/>
      <c r="E7" s="3"/>
      <c r="F7" s="3"/>
      <c r="G7" s="3"/>
      <c r="H7" s="3"/>
      <c r="J7" s="7"/>
      <c r="K7" s="3"/>
      <c r="L7" s="8"/>
    </row>
    <row r="8" spans="1:18" ht="17.399999999999999" thickBot="1">
      <c r="A8" s="2"/>
      <c r="B8" s="12" t="s">
        <v>0</v>
      </c>
      <c r="C8" s="13" t="s">
        <v>1</v>
      </c>
      <c r="D8" s="17" t="s">
        <v>2</v>
      </c>
      <c r="E8" s="14" t="s">
        <v>3</v>
      </c>
      <c r="F8" s="14" t="s">
        <v>4</v>
      </c>
      <c r="G8" s="14" t="s">
        <v>5</v>
      </c>
      <c r="H8" s="14" t="s">
        <v>6</v>
      </c>
      <c r="I8" s="15" t="s">
        <v>7</v>
      </c>
      <c r="J8" s="14" t="s">
        <v>8</v>
      </c>
      <c r="K8" s="14" t="s">
        <v>9</v>
      </c>
      <c r="L8" s="16" t="s">
        <v>10</v>
      </c>
    </row>
    <row r="9" spans="1:18" s="80" customFormat="1" ht="18">
      <c r="A9" s="2"/>
      <c r="B9" s="87" t="s">
        <v>94</v>
      </c>
      <c r="C9" s="88" t="s">
        <v>95</v>
      </c>
      <c r="D9" s="89"/>
      <c r="E9" s="90"/>
      <c r="F9" s="90"/>
      <c r="G9" s="90"/>
      <c r="H9" s="90"/>
      <c r="I9" s="91"/>
      <c r="J9" s="90"/>
      <c r="K9" s="90"/>
      <c r="L9" s="92"/>
    </row>
    <row r="10" spans="1:18" ht="35.1" customHeight="1">
      <c r="B10" s="84">
        <v>1</v>
      </c>
      <c r="C10" s="79" t="s">
        <v>73</v>
      </c>
      <c r="D10" s="24">
        <v>1</v>
      </c>
      <c r="E10" s="70">
        <v>4.5</v>
      </c>
      <c r="F10" s="70">
        <v>3</v>
      </c>
      <c r="G10" s="70">
        <v>0.1</v>
      </c>
      <c r="H10" s="70">
        <f>D10*E10*F10*G10</f>
        <v>1.35</v>
      </c>
      <c r="I10" s="24" t="s">
        <v>35</v>
      </c>
      <c r="J10" s="70">
        <f>'[1]Table of Content 2'!$H$312</f>
        <v>9900</v>
      </c>
      <c r="K10" s="70">
        <f>H10*J10</f>
        <v>13365</v>
      </c>
      <c r="L10" s="25"/>
    </row>
    <row r="11" spans="1:18" ht="18.600000000000001">
      <c r="B11" s="84"/>
      <c r="C11" s="79"/>
      <c r="D11" s="24"/>
      <c r="E11" s="70"/>
      <c r="F11" s="70"/>
      <c r="G11" s="70"/>
      <c r="H11" s="70"/>
      <c r="I11" s="24"/>
      <c r="J11" s="70"/>
      <c r="K11" s="70"/>
      <c r="L11" s="25"/>
    </row>
    <row r="12" spans="1:18" ht="35.1" customHeight="1">
      <c r="B12" s="84">
        <v>2</v>
      </c>
      <c r="C12" s="79" t="s">
        <v>74</v>
      </c>
      <c r="D12" s="24">
        <v>2</v>
      </c>
      <c r="E12" s="70">
        <f>E10</f>
        <v>4.5</v>
      </c>
      <c r="F12" s="70"/>
      <c r="G12" s="70">
        <v>1.4</v>
      </c>
      <c r="H12" s="70">
        <f>D12*E12*G12</f>
        <v>12.6</v>
      </c>
      <c r="I12" s="70"/>
      <c r="J12" s="70"/>
      <c r="K12" s="70"/>
      <c r="L12" s="25"/>
    </row>
    <row r="13" spans="1:18">
      <c r="B13" s="84"/>
      <c r="C13" s="21"/>
      <c r="D13" s="24">
        <v>2</v>
      </c>
      <c r="E13" s="70">
        <f>F10</f>
        <v>3</v>
      </c>
      <c r="F13" s="70"/>
      <c r="G13" s="70">
        <v>1.4</v>
      </c>
      <c r="H13" s="70">
        <f>D13*E13*G13</f>
        <v>8.3999999999999986</v>
      </c>
      <c r="I13" s="70"/>
      <c r="J13" s="70"/>
      <c r="K13" s="70"/>
      <c r="L13" s="25"/>
    </row>
    <row r="14" spans="1:18">
      <c r="B14" s="84"/>
      <c r="C14" s="20"/>
      <c r="D14" s="24"/>
      <c r="E14" s="70"/>
      <c r="F14" s="70"/>
      <c r="G14" s="71"/>
      <c r="H14" s="70">
        <f>SUM(H12:H13)</f>
        <v>21</v>
      </c>
      <c r="I14" s="24" t="s">
        <v>40</v>
      </c>
      <c r="J14" s="70">
        <f>'[1]Table of Content 2'!$H$314</f>
        <v>97.2</v>
      </c>
      <c r="K14" s="70">
        <f>H14*J14</f>
        <v>2041.2</v>
      </c>
      <c r="L14" s="25"/>
    </row>
    <row r="15" spans="1:18">
      <c r="B15" s="84"/>
      <c r="C15" s="27"/>
      <c r="D15" s="24"/>
      <c r="E15" s="70"/>
      <c r="F15" s="70"/>
      <c r="G15" s="71"/>
      <c r="H15" s="70"/>
      <c r="I15" s="24"/>
      <c r="J15" s="70"/>
      <c r="K15" s="70"/>
      <c r="L15" s="25"/>
    </row>
    <row r="16" spans="1:18" ht="35.1" customHeight="1">
      <c r="B16" s="84">
        <v>3</v>
      </c>
      <c r="C16" s="79" t="s">
        <v>75</v>
      </c>
      <c r="D16" s="24">
        <v>2</v>
      </c>
      <c r="E16" s="70">
        <f>E12</f>
        <v>4.5</v>
      </c>
      <c r="F16" s="70">
        <v>0.1</v>
      </c>
      <c r="G16" s="70">
        <v>0.9</v>
      </c>
      <c r="H16" s="70">
        <f>D16*E16*F16*G16</f>
        <v>0.81</v>
      </c>
      <c r="I16" s="72"/>
      <c r="J16" s="72"/>
      <c r="K16" s="72"/>
      <c r="L16" s="25"/>
    </row>
    <row r="17" spans="2:12" ht="18.600000000000001">
      <c r="B17" s="84"/>
      <c r="C17" s="79"/>
      <c r="D17" s="24">
        <v>2</v>
      </c>
      <c r="E17" s="70">
        <f>E13</f>
        <v>3</v>
      </c>
      <c r="F17" s="70">
        <v>0.1</v>
      </c>
      <c r="G17" s="70">
        <v>0.9</v>
      </c>
      <c r="H17" s="70">
        <f>D17*E17*F17*G17</f>
        <v>0.54000000000000015</v>
      </c>
      <c r="I17" s="72"/>
      <c r="J17" s="72"/>
      <c r="K17" s="72"/>
      <c r="L17" s="25"/>
    </row>
    <row r="18" spans="2:12" ht="18.600000000000001">
      <c r="B18" s="84"/>
      <c r="C18" s="79"/>
      <c r="D18" s="24">
        <v>1</v>
      </c>
      <c r="E18" s="70">
        <f>2*(5+4)/3.28</f>
        <v>5.4878048780487809</v>
      </c>
      <c r="F18" s="70">
        <v>0.23</v>
      </c>
      <c r="G18" s="70">
        <v>0.45</v>
      </c>
      <c r="H18" s="70">
        <f>D18*E18*F18*G18</f>
        <v>0.5679878048780489</v>
      </c>
      <c r="I18" s="72"/>
      <c r="J18" s="72"/>
      <c r="K18" s="72"/>
      <c r="L18" s="25"/>
    </row>
    <row r="19" spans="2:12">
      <c r="B19" s="84"/>
      <c r="C19" s="20"/>
      <c r="D19" s="24"/>
      <c r="E19" s="70"/>
      <c r="F19" s="70"/>
      <c r="G19" s="71"/>
      <c r="H19" s="70">
        <f>SUM(H16:H18)</f>
        <v>1.917987804878049</v>
      </c>
      <c r="I19" s="24" t="s">
        <v>35</v>
      </c>
      <c r="J19" s="73">
        <f>'[1]Table of Content 2'!$H$43</f>
        <v>14911.97</v>
      </c>
      <c r="K19" s="73">
        <f>H19*J19</f>
        <v>28600.976606707318</v>
      </c>
      <c r="L19" s="25"/>
    </row>
    <row r="20" spans="2:12">
      <c r="B20" s="84"/>
      <c r="C20" s="19" t="s">
        <v>29</v>
      </c>
      <c r="D20" s="24"/>
      <c r="E20" s="70"/>
      <c r="F20" s="70"/>
      <c r="G20" s="71"/>
      <c r="H20" s="72"/>
      <c r="I20" s="24"/>
      <c r="J20" s="73"/>
      <c r="K20" s="73">
        <f>'[1]Update Descrip'!$G$397*H19*0.13</f>
        <v>359.82026615853664</v>
      </c>
      <c r="L20" s="25"/>
    </row>
    <row r="21" spans="2:12">
      <c r="B21" s="84"/>
      <c r="C21" s="19" t="s">
        <v>30</v>
      </c>
      <c r="D21" s="72"/>
      <c r="E21" s="72"/>
      <c r="F21" s="72"/>
      <c r="G21" s="72"/>
      <c r="H21" s="72"/>
      <c r="I21" s="72"/>
      <c r="J21" s="73"/>
      <c r="K21" s="73">
        <f>'[1]Update Descrip'!$G$398*H19*0.13</f>
        <v>175.0255935365854</v>
      </c>
      <c r="L21" s="25"/>
    </row>
    <row r="22" spans="2:12">
      <c r="B22" s="84"/>
      <c r="C22" s="19" t="s">
        <v>38</v>
      </c>
      <c r="D22" s="24"/>
      <c r="E22" s="70"/>
      <c r="F22" s="70"/>
      <c r="G22" s="71"/>
      <c r="H22" s="70"/>
      <c r="I22" s="24"/>
      <c r="J22" s="73"/>
      <c r="K22" s="73">
        <f>'[1]Update Descrip'!$G$396*H19*0.13</f>
        <v>2185.4811248780493</v>
      </c>
      <c r="L22" s="25"/>
    </row>
    <row r="23" spans="2:12">
      <c r="B23" s="84"/>
      <c r="C23" s="20"/>
      <c r="D23" s="24"/>
      <c r="E23" s="70"/>
      <c r="F23" s="70"/>
      <c r="G23" s="71"/>
      <c r="H23" s="70"/>
      <c r="I23" s="24"/>
      <c r="J23" s="73"/>
      <c r="K23" s="73"/>
      <c r="L23" s="25"/>
    </row>
    <row r="24" spans="2:12" ht="35.1" customHeight="1">
      <c r="B24" s="84">
        <v>4</v>
      </c>
      <c r="C24" s="79" t="s">
        <v>80</v>
      </c>
      <c r="D24" s="24">
        <f>E25/0.15</f>
        <v>20</v>
      </c>
      <c r="E24" s="70">
        <f>E16</f>
        <v>4.5</v>
      </c>
      <c r="F24" s="70"/>
      <c r="G24" s="71">
        <f>10*10/162</f>
        <v>0.61728395061728392</v>
      </c>
      <c r="H24" s="70">
        <f>D24*E24*G24</f>
        <v>55.55555555555555</v>
      </c>
      <c r="I24" s="24"/>
      <c r="J24" s="73"/>
      <c r="K24" s="73"/>
      <c r="L24" s="25"/>
    </row>
    <row r="25" spans="2:12">
      <c r="B25" s="84"/>
      <c r="C25" s="19"/>
      <c r="D25" s="24">
        <f>E24/0.15</f>
        <v>30</v>
      </c>
      <c r="E25" s="70">
        <f>E17</f>
        <v>3</v>
      </c>
      <c r="F25" s="70"/>
      <c r="G25" s="71">
        <f>10*10/162</f>
        <v>0.61728395061728392</v>
      </c>
      <c r="H25" s="70">
        <f>D25*E25*G25</f>
        <v>55.55555555555555</v>
      </c>
      <c r="I25" s="24"/>
      <c r="J25" s="73"/>
      <c r="K25" s="73"/>
      <c r="L25" s="25"/>
    </row>
    <row r="26" spans="2:12">
      <c r="B26" s="84"/>
      <c r="C26" s="19" t="s">
        <v>81</v>
      </c>
      <c r="D26" s="24"/>
      <c r="E26" s="70"/>
      <c r="F26" s="70"/>
      <c r="G26" s="71"/>
      <c r="H26" s="70">
        <f>SUM(H24:H25)</f>
        <v>111.1111111111111</v>
      </c>
      <c r="I26" s="24" t="s">
        <v>18</v>
      </c>
      <c r="J26" s="73">
        <f>'[1]Table of Content 2'!$H$77/1000</f>
        <v>130.21</v>
      </c>
      <c r="K26" s="73">
        <f>H26*J26</f>
        <v>14467.777777777777</v>
      </c>
      <c r="L26" s="25"/>
    </row>
    <row r="27" spans="2:12">
      <c r="B27" s="84"/>
      <c r="C27" s="19"/>
      <c r="D27" s="24"/>
      <c r="E27" s="70"/>
      <c r="F27" s="70"/>
      <c r="G27" s="71"/>
      <c r="H27" s="70"/>
      <c r="I27" s="24"/>
      <c r="J27" s="73"/>
      <c r="K27" s="73">
        <f>0.13*K26</f>
        <v>1880.8111111111111</v>
      </c>
      <c r="L27" s="25"/>
    </row>
    <row r="28" spans="2:12" ht="35.1" customHeight="1">
      <c r="B28" s="84">
        <v>5</v>
      </c>
      <c r="C28" s="79" t="s">
        <v>76</v>
      </c>
      <c r="D28" s="24">
        <v>1</v>
      </c>
      <c r="E28" s="70">
        <f>E16</f>
        <v>4.5</v>
      </c>
      <c r="F28" s="70">
        <f>E17</f>
        <v>3</v>
      </c>
      <c r="G28" s="70">
        <v>7.4999999999999997E-2</v>
      </c>
      <c r="H28" s="70">
        <f>D28*E28*F28*G28</f>
        <v>1.0125</v>
      </c>
      <c r="I28" s="24"/>
      <c r="J28" s="73"/>
      <c r="K28" s="70"/>
      <c r="L28" s="25"/>
    </row>
    <row r="29" spans="2:12">
      <c r="B29" s="84"/>
      <c r="C29" s="18"/>
      <c r="D29" s="24">
        <v>2</v>
      </c>
      <c r="E29" s="70">
        <f>E16</f>
        <v>4.5</v>
      </c>
      <c r="F29" s="70">
        <v>0.15</v>
      </c>
      <c r="G29" s="70">
        <f>G16</f>
        <v>0.9</v>
      </c>
      <c r="H29" s="70">
        <f>D29*E29*F29*G29</f>
        <v>1.2149999999999999</v>
      </c>
      <c r="I29" s="24"/>
      <c r="J29" s="73"/>
      <c r="K29" s="70"/>
      <c r="L29" s="25"/>
    </row>
    <row r="30" spans="2:12">
      <c r="B30" s="84"/>
      <c r="C30" s="18"/>
      <c r="D30" s="24">
        <v>2</v>
      </c>
      <c r="E30" s="70">
        <f>E17</f>
        <v>3</v>
      </c>
      <c r="F30" s="70">
        <v>0.15</v>
      </c>
      <c r="G30" s="70">
        <f>G17</f>
        <v>0.9</v>
      </c>
      <c r="H30" s="70">
        <f>D30*E30*F30*G30</f>
        <v>0.80999999999999994</v>
      </c>
      <c r="I30" s="24"/>
      <c r="J30" s="73"/>
      <c r="K30" s="70"/>
      <c r="L30" s="25"/>
    </row>
    <row r="31" spans="2:12">
      <c r="B31" s="84"/>
      <c r="C31" s="18"/>
      <c r="D31" s="24"/>
      <c r="E31" s="70"/>
      <c r="F31" s="70" t="s">
        <v>32</v>
      </c>
      <c r="G31" s="70"/>
      <c r="H31" s="70">
        <f>SUM(H28:H30)</f>
        <v>3.0375000000000001</v>
      </c>
      <c r="I31" s="24" t="s">
        <v>24</v>
      </c>
      <c r="J31" s="73">
        <f>'[1]Table of Content 2'!$H$67</f>
        <v>17107.900000000001</v>
      </c>
      <c r="K31" s="73">
        <f>H31*J31</f>
        <v>51965.246250000004</v>
      </c>
      <c r="L31" s="25"/>
    </row>
    <row r="32" spans="2:12">
      <c r="B32" s="84"/>
      <c r="C32" s="19" t="s">
        <v>29</v>
      </c>
      <c r="D32" s="24"/>
      <c r="E32" s="70"/>
      <c r="F32" s="70"/>
      <c r="G32" s="70"/>
      <c r="H32" s="70"/>
      <c r="I32" s="24"/>
      <c r="J32" s="73"/>
      <c r="K32" s="73">
        <f>'[1]Update Descrip'!$G$676*H31*0.13</f>
        <v>2279.3764500000002</v>
      </c>
      <c r="L32" s="25"/>
    </row>
    <row r="33" spans="2:12">
      <c r="B33" s="84"/>
      <c r="C33" s="19" t="s">
        <v>30</v>
      </c>
      <c r="D33" s="24"/>
      <c r="E33" s="70"/>
      <c r="F33" s="70"/>
      <c r="G33" s="70"/>
      <c r="H33" s="70"/>
      <c r="I33" s="24"/>
      <c r="J33" s="73"/>
      <c r="K33" s="73">
        <f>'[1]Update Descrip'!$G$679*H31*0.13</f>
        <v>420.72746625000002</v>
      </c>
      <c r="L33" s="25"/>
    </row>
    <row r="34" spans="2:12">
      <c r="B34" s="84"/>
      <c r="C34" s="19" t="s">
        <v>31</v>
      </c>
      <c r="D34" s="24"/>
      <c r="E34" s="70"/>
      <c r="F34" s="70"/>
      <c r="G34" s="70"/>
      <c r="H34" s="70"/>
      <c r="I34" s="24"/>
      <c r="J34" s="73"/>
      <c r="K34" s="73">
        <f>('[1]Update Descrip'!$G$677+'[1]Update Descrip'!$G$678)*H31*0.13</f>
        <v>1166.4725962500002</v>
      </c>
      <c r="L34" s="25"/>
    </row>
    <row r="35" spans="2:12">
      <c r="B35" s="84"/>
      <c r="C35" s="20"/>
      <c r="D35" s="24"/>
      <c r="E35" s="70"/>
      <c r="F35" s="70"/>
      <c r="G35" s="71"/>
      <c r="H35" s="70"/>
      <c r="I35" s="24"/>
      <c r="J35" s="73"/>
      <c r="K35" s="73"/>
      <c r="L35" s="25"/>
    </row>
    <row r="36" spans="2:12" ht="35.1" customHeight="1">
      <c r="B36" s="85">
        <v>6</v>
      </c>
      <c r="C36" s="79" t="s">
        <v>77</v>
      </c>
      <c r="D36" s="24">
        <v>1</v>
      </c>
      <c r="E36" s="24">
        <f>E28</f>
        <v>4.5</v>
      </c>
      <c r="F36" s="24">
        <f>F28</f>
        <v>3</v>
      </c>
      <c r="G36" s="70"/>
      <c r="H36" s="72">
        <f>F36*E36*D36</f>
        <v>13.5</v>
      </c>
      <c r="I36" s="74" t="s">
        <v>23</v>
      </c>
      <c r="J36" s="73">
        <f>'[1]Table of Content 2'!$H$155</f>
        <v>692.38</v>
      </c>
      <c r="K36" s="72">
        <f>H36*J36</f>
        <v>9347.1299999999992</v>
      </c>
      <c r="L36" s="25"/>
    </row>
    <row r="37" spans="2:12">
      <c r="B37" s="85"/>
      <c r="C37" s="19" t="s">
        <v>29</v>
      </c>
      <c r="D37" s="24"/>
      <c r="E37" s="24"/>
      <c r="F37" s="24"/>
      <c r="G37" s="71"/>
      <c r="H37" s="24"/>
      <c r="I37" s="74"/>
      <c r="J37" s="73"/>
      <c r="K37" s="69">
        <f>'[1]Update Descrip'!$G$1804/10*H36*0.13</f>
        <v>329.24326500000001</v>
      </c>
      <c r="L37" s="25"/>
    </row>
    <row r="38" spans="2:12">
      <c r="B38" s="85"/>
      <c r="C38" s="19" t="s">
        <v>30</v>
      </c>
      <c r="D38" s="24"/>
      <c r="E38" s="24"/>
      <c r="F38" s="24"/>
      <c r="G38" s="71"/>
      <c r="H38" s="24"/>
      <c r="I38" s="74"/>
      <c r="J38" s="73"/>
      <c r="K38" s="69">
        <f>'[1]Update Descrip'!$G$1805/10*H36*0.13</f>
        <v>79.196130000000011</v>
      </c>
      <c r="L38" s="25"/>
    </row>
    <row r="39" spans="2:12">
      <c r="B39" s="85"/>
      <c r="C39" s="19" t="s">
        <v>31</v>
      </c>
      <c r="D39" s="24"/>
      <c r="E39" s="24"/>
      <c r="F39" s="24"/>
      <c r="G39" s="71"/>
      <c r="H39" s="24"/>
      <c r="I39" s="74"/>
      <c r="J39" s="73"/>
      <c r="K39" s="69">
        <f>'[1]Update Descrip'!$G$1806/10*H36*0.13</f>
        <v>227.54978999999997</v>
      </c>
      <c r="L39" s="25"/>
    </row>
    <row r="40" spans="2:12" ht="18" customHeight="1">
      <c r="B40" s="84"/>
      <c r="C40" s="19"/>
      <c r="D40" s="24"/>
      <c r="E40" s="70"/>
      <c r="F40" s="70"/>
      <c r="G40" s="71"/>
      <c r="H40" s="70"/>
      <c r="I40" s="24"/>
      <c r="J40" s="73"/>
      <c r="K40" s="73"/>
      <c r="L40" s="25"/>
    </row>
    <row r="41" spans="2:12" ht="35.1" customHeight="1">
      <c r="B41" s="84">
        <v>7</v>
      </c>
      <c r="C41" s="79" t="s">
        <v>78</v>
      </c>
      <c r="D41" s="24">
        <f>D16</f>
        <v>2</v>
      </c>
      <c r="E41" s="24">
        <f>E16</f>
        <v>4.5</v>
      </c>
      <c r="F41" s="24"/>
      <c r="G41" s="24">
        <f>G48</f>
        <v>1.5</v>
      </c>
      <c r="H41" s="70">
        <f>D41*E41*G41</f>
        <v>13.5</v>
      </c>
      <c r="I41" s="24"/>
      <c r="J41" s="73"/>
      <c r="K41" s="73"/>
      <c r="L41" s="25"/>
    </row>
    <row r="42" spans="2:12">
      <c r="B42" s="84"/>
      <c r="C42" s="21"/>
      <c r="D42" s="24">
        <f>D17</f>
        <v>2</v>
      </c>
      <c r="E42" s="24">
        <f>E17</f>
        <v>3</v>
      </c>
      <c r="F42" s="24"/>
      <c r="G42" s="24">
        <f>G49</f>
        <v>1.5</v>
      </c>
      <c r="H42" s="70">
        <f>D42*E42*G42</f>
        <v>9</v>
      </c>
      <c r="I42" s="24"/>
      <c r="J42" s="75"/>
      <c r="K42" s="73"/>
      <c r="L42" s="25"/>
    </row>
    <row r="43" spans="2:12">
      <c r="B43" s="84"/>
      <c r="C43" s="21"/>
      <c r="D43" s="24"/>
      <c r="E43" s="70"/>
      <c r="F43" s="70"/>
      <c r="G43" s="71"/>
      <c r="H43" s="70">
        <f>SUM(H41:H42)</f>
        <v>22.5</v>
      </c>
      <c r="I43" s="24" t="s">
        <v>40</v>
      </c>
      <c r="J43" s="73">
        <f>'[1]Table of Content 2'!$H$215</f>
        <v>402.23</v>
      </c>
      <c r="K43" s="73">
        <f>H43*J43</f>
        <v>9050.1750000000011</v>
      </c>
      <c r="L43" s="25"/>
    </row>
    <row r="44" spans="2:12">
      <c r="B44" s="84"/>
      <c r="C44" s="19" t="s">
        <v>29</v>
      </c>
      <c r="D44" s="24"/>
      <c r="E44" s="70"/>
      <c r="F44" s="70"/>
      <c r="G44" s="71"/>
      <c r="H44" s="70"/>
      <c r="I44" s="24"/>
      <c r="J44" s="75"/>
      <c r="K44" s="73">
        <f>'[1]Update Descrip'!$G$2611/100*H43*0.13</f>
        <v>227.0931975</v>
      </c>
      <c r="L44" s="25"/>
    </row>
    <row r="45" spans="2:12">
      <c r="B45" s="84"/>
      <c r="C45" s="19" t="s">
        <v>30</v>
      </c>
      <c r="D45" s="24"/>
      <c r="E45" s="70"/>
      <c r="F45" s="70"/>
      <c r="G45" s="71"/>
      <c r="H45" s="70"/>
      <c r="I45" s="24"/>
      <c r="J45" s="75"/>
      <c r="K45" s="73">
        <f>'[1]Update Descrip'!$G$2612/100*H43*0.13</f>
        <v>107.0617275</v>
      </c>
      <c r="L45" s="25"/>
    </row>
    <row r="46" spans="2:12">
      <c r="B46" s="85"/>
      <c r="C46" s="19"/>
      <c r="D46" s="72"/>
      <c r="E46" s="70"/>
      <c r="F46" s="70"/>
      <c r="G46" s="71"/>
      <c r="H46" s="72"/>
      <c r="I46" s="72"/>
      <c r="J46" s="72"/>
      <c r="K46" s="72"/>
      <c r="L46" s="25"/>
    </row>
    <row r="47" spans="2:12" ht="35.1" customHeight="1">
      <c r="B47" s="85">
        <v>8</v>
      </c>
      <c r="C47" s="79" t="s">
        <v>79</v>
      </c>
      <c r="D47" s="72">
        <f t="shared" ref="D47:E49" si="0">D28</f>
        <v>1</v>
      </c>
      <c r="E47" s="72">
        <f t="shared" si="0"/>
        <v>4.5</v>
      </c>
      <c r="F47" s="72"/>
      <c r="G47" s="72">
        <f>F28</f>
        <v>3</v>
      </c>
      <c r="H47" s="72">
        <f>D47*E47*G47</f>
        <v>13.5</v>
      </c>
      <c r="I47" s="72"/>
      <c r="J47" s="72"/>
      <c r="K47" s="72"/>
      <c r="L47" s="25"/>
    </row>
    <row r="48" spans="2:12">
      <c r="B48" s="85"/>
      <c r="C48" s="19"/>
      <c r="D48" s="72">
        <f t="shared" si="0"/>
        <v>2</v>
      </c>
      <c r="E48" s="72">
        <f t="shared" si="0"/>
        <v>4.5</v>
      </c>
      <c r="F48" s="72"/>
      <c r="G48" s="72">
        <f>G29+0.3+0.3</f>
        <v>1.5</v>
      </c>
      <c r="H48" s="72">
        <f t="shared" ref="H48:H49" si="1">D48*E48*G48</f>
        <v>13.5</v>
      </c>
      <c r="I48" s="72"/>
      <c r="J48" s="72"/>
      <c r="K48" s="72"/>
      <c r="L48" s="25"/>
    </row>
    <row r="49" spans="2:14">
      <c r="B49" s="85"/>
      <c r="C49" s="19"/>
      <c r="D49" s="72">
        <f t="shared" si="0"/>
        <v>2</v>
      </c>
      <c r="E49" s="72">
        <f t="shared" si="0"/>
        <v>3</v>
      </c>
      <c r="F49" s="72"/>
      <c r="G49" s="72">
        <f>G30+0.3+0.3</f>
        <v>1.5</v>
      </c>
      <c r="H49" s="72">
        <f t="shared" si="1"/>
        <v>9</v>
      </c>
      <c r="I49" s="72"/>
      <c r="J49" s="72"/>
      <c r="K49" s="72"/>
      <c r="L49" s="25"/>
    </row>
    <row r="50" spans="2:14">
      <c r="B50" s="85"/>
      <c r="C50" s="19"/>
      <c r="D50" s="72"/>
      <c r="E50" s="72"/>
      <c r="F50" s="72"/>
      <c r="G50" s="72"/>
      <c r="H50" s="72">
        <f>SUM(H47:H49)</f>
        <v>36</v>
      </c>
      <c r="I50" s="24" t="s">
        <v>40</v>
      </c>
      <c r="J50" s="72">
        <f>'[1]Table of Content 2'!$H$187</f>
        <v>286.77</v>
      </c>
      <c r="K50" s="72">
        <f>H50*J50</f>
        <v>10323.719999999999</v>
      </c>
      <c r="L50" s="25"/>
    </row>
    <row r="51" spans="2:14">
      <c r="B51" s="85"/>
      <c r="C51" s="19" t="s">
        <v>29</v>
      </c>
      <c r="D51" s="72"/>
      <c r="E51" s="72"/>
      <c r="F51" s="72"/>
      <c r="G51" s="72"/>
      <c r="H51" s="72"/>
      <c r="I51" s="72"/>
      <c r="J51" s="72"/>
      <c r="K51" s="72">
        <f>'[1]Update Descrip'!$H$2269/10*H50*0.13</f>
        <v>359.29296000000005</v>
      </c>
      <c r="L51" s="25"/>
    </row>
    <row r="52" spans="2:14">
      <c r="B52" s="85"/>
      <c r="C52" s="19"/>
      <c r="D52" s="72"/>
      <c r="E52" s="72"/>
      <c r="F52" s="72"/>
      <c r="G52" s="72"/>
      <c r="H52" s="72"/>
      <c r="I52" s="72"/>
      <c r="J52" s="72"/>
      <c r="K52" s="72"/>
      <c r="L52" s="25"/>
    </row>
    <row r="53" spans="2:14">
      <c r="B53" s="85"/>
      <c r="C53" s="19"/>
      <c r="D53" s="72"/>
      <c r="E53" s="72"/>
      <c r="F53" s="72"/>
      <c r="G53" s="72"/>
      <c r="H53" s="72"/>
      <c r="I53" s="72"/>
      <c r="J53" s="72"/>
      <c r="K53" s="72"/>
      <c r="L53" s="25"/>
    </row>
    <row r="54" spans="2:14" ht="33" customHeight="1">
      <c r="B54" s="84">
        <v>9</v>
      </c>
      <c r="C54" s="21" t="s">
        <v>87</v>
      </c>
      <c r="D54" s="24">
        <v>1</v>
      </c>
      <c r="E54" s="70"/>
      <c r="F54" s="70"/>
      <c r="G54" s="71"/>
      <c r="H54" s="70">
        <f>+D54</f>
        <v>1</v>
      </c>
      <c r="I54" s="24" t="s">
        <v>34</v>
      </c>
      <c r="J54" s="73">
        <v>4659</v>
      </c>
      <c r="K54" s="73">
        <f>H54*J54</f>
        <v>4659</v>
      </c>
      <c r="L54" s="25"/>
      <c r="N54" s="1" t="s">
        <v>86</v>
      </c>
    </row>
    <row r="55" spans="2:14">
      <c r="B55" s="84"/>
      <c r="C55" s="30" t="s">
        <v>88</v>
      </c>
      <c r="D55" s="24"/>
      <c r="E55" s="70"/>
      <c r="F55" s="70"/>
      <c r="G55" s="71"/>
      <c r="H55" s="70"/>
      <c r="I55" s="24"/>
      <c r="J55" s="73"/>
      <c r="K55" s="73">
        <f>0.13*K54</f>
        <v>605.67000000000007</v>
      </c>
      <c r="L55" s="25"/>
    </row>
    <row r="56" spans="2:14">
      <c r="B56" s="84"/>
      <c r="C56" s="21"/>
      <c r="D56" s="24"/>
      <c r="E56" s="70"/>
      <c r="F56" s="70"/>
      <c r="G56" s="71"/>
      <c r="H56" s="70"/>
      <c r="I56" s="24"/>
      <c r="J56" s="73"/>
      <c r="K56" s="73"/>
      <c r="L56" s="25"/>
    </row>
    <row r="57" spans="2:14" ht="33" customHeight="1">
      <c r="B57" s="84">
        <v>10</v>
      </c>
      <c r="C57" s="21" t="s">
        <v>84</v>
      </c>
      <c r="D57" s="24"/>
      <c r="E57" s="70"/>
      <c r="F57" s="70"/>
      <c r="G57" s="71"/>
      <c r="H57" s="70">
        <v>1</v>
      </c>
      <c r="I57" s="24" t="s">
        <v>34</v>
      </c>
      <c r="J57" s="73">
        <v>9938</v>
      </c>
      <c r="K57" s="73">
        <f>H57*J57</f>
        <v>9938</v>
      </c>
      <c r="L57" s="25"/>
      <c r="N57" s="1" t="s">
        <v>83</v>
      </c>
    </row>
    <row r="58" spans="2:14">
      <c r="B58" s="85"/>
      <c r="C58" s="29" t="s">
        <v>82</v>
      </c>
      <c r="D58" s="24"/>
      <c r="E58" s="24"/>
      <c r="F58" s="24"/>
      <c r="G58" s="70"/>
      <c r="H58" s="24"/>
      <c r="I58" s="24"/>
      <c r="J58" s="73" t="s">
        <v>85</v>
      </c>
      <c r="K58" s="73">
        <f>0.13*K57</f>
        <v>1291.94</v>
      </c>
      <c r="L58" s="25"/>
    </row>
    <row r="59" spans="2:14">
      <c r="B59" s="85"/>
      <c r="C59" s="29"/>
      <c r="D59" s="24"/>
      <c r="E59" s="24"/>
      <c r="F59" s="24"/>
      <c r="G59" s="70"/>
      <c r="H59" s="24"/>
      <c r="I59" s="24"/>
      <c r="J59" s="73"/>
      <c r="K59" s="73"/>
      <c r="L59" s="25"/>
    </row>
    <row r="60" spans="2:14">
      <c r="B60" s="85"/>
      <c r="C60" s="20"/>
      <c r="D60" s="20"/>
      <c r="E60" s="20"/>
      <c r="F60" s="20"/>
      <c r="G60" s="20"/>
      <c r="H60" s="20"/>
      <c r="I60" s="20"/>
      <c r="J60" s="20"/>
      <c r="K60" s="20"/>
      <c r="L60" s="25"/>
    </row>
    <row r="61" spans="2:14" s="80" customFormat="1" ht="18">
      <c r="B61" s="85" t="s">
        <v>97</v>
      </c>
      <c r="C61" s="86" t="s">
        <v>96</v>
      </c>
      <c r="D61" s="24"/>
      <c r="E61" s="24"/>
      <c r="F61" s="24"/>
      <c r="G61" s="70"/>
      <c r="H61" s="24"/>
      <c r="I61" s="24"/>
      <c r="J61" s="73"/>
      <c r="K61" s="73"/>
      <c r="L61" s="25"/>
    </row>
    <row r="62" spans="2:14" s="80" customFormat="1">
      <c r="B62" s="85"/>
      <c r="C62" s="29"/>
      <c r="D62" s="24"/>
      <c r="E62" s="24"/>
      <c r="F62" s="24"/>
      <c r="G62" s="70"/>
      <c r="H62" s="24"/>
      <c r="I62" s="24"/>
      <c r="J62" s="73"/>
      <c r="K62" s="73"/>
      <c r="L62" s="25"/>
    </row>
    <row r="63" spans="2:14" s="80" customFormat="1" ht="34.799999999999997">
      <c r="B63" s="84">
        <v>11</v>
      </c>
      <c r="C63" s="93" t="s">
        <v>98</v>
      </c>
      <c r="D63" s="70">
        <v>2</v>
      </c>
      <c r="E63" s="70">
        <f>25/3.28</f>
        <v>7.6219512195121952</v>
      </c>
      <c r="F63" s="70">
        <f>17/3.28</f>
        <v>5.1829268292682933</v>
      </c>
      <c r="G63" s="70"/>
      <c r="H63" s="70">
        <f>F63*E63*D63</f>
        <v>79.008030933967888</v>
      </c>
      <c r="I63" s="70" t="s">
        <v>90</v>
      </c>
      <c r="J63" s="70">
        <f>'[2]Table of Content 2'!$H$329</f>
        <v>68.400000000000006</v>
      </c>
      <c r="K63" s="70">
        <f>H63*J63</f>
        <v>5404.1493158834037</v>
      </c>
      <c r="L63" s="25"/>
    </row>
    <row r="64" spans="2:14" s="80" customFormat="1">
      <c r="B64" s="85"/>
      <c r="C64" s="29"/>
      <c r="D64" s="24"/>
      <c r="E64" s="24"/>
      <c r="F64" s="24"/>
      <c r="G64" s="70"/>
      <c r="H64" s="24"/>
      <c r="I64" s="24"/>
      <c r="J64" s="73"/>
      <c r="K64" s="73"/>
      <c r="L64" s="25"/>
    </row>
    <row r="65" spans="2:14" s="80" customFormat="1" ht="34.799999999999997">
      <c r="B65" s="85">
        <v>12</v>
      </c>
      <c r="C65" s="93" t="s">
        <v>99</v>
      </c>
      <c r="D65" s="24">
        <v>2</v>
      </c>
      <c r="E65" s="24">
        <f>E63</f>
        <v>7.6219512195121952</v>
      </c>
      <c r="F65" s="24">
        <f>F63</f>
        <v>5.1829268292682933</v>
      </c>
      <c r="G65" s="70"/>
      <c r="H65" s="70">
        <f>F65*E65*D65</f>
        <v>79.008030933967888</v>
      </c>
      <c r="I65" s="70" t="s">
        <v>90</v>
      </c>
      <c r="J65" s="73">
        <v>369.1</v>
      </c>
      <c r="K65" s="73">
        <f>H65*J65</f>
        <v>29161.864217727551</v>
      </c>
      <c r="L65" s="25"/>
    </row>
    <row r="66" spans="2:14" s="80" customFormat="1">
      <c r="B66" s="85"/>
      <c r="C66" s="29" t="s">
        <v>81</v>
      </c>
      <c r="D66" s="24"/>
      <c r="E66" s="24"/>
      <c r="F66" s="24"/>
      <c r="G66" s="70"/>
      <c r="H66" s="70"/>
      <c r="I66" s="70"/>
      <c r="J66" s="73"/>
      <c r="K66" s="73">
        <f>124.6*H65*0.13</f>
        <v>1279.772085068412</v>
      </c>
      <c r="L66" s="25"/>
    </row>
    <row r="67" spans="2:14" s="80" customFormat="1" ht="69.599999999999994">
      <c r="B67" s="85">
        <v>13</v>
      </c>
      <c r="C67" s="93" t="s">
        <v>92</v>
      </c>
      <c r="D67" s="24">
        <v>1</v>
      </c>
      <c r="E67" s="24">
        <f>E65</f>
        <v>7.6219512195121952</v>
      </c>
      <c r="F67" s="24"/>
      <c r="G67" s="70"/>
      <c r="H67" s="24">
        <f>E67</f>
        <v>7.6219512195121952</v>
      </c>
      <c r="I67" s="24" t="s">
        <v>91</v>
      </c>
      <c r="J67" s="73">
        <f>'[1]Table of Content 2'!$H$412</f>
        <v>2761</v>
      </c>
      <c r="K67" s="73">
        <f>H67*J67</f>
        <v>21044.207317073171</v>
      </c>
      <c r="L67" s="25"/>
    </row>
    <row r="68" spans="2:14" s="80" customFormat="1">
      <c r="B68" s="85"/>
      <c r="C68" s="29" t="s">
        <v>81</v>
      </c>
      <c r="D68" s="24"/>
      <c r="E68" s="24"/>
      <c r="F68" s="24"/>
      <c r="G68" s="70"/>
      <c r="H68" s="24"/>
      <c r="I68" s="24"/>
      <c r="J68" s="73"/>
      <c r="K68" s="73">
        <f>2491*H67*0.13</f>
        <v>2468.2164634146343</v>
      </c>
      <c r="L68" s="25"/>
      <c r="N68" s="80">
        <f>17/3.28</f>
        <v>5.1829268292682933</v>
      </c>
    </row>
    <row r="69" spans="2:14" s="80" customFormat="1">
      <c r="B69" s="85"/>
      <c r="C69" s="29"/>
      <c r="D69" s="24"/>
      <c r="E69" s="24"/>
      <c r="F69" s="24"/>
      <c r="G69" s="70"/>
      <c r="H69" s="24"/>
      <c r="I69" s="24"/>
      <c r="J69" s="73"/>
      <c r="K69" s="73"/>
      <c r="L69" s="25"/>
      <c r="N69" s="80" t="e">
        <f>#REF!*N68*2*68.4</f>
        <v>#REF!</v>
      </c>
    </row>
    <row r="70" spans="2:14" ht="33" customHeight="1">
      <c r="B70" s="85">
        <v>14</v>
      </c>
      <c r="C70" s="18" t="s">
        <v>89</v>
      </c>
      <c r="D70" s="24">
        <v>1</v>
      </c>
      <c r="E70" s="24"/>
      <c r="F70" s="24"/>
      <c r="G70" s="24"/>
      <c r="H70" s="24">
        <v>1</v>
      </c>
      <c r="I70" s="24" t="s">
        <v>34</v>
      </c>
      <c r="J70" s="73">
        <v>1000</v>
      </c>
      <c r="K70" s="73">
        <f>H70*J70</f>
        <v>1000</v>
      </c>
      <c r="L70" s="25"/>
    </row>
    <row r="71" spans="2:14" ht="17.399999999999999" thickBot="1">
      <c r="B71" s="22"/>
      <c r="C71" s="26"/>
      <c r="D71" s="76"/>
      <c r="E71" s="77"/>
      <c r="F71" s="77"/>
      <c r="G71" s="77"/>
      <c r="H71" s="77"/>
      <c r="I71" s="76"/>
      <c r="J71" s="77"/>
      <c r="K71" s="78">
        <f>SUM(K8:K70)</f>
        <v>225811.19671183656</v>
      </c>
      <c r="L71" s="23"/>
    </row>
    <row r="72" spans="2:14">
      <c r="C72" s="9"/>
      <c r="D72" s="10"/>
      <c r="E72" s="10"/>
      <c r="F72" s="10"/>
      <c r="G72" s="10"/>
      <c r="H72" s="10"/>
      <c r="I72" s="10"/>
      <c r="J72" s="10"/>
      <c r="K72" s="11"/>
      <c r="L72" s="8"/>
    </row>
    <row r="73" spans="2:14">
      <c r="C73" s="5"/>
      <c r="E73" s="2"/>
      <c r="F73" s="2"/>
      <c r="H73" s="2"/>
      <c r="I73" s="65" t="s">
        <v>12</v>
      </c>
      <c r="J73" s="65"/>
      <c r="K73" s="65" t="s">
        <v>71</v>
      </c>
      <c r="L73" s="65" t="s">
        <v>72</v>
      </c>
    </row>
    <row r="74" spans="2:14">
      <c r="C74" s="5"/>
      <c r="H74" s="64"/>
      <c r="I74" s="66" t="s">
        <v>13</v>
      </c>
      <c r="J74" s="67"/>
      <c r="K74" s="67">
        <f>+K71</f>
        <v>225811.19671183656</v>
      </c>
      <c r="L74" s="67"/>
    </row>
    <row r="75" spans="2:14">
      <c r="C75" s="5"/>
      <c r="H75" s="64"/>
      <c r="I75" s="66" t="s">
        <v>14</v>
      </c>
      <c r="J75" s="68"/>
      <c r="K75" s="67">
        <v>200000</v>
      </c>
      <c r="L75" s="68">
        <v>100</v>
      </c>
    </row>
    <row r="76" spans="2:14">
      <c r="C76" s="5"/>
      <c r="H76" s="64"/>
      <c r="I76" s="66" t="s">
        <v>19</v>
      </c>
      <c r="J76" s="68"/>
      <c r="K76" s="67">
        <f>0.95*K75</f>
        <v>190000</v>
      </c>
      <c r="L76" s="68">
        <f>K76/K74*100</f>
        <v>84.141089001208329</v>
      </c>
    </row>
    <row r="77" spans="2:14">
      <c r="C77" s="5"/>
      <c r="H77" s="64"/>
      <c r="I77" s="66" t="s">
        <v>15</v>
      </c>
      <c r="J77" s="68"/>
      <c r="K77" s="67">
        <f>K74-K76</f>
        <v>35811.196711836557</v>
      </c>
      <c r="L77" s="68">
        <f>K77/K75*100</f>
        <v>17.905598355918279</v>
      </c>
    </row>
    <row r="78" spans="2:14">
      <c r="C78" s="5"/>
      <c r="H78" s="64"/>
      <c r="I78" s="66" t="s">
        <v>20</v>
      </c>
      <c r="J78" s="68"/>
      <c r="K78" s="67">
        <f>L78*K75/100</f>
        <v>4000</v>
      </c>
      <c r="L78" s="68">
        <v>2</v>
      </c>
    </row>
    <row r="79" spans="2:14">
      <c r="C79" s="5"/>
      <c r="H79" s="63"/>
      <c r="I79" s="66" t="s">
        <v>21</v>
      </c>
      <c r="J79" s="68"/>
      <c r="K79" s="68">
        <f>L79*K75/100</f>
        <v>6000</v>
      </c>
      <c r="L79" s="68">
        <v>3</v>
      </c>
    </row>
    <row r="80" spans="2:14">
      <c r="G80" s="62"/>
    </row>
  </sheetData>
  <mergeCells count="8">
    <mergeCell ref="O6:R6"/>
    <mergeCell ref="B6:G6"/>
    <mergeCell ref="I6:L6"/>
    <mergeCell ref="A1:L1"/>
    <mergeCell ref="A2:L2"/>
    <mergeCell ref="A3:L3"/>
    <mergeCell ref="A4:L4"/>
    <mergeCell ref="K5:L5"/>
  </mergeCells>
  <phoneticPr fontId="69" type="noConversion"/>
  <printOptions horizontalCentered="1"/>
  <pageMargins left="0.5" right="0.5" top="0.38" bottom="0.7" header="0.31496062992126" footer="0.31496062992126"/>
  <pageSetup scale="70" fitToHeight="2" orientation="portrait" r:id="rId1"/>
  <headerFooter>
    <oddHeader>&amp;RPage &amp;P of &amp;N</oddHeader>
  </headerFooter>
  <rowBreaks count="2" manualBreakCount="2">
    <brk id="35" max="11" man="1"/>
    <brk id="71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zoomScaleNormal="100" workbookViewId="0">
      <selection sqref="A1:J11"/>
    </sheetView>
  </sheetViews>
  <sheetFormatPr defaultRowHeight="14.4"/>
  <cols>
    <col min="1" max="1" width="7.44140625" customWidth="1"/>
    <col min="2" max="2" width="39" customWidth="1"/>
    <col min="3" max="3" width="11.5546875" customWidth="1"/>
    <col min="4" max="4" width="10.88671875" bestFit="1" customWidth="1"/>
    <col min="5" max="5" width="13.109375" customWidth="1"/>
    <col min="6" max="6" width="11.33203125" customWidth="1"/>
    <col min="7" max="7" width="10.6640625" customWidth="1"/>
    <col min="8" max="8" width="12.5546875" customWidth="1"/>
    <col min="9" max="9" width="11.109375" customWidth="1"/>
    <col min="10" max="10" width="11" customWidth="1"/>
  </cols>
  <sheetData>
    <row r="1" spans="1:10">
      <c r="A1" s="102" t="s">
        <v>11</v>
      </c>
      <c r="B1" s="102"/>
      <c r="C1" s="102"/>
      <c r="D1" s="102"/>
      <c r="E1" s="102"/>
      <c r="F1" s="102"/>
      <c r="G1" s="102"/>
      <c r="H1" s="102"/>
      <c r="I1" s="102"/>
      <c r="J1" s="102"/>
    </row>
    <row r="2" spans="1:10" ht="24.6">
      <c r="A2" s="103" t="s">
        <v>52</v>
      </c>
      <c r="B2" s="103"/>
      <c r="C2" s="103"/>
      <c r="D2" s="103"/>
      <c r="E2" s="103"/>
      <c r="F2" s="103"/>
      <c r="G2" s="103"/>
      <c r="H2" s="103"/>
      <c r="I2" s="103"/>
      <c r="J2" s="103"/>
    </row>
    <row r="3" spans="1:10" ht="18">
      <c r="A3" s="104" t="s">
        <v>53</v>
      </c>
      <c r="B3" s="104"/>
      <c r="C3" s="104"/>
      <c r="D3" s="104"/>
      <c r="E3" s="104"/>
      <c r="F3" s="104"/>
      <c r="G3" s="104"/>
      <c r="H3" s="104"/>
      <c r="I3" s="104"/>
      <c r="J3" s="104"/>
    </row>
    <row r="4" spans="1:10">
      <c r="A4" s="105" t="s">
        <v>54</v>
      </c>
      <c r="B4" s="105"/>
      <c r="C4" s="105"/>
      <c r="D4" s="105"/>
      <c r="E4" s="105"/>
      <c r="F4" s="105"/>
      <c r="G4" s="105"/>
      <c r="H4" s="105"/>
      <c r="I4" s="105"/>
      <c r="J4" s="105"/>
    </row>
    <row r="5" spans="1:10">
      <c r="A5" s="37"/>
      <c r="B5" s="37"/>
      <c r="C5" s="37"/>
      <c r="D5" s="37"/>
      <c r="E5" s="37"/>
      <c r="F5" s="37"/>
      <c r="G5" s="37"/>
      <c r="H5" s="37"/>
      <c r="I5" s="37"/>
      <c r="J5" s="37"/>
    </row>
    <row r="6" spans="1:10" ht="15.6">
      <c r="A6" s="31" t="s">
        <v>55</v>
      </c>
      <c r="B6" s="31"/>
      <c r="C6" s="106" t="e">
        <f>E51</f>
        <v>#REF!</v>
      </c>
      <c r="D6" s="107"/>
      <c r="E6" s="31"/>
      <c r="F6" s="31"/>
      <c r="G6" s="31" t="s">
        <v>56</v>
      </c>
      <c r="H6" s="31"/>
      <c r="I6" s="106" t="e">
        <f>H51</f>
        <v>#REF!</v>
      </c>
      <c r="J6" s="107"/>
    </row>
    <row r="7" spans="1:10">
      <c r="A7" s="32"/>
      <c r="B7" s="32"/>
      <c r="C7" s="108"/>
      <c r="D7" s="108"/>
      <c r="E7" s="108"/>
      <c r="F7" s="108"/>
      <c r="H7" s="109"/>
      <c r="I7" s="109"/>
      <c r="J7" s="109"/>
    </row>
    <row r="8" spans="1:10" ht="16.8">
      <c r="A8" t="s">
        <v>57</v>
      </c>
      <c r="B8" s="33" t="e">
        <f>#REF!</f>
        <v>#REF!</v>
      </c>
      <c r="D8" s="34"/>
      <c r="G8" s="35"/>
      <c r="J8" s="36" t="s">
        <v>58</v>
      </c>
    </row>
    <row r="9" spans="1:10">
      <c r="A9" t="s">
        <v>59</v>
      </c>
      <c r="D9" s="34"/>
      <c r="G9" s="35"/>
      <c r="J9" s="36" t="s">
        <v>68</v>
      </c>
    </row>
    <row r="10" spans="1:10">
      <c r="A10" s="110" t="s">
        <v>60</v>
      </c>
      <c r="B10" s="110" t="s">
        <v>12</v>
      </c>
      <c r="C10" s="112" t="s">
        <v>61</v>
      </c>
      <c r="D10" s="112"/>
      <c r="E10" s="112"/>
      <c r="F10" s="112" t="s">
        <v>62</v>
      </c>
      <c r="G10" s="112"/>
      <c r="H10" s="112"/>
      <c r="I10" s="110" t="s">
        <v>63</v>
      </c>
      <c r="J10" s="110" t="s">
        <v>10</v>
      </c>
    </row>
    <row r="11" spans="1:10">
      <c r="A11" s="111"/>
      <c r="B11" s="111"/>
      <c r="C11" s="39" t="s">
        <v>64</v>
      </c>
      <c r="D11" s="40" t="s">
        <v>8</v>
      </c>
      <c r="E11" s="39" t="s">
        <v>65</v>
      </c>
      <c r="F11" s="39" t="s">
        <v>64</v>
      </c>
      <c r="G11" s="39" t="s">
        <v>8</v>
      </c>
      <c r="H11" s="39" t="s">
        <v>66</v>
      </c>
      <c r="I11" s="111"/>
      <c r="J11" s="111"/>
    </row>
    <row r="12" spans="1:10" ht="15.6">
      <c r="A12" s="47">
        <v>1</v>
      </c>
      <c r="B12" s="48" t="s">
        <v>44</v>
      </c>
      <c r="C12" s="41" t="e">
        <f>ESTIMATE!#REF!</f>
        <v>#REF!</v>
      </c>
      <c r="D12" s="41" t="e">
        <f>ESTIMATE!#REF!</f>
        <v>#REF!</v>
      </c>
      <c r="E12" s="41" t="e">
        <f>ESTIMATE!#REF!</f>
        <v>#REF!</v>
      </c>
      <c r="F12" s="41" t="e">
        <f>#REF!</f>
        <v>#REF!</v>
      </c>
      <c r="G12" s="41" t="e">
        <f>#REF!</f>
        <v>#REF!</v>
      </c>
      <c r="H12" s="41" t="e">
        <f>#REF!</f>
        <v>#REF!</v>
      </c>
      <c r="I12" s="42" t="e">
        <f>F12-C12</f>
        <v>#REF!</v>
      </c>
      <c r="J12" s="43"/>
    </row>
    <row r="13" spans="1:10" ht="15.6">
      <c r="A13" s="49"/>
      <c r="B13" s="50"/>
      <c r="C13" s="43"/>
      <c r="D13" s="43"/>
      <c r="E13" s="43"/>
      <c r="F13" s="43"/>
      <c r="G13" s="43"/>
      <c r="H13" s="43"/>
      <c r="I13" s="42"/>
      <c r="J13" s="43"/>
    </row>
    <row r="14" spans="1:10" ht="31.2">
      <c r="A14" s="49">
        <v>2</v>
      </c>
      <c r="B14" s="50" t="s">
        <v>43</v>
      </c>
      <c r="C14" s="41">
        <f>ESTIMATE!H10</f>
        <v>1.35</v>
      </c>
      <c r="D14" s="41">
        <f>ESTIMATE!J10</f>
        <v>9900</v>
      </c>
      <c r="E14" s="41">
        <f>ESTIMATE!K10</f>
        <v>13365</v>
      </c>
      <c r="F14" s="41" t="e">
        <f>#REF!</f>
        <v>#REF!</v>
      </c>
      <c r="G14" s="41" t="e">
        <f>#REF!</f>
        <v>#REF!</v>
      </c>
      <c r="H14" s="41" t="e">
        <f>#REF!</f>
        <v>#REF!</v>
      </c>
      <c r="I14" s="42" t="e">
        <f>F14-C14</f>
        <v>#REF!</v>
      </c>
      <c r="J14" s="43"/>
    </row>
    <row r="15" spans="1:10" ht="15.6">
      <c r="A15" s="49"/>
      <c r="B15" s="50"/>
      <c r="C15" s="41"/>
      <c r="D15" s="43"/>
      <c r="E15" s="43"/>
      <c r="F15" s="43"/>
      <c r="G15" s="43"/>
      <c r="H15" s="43"/>
      <c r="I15" s="42"/>
      <c r="J15" s="43"/>
    </row>
    <row r="16" spans="1:10" ht="15.6">
      <c r="A16" s="49">
        <v>3</v>
      </c>
      <c r="B16" s="51" t="s">
        <v>36</v>
      </c>
      <c r="C16" s="41">
        <f>ESTIMATE!H14</f>
        <v>21</v>
      </c>
      <c r="D16" s="41">
        <f>ESTIMATE!J14</f>
        <v>97.2</v>
      </c>
      <c r="E16" s="41">
        <f>ESTIMATE!K14</f>
        <v>2041.2</v>
      </c>
      <c r="F16" s="41" t="e">
        <f>#REF!</f>
        <v>#REF!</v>
      </c>
      <c r="G16" s="41" t="e">
        <f>#REF!</f>
        <v>#REF!</v>
      </c>
      <c r="H16" s="41" t="e">
        <f>#REF!</f>
        <v>#REF!</v>
      </c>
      <c r="I16" s="42" t="e">
        <f>F16-C16</f>
        <v>#REF!</v>
      </c>
      <c r="J16" s="43"/>
    </row>
    <row r="17" spans="1:13" ht="15.6">
      <c r="A17" s="49"/>
      <c r="B17" s="52" t="s">
        <v>37</v>
      </c>
      <c r="C17" s="43"/>
      <c r="D17" s="43"/>
      <c r="E17" s="41">
        <f>ESTIMATE!K15</f>
        <v>0</v>
      </c>
      <c r="F17" s="43"/>
      <c r="G17" s="43"/>
      <c r="H17" s="41" t="e">
        <f>#REF!</f>
        <v>#REF!</v>
      </c>
      <c r="I17" s="42"/>
      <c r="J17" s="43"/>
    </row>
    <row r="18" spans="1:13" ht="15.6">
      <c r="A18" s="49"/>
      <c r="B18" s="52"/>
      <c r="C18" s="43"/>
      <c r="D18" s="43"/>
      <c r="E18" s="43"/>
      <c r="F18" s="43"/>
      <c r="G18" s="43"/>
      <c r="H18" s="43"/>
      <c r="I18" s="42"/>
      <c r="J18" s="43"/>
    </row>
    <row r="19" spans="1:13" ht="15.6">
      <c r="A19" s="49">
        <v>4</v>
      </c>
      <c r="B19" s="51" t="s">
        <v>42</v>
      </c>
      <c r="C19" s="41" t="e">
        <f>ESTIMATE!#REF!</f>
        <v>#REF!</v>
      </c>
      <c r="D19" s="41" t="e">
        <f>ESTIMATE!#REF!</f>
        <v>#REF!</v>
      </c>
      <c r="E19" s="41" t="e">
        <f>ESTIMATE!#REF!</f>
        <v>#REF!</v>
      </c>
      <c r="F19" s="41" t="e">
        <f>#REF!</f>
        <v>#REF!</v>
      </c>
      <c r="G19" s="41" t="e">
        <f>#REF!</f>
        <v>#REF!</v>
      </c>
      <c r="H19" s="41" t="e">
        <f>#REF!</f>
        <v>#REF!</v>
      </c>
      <c r="I19" s="42" t="e">
        <f>F19-C19</f>
        <v>#REF!</v>
      </c>
      <c r="J19" s="43"/>
      <c r="M19" s="38"/>
    </row>
    <row r="20" spans="1:13" ht="15.6">
      <c r="A20" s="49"/>
      <c r="B20" s="53" t="s">
        <v>37</v>
      </c>
      <c r="C20" s="43"/>
      <c r="D20" s="43"/>
      <c r="E20" s="41" t="e">
        <f>ESTIMATE!#REF!</f>
        <v>#REF!</v>
      </c>
      <c r="F20" s="43"/>
      <c r="G20" s="43"/>
      <c r="H20" s="41" t="e">
        <f>#REF!</f>
        <v>#REF!</v>
      </c>
      <c r="I20" s="42"/>
      <c r="J20" s="43"/>
    </row>
    <row r="21" spans="1:13" ht="15.6">
      <c r="A21" s="49"/>
      <c r="B21" s="52"/>
      <c r="C21" s="43"/>
      <c r="D21" s="43"/>
      <c r="E21" s="43"/>
      <c r="F21" s="43"/>
      <c r="G21" s="43"/>
      <c r="H21" s="43"/>
      <c r="I21" s="42"/>
      <c r="J21" s="43"/>
    </row>
    <row r="22" spans="1:13" ht="15.6">
      <c r="A22" s="49">
        <v>5</v>
      </c>
      <c r="B22" s="51" t="s">
        <v>49</v>
      </c>
      <c r="C22" s="41">
        <f>ESTIMATE!H19</f>
        <v>1.917987804878049</v>
      </c>
      <c r="D22" s="41">
        <f>ESTIMATE!J19</f>
        <v>14911.97</v>
      </c>
      <c r="E22" s="41">
        <f>ESTIMATE!K19</f>
        <v>28600.976606707318</v>
      </c>
      <c r="F22" s="41" t="e">
        <f>#REF!</f>
        <v>#REF!</v>
      </c>
      <c r="G22" s="41" t="e">
        <f>#REF!</f>
        <v>#REF!</v>
      </c>
      <c r="H22" s="41" t="e">
        <f>#REF!</f>
        <v>#REF!</v>
      </c>
      <c r="I22" s="42" t="e">
        <f>F22-C22</f>
        <v>#REF!</v>
      </c>
      <c r="J22" s="43"/>
    </row>
    <row r="23" spans="1:13" ht="15.6">
      <c r="A23" s="49"/>
      <c r="B23" s="53" t="s">
        <v>29</v>
      </c>
      <c r="C23" s="43"/>
      <c r="D23" s="43"/>
      <c r="E23" s="41">
        <f>ESTIMATE!K20</f>
        <v>359.82026615853664</v>
      </c>
      <c r="F23" s="43"/>
      <c r="G23" s="43"/>
      <c r="H23" s="41" t="e">
        <f>#REF!</f>
        <v>#REF!</v>
      </c>
      <c r="I23" s="42"/>
      <c r="J23" s="43"/>
    </row>
    <row r="24" spans="1:13" ht="15.6">
      <c r="A24" s="49"/>
      <c r="B24" s="53" t="s">
        <v>38</v>
      </c>
      <c r="C24" s="43"/>
      <c r="D24" s="43"/>
      <c r="E24" s="41">
        <f>ESTIMATE!K21</f>
        <v>175.0255935365854</v>
      </c>
      <c r="F24" s="43"/>
      <c r="G24" s="43"/>
      <c r="H24" s="41" t="e">
        <f>#REF!</f>
        <v>#REF!</v>
      </c>
      <c r="I24" s="42"/>
      <c r="J24" s="43"/>
    </row>
    <row r="25" spans="1:13" ht="15.6">
      <c r="A25" s="49"/>
      <c r="B25" s="53" t="s">
        <v>30</v>
      </c>
      <c r="C25" s="43"/>
      <c r="D25" s="43"/>
      <c r="E25" s="41">
        <f>ESTIMATE!K22</f>
        <v>2185.4811248780493</v>
      </c>
      <c r="F25" s="43"/>
      <c r="G25" s="43"/>
      <c r="H25" s="41" t="e">
        <f>#REF!</f>
        <v>#REF!</v>
      </c>
      <c r="I25" s="42"/>
      <c r="J25" s="43"/>
    </row>
    <row r="26" spans="1:13" ht="15.6">
      <c r="A26" s="49"/>
      <c r="B26" s="53"/>
      <c r="C26" s="43"/>
      <c r="D26" s="43"/>
      <c r="E26" s="43"/>
      <c r="F26" s="43"/>
      <c r="G26" s="43"/>
      <c r="H26" s="43"/>
      <c r="I26" s="42"/>
      <c r="J26" s="43"/>
    </row>
    <row r="27" spans="1:13" ht="46.8">
      <c r="A27" s="49">
        <v>6</v>
      </c>
      <c r="B27" s="54" t="s">
        <v>25</v>
      </c>
      <c r="C27" s="41">
        <f>ESTIMATE!H31</f>
        <v>3.0375000000000001</v>
      </c>
      <c r="D27" s="41">
        <f>ESTIMATE!J31</f>
        <v>17107.900000000001</v>
      </c>
      <c r="E27" s="41">
        <f>ESTIMATE!K31</f>
        <v>51965.246250000004</v>
      </c>
      <c r="F27" s="41" t="e">
        <f>#REF!</f>
        <v>#REF!</v>
      </c>
      <c r="G27" s="41" t="e">
        <f>#REF!</f>
        <v>#REF!</v>
      </c>
      <c r="H27" s="41" t="e">
        <f>#REF!</f>
        <v>#REF!</v>
      </c>
      <c r="I27" s="42" t="e">
        <f>F27-C27</f>
        <v>#REF!</v>
      </c>
      <c r="J27" s="43"/>
    </row>
    <row r="28" spans="1:13" ht="15.6">
      <c r="A28" s="49"/>
      <c r="B28" s="53" t="s">
        <v>29</v>
      </c>
      <c r="C28" s="43"/>
      <c r="D28" s="43"/>
      <c r="E28" s="41">
        <f>ESTIMATE!K32</f>
        <v>2279.3764500000002</v>
      </c>
      <c r="F28" s="43"/>
      <c r="G28" s="43"/>
      <c r="H28" s="41" t="e">
        <f>#REF!</f>
        <v>#REF!</v>
      </c>
      <c r="I28" s="42"/>
      <c r="J28" s="43"/>
    </row>
    <row r="29" spans="1:13" ht="15.6">
      <c r="A29" s="49"/>
      <c r="B29" s="53" t="s">
        <v>31</v>
      </c>
      <c r="C29" s="43"/>
      <c r="D29" s="43"/>
      <c r="E29" s="41">
        <f>ESTIMATE!K33</f>
        <v>420.72746625000002</v>
      </c>
      <c r="F29" s="43"/>
      <c r="G29" s="43"/>
      <c r="H29" s="41" t="e">
        <f>#REF!</f>
        <v>#REF!</v>
      </c>
      <c r="I29" s="42"/>
      <c r="J29" s="43"/>
    </row>
    <row r="30" spans="1:13" ht="15.6">
      <c r="A30" s="49"/>
      <c r="B30" s="53" t="s">
        <v>30</v>
      </c>
      <c r="C30" s="43"/>
      <c r="D30" s="43"/>
      <c r="E30" s="41">
        <f>ESTIMATE!K34</f>
        <v>1166.4725962500002</v>
      </c>
      <c r="F30" s="43"/>
      <c r="G30" s="43"/>
      <c r="H30" s="41" t="e">
        <f>#REF!</f>
        <v>#REF!</v>
      </c>
      <c r="I30" s="42"/>
      <c r="J30" s="43"/>
    </row>
    <row r="31" spans="1:13" ht="15.6">
      <c r="A31" s="49"/>
      <c r="B31" s="53"/>
      <c r="C31" s="43"/>
      <c r="D31" s="43"/>
      <c r="E31" s="43"/>
      <c r="F31" s="43"/>
      <c r="G31" s="43"/>
      <c r="H31" s="43"/>
      <c r="I31" s="42"/>
      <c r="J31" s="43"/>
    </row>
    <row r="32" spans="1:13" ht="15.6">
      <c r="A32" s="51">
        <v>7</v>
      </c>
      <c r="B32" s="55" t="s">
        <v>26</v>
      </c>
      <c r="C32" s="42" t="e">
        <f>ESTIMATE!#REF!</f>
        <v>#REF!</v>
      </c>
      <c r="D32" s="41" t="e">
        <f>ESTIMATE!#REF!</f>
        <v>#REF!</v>
      </c>
      <c r="E32" s="41" t="e">
        <f>ESTIMATE!#REF!</f>
        <v>#REF!</v>
      </c>
      <c r="F32" s="42" t="e">
        <f>#REF!</f>
        <v>#REF!</v>
      </c>
      <c r="G32" s="41" t="e">
        <f>#REF!</f>
        <v>#REF!</v>
      </c>
      <c r="H32" s="41" t="e">
        <f>#REF!</f>
        <v>#REF!</v>
      </c>
      <c r="I32" s="42" t="e">
        <f>F32-C32</f>
        <v>#REF!</v>
      </c>
      <c r="J32" s="43"/>
    </row>
    <row r="33" spans="1:10" ht="15.6">
      <c r="A33" s="51"/>
      <c r="B33" s="53" t="s">
        <v>29</v>
      </c>
      <c r="C33" s="43"/>
      <c r="D33" s="43"/>
      <c r="E33" s="41">
        <f>ESTIMATE!K37</f>
        <v>329.24326500000001</v>
      </c>
      <c r="F33" s="43"/>
      <c r="G33" s="43"/>
      <c r="H33" s="41" t="e">
        <f>#REF!</f>
        <v>#REF!</v>
      </c>
      <c r="I33" s="42"/>
      <c r="J33" s="43"/>
    </row>
    <row r="34" spans="1:10" ht="15.6">
      <c r="A34" s="49"/>
      <c r="B34" s="53"/>
      <c r="C34" s="43"/>
      <c r="D34" s="43"/>
      <c r="E34" s="43"/>
      <c r="F34" s="43"/>
      <c r="G34" s="43"/>
      <c r="H34" s="43"/>
      <c r="I34" s="42"/>
      <c r="J34" s="43"/>
    </row>
    <row r="35" spans="1:10" ht="15.6">
      <c r="A35" s="49">
        <v>8</v>
      </c>
      <c r="B35" s="50" t="s">
        <v>39</v>
      </c>
      <c r="C35" s="41">
        <f>ESTIMATE!H43</f>
        <v>22.5</v>
      </c>
      <c r="D35" s="41">
        <f>ESTIMATE!J43</f>
        <v>402.23</v>
      </c>
      <c r="E35" s="41">
        <f>ESTIMATE!K43</f>
        <v>9050.1750000000011</v>
      </c>
      <c r="F35" s="41" t="e">
        <f>#REF!</f>
        <v>#REF!</v>
      </c>
      <c r="G35" s="41" t="e">
        <f>#REF!</f>
        <v>#REF!</v>
      </c>
      <c r="H35" s="41" t="e">
        <f>#REF!</f>
        <v>#REF!</v>
      </c>
      <c r="I35" s="42" t="e">
        <f>F35-C35</f>
        <v>#REF!</v>
      </c>
      <c r="J35" s="43"/>
    </row>
    <row r="36" spans="1:10" ht="15.6">
      <c r="A36" s="49"/>
      <c r="B36" s="53" t="s">
        <v>29</v>
      </c>
      <c r="C36" s="43"/>
      <c r="D36" s="43"/>
      <c r="E36" s="41">
        <f>ESTIMATE!K44</f>
        <v>227.0931975</v>
      </c>
      <c r="F36" s="43"/>
      <c r="G36" s="43"/>
      <c r="H36" s="41" t="e">
        <f>#REF!</f>
        <v>#REF!</v>
      </c>
      <c r="I36" s="42"/>
      <c r="J36" s="43"/>
    </row>
    <row r="37" spans="1:10" ht="15.6">
      <c r="A37" s="49"/>
      <c r="B37" s="53" t="s">
        <v>30</v>
      </c>
      <c r="C37" s="43"/>
      <c r="D37" s="43"/>
      <c r="E37" s="41">
        <f>ESTIMATE!K45</f>
        <v>107.0617275</v>
      </c>
      <c r="F37" s="43"/>
      <c r="G37" s="43"/>
      <c r="H37" s="41" t="e">
        <f>#REF!</f>
        <v>#REF!</v>
      </c>
      <c r="I37" s="42"/>
      <c r="J37" s="43"/>
    </row>
    <row r="38" spans="1:10" ht="15.6">
      <c r="A38" s="51"/>
      <c r="B38" s="53"/>
      <c r="C38" s="43"/>
      <c r="D38" s="43"/>
      <c r="E38" s="43"/>
      <c r="F38" s="43"/>
      <c r="G38" s="43"/>
      <c r="H38" s="43"/>
      <c r="I38" s="42"/>
      <c r="J38" s="43"/>
    </row>
    <row r="39" spans="1:10" ht="15.6">
      <c r="A39" s="49">
        <v>9</v>
      </c>
      <c r="B39" s="50" t="s">
        <v>41</v>
      </c>
      <c r="C39" s="41">
        <f>ESTIMATE!H54</f>
        <v>1</v>
      </c>
      <c r="D39" s="41">
        <f>ESTIMATE!J54</f>
        <v>4659</v>
      </c>
      <c r="E39" s="41">
        <f>ESTIMATE!K54</f>
        <v>4659</v>
      </c>
      <c r="F39" s="41" t="e">
        <f>#REF!</f>
        <v>#REF!</v>
      </c>
      <c r="G39" s="41" t="e">
        <f>#REF!</f>
        <v>#REF!</v>
      </c>
      <c r="H39" s="41" t="e">
        <f>#REF!</f>
        <v>#REF!</v>
      </c>
      <c r="I39" s="42" t="e">
        <f>F39-C39</f>
        <v>#REF!</v>
      </c>
      <c r="J39" s="43"/>
    </row>
    <row r="40" spans="1:10" ht="15.6">
      <c r="A40" s="49"/>
      <c r="B40" s="50"/>
      <c r="C40" s="43"/>
      <c r="D40" s="43"/>
      <c r="E40" s="43"/>
      <c r="F40" s="43"/>
      <c r="G40" s="43"/>
      <c r="H40" s="43"/>
      <c r="I40" s="42"/>
      <c r="J40" s="43"/>
    </row>
    <row r="41" spans="1:10" ht="15.6">
      <c r="A41" s="51">
        <v>10</v>
      </c>
      <c r="B41" s="55" t="s">
        <v>45</v>
      </c>
      <c r="C41" s="42" t="e">
        <f>ESTIMATE!#REF!</f>
        <v>#REF!</v>
      </c>
      <c r="D41" s="41" t="e">
        <f>ESTIMATE!#REF!</f>
        <v>#REF!</v>
      </c>
      <c r="E41" s="41" t="e">
        <f>ESTIMATE!#REF!</f>
        <v>#REF!</v>
      </c>
      <c r="F41" s="42" t="e">
        <f>#REF!</f>
        <v>#REF!</v>
      </c>
      <c r="G41" s="41" t="e">
        <f>#REF!</f>
        <v>#REF!</v>
      </c>
      <c r="H41" s="41" t="e">
        <f>#REF!</f>
        <v>#REF!</v>
      </c>
      <c r="I41" s="42" t="e">
        <f>F41-C41</f>
        <v>#REF!</v>
      </c>
      <c r="J41" s="43"/>
    </row>
    <row r="42" spans="1:10" ht="15.6">
      <c r="A42" s="51"/>
      <c r="B42" s="56" t="s">
        <v>50</v>
      </c>
      <c r="C42" s="43"/>
      <c r="D42" s="41"/>
      <c r="E42" s="41" t="e">
        <f>ESTIMATE!#REF!</f>
        <v>#REF!</v>
      </c>
      <c r="F42" s="43"/>
      <c r="G42" s="43"/>
      <c r="H42" s="41" t="e">
        <f>#REF!</f>
        <v>#REF!</v>
      </c>
      <c r="I42" s="42"/>
      <c r="J42" s="43"/>
    </row>
    <row r="43" spans="1:10" ht="15.6">
      <c r="A43" s="51"/>
      <c r="B43" s="55"/>
      <c r="C43" s="43"/>
      <c r="D43" s="43"/>
      <c r="E43" s="43"/>
      <c r="F43" s="43"/>
      <c r="G43" s="43"/>
      <c r="H43" s="43"/>
      <c r="I43" s="42"/>
      <c r="J43" s="43"/>
    </row>
    <row r="44" spans="1:10" ht="15.6">
      <c r="A44" s="51">
        <v>11</v>
      </c>
      <c r="B44" s="55" t="s">
        <v>46</v>
      </c>
      <c r="C44" s="43" t="e">
        <f>ESTIMATE!#REF!</f>
        <v>#REF!</v>
      </c>
      <c r="D44" s="41" t="e">
        <f>ESTIMATE!#REF!</f>
        <v>#REF!</v>
      </c>
      <c r="E44" s="41" t="e">
        <f>ESTIMATE!#REF!</f>
        <v>#REF!</v>
      </c>
      <c r="F44" s="43" t="e">
        <f>#REF!</f>
        <v>#REF!</v>
      </c>
      <c r="G44" s="41" t="e">
        <f>#REF!</f>
        <v>#REF!</v>
      </c>
      <c r="H44" s="41" t="e">
        <f>#REF!</f>
        <v>#REF!</v>
      </c>
      <c r="I44" s="42" t="e">
        <f>F44-C44</f>
        <v>#REF!</v>
      </c>
      <c r="J44" s="43"/>
    </row>
    <row r="45" spans="1:10" ht="15.6">
      <c r="A45" s="49"/>
      <c r="B45" s="57" t="s">
        <v>51</v>
      </c>
      <c r="C45" s="43"/>
      <c r="D45" s="43"/>
      <c r="E45" s="41" t="e">
        <f>ESTIMATE!#REF!</f>
        <v>#REF!</v>
      </c>
      <c r="F45" s="43"/>
      <c r="G45" s="43"/>
      <c r="H45" s="41" t="e">
        <f>#REF!</f>
        <v>#REF!</v>
      </c>
      <c r="I45" s="42"/>
      <c r="J45" s="43"/>
    </row>
    <row r="46" spans="1:10" ht="15.6">
      <c r="A46" s="49"/>
      <c r="B46" s="50"/>
      <c r="C46" s="43"/>
      <c r="D46" s="43"/>
      <c r="E46" s="43"/>
      <c r="F46" s="43"/>
      <c r="G46" s="43"/>
      <c r="H46" s="43"/>
      <c r="I46" s="42"/>
      <c r="J46" s="43"/>
    </row>
    <row r="47" spans="1:10" ht="15.6">
      <c r="A47" s="58">
        <v>12</v>
      </c>
      <c r="B47" s="59" t="s">
        <v>47</v>
      </c>
      <c r="C47" s="41" t="e">
        <f>ESTIMATE!#REF!</f>
        <v>#REF!</v>
      </c>
      <c r="D47" s="41" t="e">
        <f>ESTIMATE!#REF!</f>
        <v>#REF!</v>
      </c>
      <c r="E47" s="41" t="e">
        <f>ESTIMATE!#REF!</f>
        <v>#REF!</v>
      </c>
      <c r="F47" s="41" t="e">
        <f>#REF!</f>
        <v>#REF!</v>
      </c>
      <c r="G47" s="41" t="e">
        <f>#REF!</f>
        <v>#REF!</v>
      </c>
      <c r="H47" s="41" t="e">
        <f>#REF!</f>
        <v>#REF!</v>
      </c>
      <c r="I47" s="42" t="e">
        <f>F47-C47</f>
        <v>#REF!</v>
      </c>
      <c r="J47" s="43"/>
    </row>
    <row r="48" spans="1:10" ht="15.6">
      <c r="A48" s="47"/>
      <c r="B48" s="60" t="s">
        <v>48</v>
      </c>
      <c r="C48" s="43"/>
      <c r="D48" s="43"/>
      <c r="E48" s="41" t="e">
        <f>ESTIMATE!#REF!</f>
        <v>#REF!</v>
      </c>
      <c r="F48" s="43"/>
      <c r="G48" s="43"/>
      <c r="H48" s="41" t="e">
        <f>#REF!</f>
        <v>#REF!</v>
      </c>
      <c r="I48" s="42"/>
      <c r="J48" s="43"/>
    </row>
    <row r="49" spans="1:10" ht="15.6">
      <c r="A49" s="51"/>
      <c r="B49" s="55"/>
      <c r="C49" s="43"/>
      <c r="D49" s="43"/>
      <c r="E49" s="43"/>
      <c r="F49" s="43"/>
      <c r="G49" s="43"/>
      <c r="H49" s="43"/>
      <c r="I49" s="42"/>
      <c r="J49" s="43"/>
    </row>
    <row r="50" spans="1:10" ht="15.6">
      <c r="A50" s="49">
        <v>12</v>
      </c>
      <c r="B50" s="61" t="s">
        <v>33</v>
      </c>
      <c r="C50" s="43">
        <v>1</v>
      </c>
      <c r="D50" s="43">
        <v>500</v>
      </c>
      <c r="E50" s="43">
        <v>500</v>
      </c>
      <c r="F50" s="42" t="e">
        <f>#REF!</f>
        <v>#REF!</v>
      </c>
      <c r="G50" s="41" t="e">
        <f>#REF!</f>
        <v>#REF!</v>
      </c>
      <c r="H50" s="41" t="e">
        <f>#REF!</f>
        <v>#REF!</v>
      </c>
      <c r="I50" s="42" t="e">
        <f>F50-C50</f>
        <v>#REF!</v>
      </c>
      <c r="J50" s="43"/>
    </row>
    <row r="51" spans="1:10" ht="15.6">
      <c r="A51" s="44"/>
      <c r="B51" s="45" t="s">
        <v>67</v>
      </c>
      <c r="C51" s="45"/>
      <c r="D51" s="45"/>
      <c r="E51" s="46" t="e">
        <f>SUM(E12:E50)</f>
        <v>#REF!</v>
      </c>
      <c r="F51" s="45"/>
      <c r="G51" s="45"/>
      <c r="H51" s="46" t="e">
        <f>SUM(H12:H50)</f>
        <v>#REF!</v>
      </c>
      <c r="I51" s="45"/>
      <c r="J51" s="45"/>
    </row>
  </sheetData>
  <mergeCells count="15">
    <mergeCell ref="C7:D7"/>
    <mergeCell ref="E7:F7"/>
    <mergeCell ref="H7:J7"/>
    <mergeCell ref="A10:A11"/>
    <mergeCell ref="B10:B11"/>
    <mergeCell ref="C10:E10"/>
    <mergeCell ref="F10:H10"/>
    <mergeCell ref="I10:I11"/>
    <mergeCell ref="J10:J11"/>
    <mergeCell ref="A1:J1"/>
    <mergeCell ref="A2:J2"/>
    <mergeCell ref="A3:J3"/>
    <mergeCell ref="A4:J4"/>
    <mergeCell ref="C6:D6"/>
    <mergeCell ref="I6:J6"/>
  </mergeCells>
  <pageMargins left="0.7" right="0.7" top="0.75" bottom="0.75" header="0.3" footer="0.3"/>
  <pageSetup scale="88" orientation="landscape" horizontalDpi="1200" verticalDpi="1200" r:id="rId1"/>
  <headerFooter>
    <oddFooter>&amp;LPrepared By
Nitesh Basukala
Sub Engineer&amp;CChecked By         Submitted By
Nabin KC   Prakash Singh Saud
Engineer                        Engineer&amp;RApproved By 
Basudev Khanal 
CAO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117"/>
  <sheetViews>
    <sheetView tabSelected="1" topLeftCell="A50" zoomScaleNormal="100" zoomScaleSheetLayoutView="100" workbookViewId="0">
      <selection activeCell="H52" sqref="H52"/>
    </sheetView>
  </sheetViews>
  <sheetFormatPr defaultColWidth="9.109375" defaultRowHeight="16.8"/>
  <cols>
    <col min="1" max="1" width="3.6640625" style="81" customWidth="1"/>
    <col min="2" max="2" width="10.88671875" style="4" customWidth="1"/>
    <col min="3" max="3" width="30.5546875" style="8" customWidth="1"/>
    <col min="4" max="4" width="7.77734375" style="81" bestFit="1" customWidth="1"/>
    <col min="5" max="5" width="10.44140625" style="81" bestFit="1" customWidth="1"/>
    <col min="6" max="6" width="10" style="81" customWidth="1"/>
    <col min="7" max="7" width="9.6640625" style="81" customWidth="1"/>
    <col min="8" max="8" width="11" style="81" customWidth="1"/>
    <col min="9" max="9" width="7.5546875" style="81" customWidth="1"/>
    <col min="10" max="10" width="10.21875" style="2" bestFit="1" customWidth="1"/>
    <col min="11" max="11" width="14.5546875" style="81" bestFit="1" customWidth="1"/>
    <col min="12" max="12" width="10.6640625" style="81" bestFit="1" customWidth="1"/>
    <col min="13" max="13" width="9.109375" style="81"/>
    <col min="14" max="14" width="13.33203125" style="81" bestFit="1" customWidth="1"/>
    <col min="15" max="15" width="9.109375" style="81"/>
    <col min="16" max="16" width="14" style="81" bestFit="1" customWidth="1"/>
    <col min="17" max="17" width="11.6640625" style="81" bestFit="1" customWidth="1"/>
    <col min="18" max="16384" width="9.109375" style="81"/>
  </cols>
  <sheetData>
    <row r="1" spans="1:18">
      <c r="A1" s="98" t="s">
        <v>11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</row>
    <row r="2" spans="1:18" ht="20.399999999999999">
      <c r="A2" s="99" t="s">
        <v>16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</row>
    <row r="3" spans="1:18">
      <c r="A3" s="98" t="s">
        <v>17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</row>
    <row r="4" spans="1:18">
      <c r="A4" s="100" t="s">
        <v>22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</row>
    <row r="5" spans="1:18" ht="19.8">
      <c r="A5" s="82"/>
      <c r="B5" s="4" t="s">
        <v>27</v>
      </c>
      <c r="C5" s="28" t="s">
        <v>101</v>
      </c>
      <c r="H5" s="82"/>
      <c r="K5" s="101" t="s">
        <v>103</v>
      </c>
      <c r="L5" s="101"/>
    </row>
    <row r="6" spans="1:18">
      <c r="B6" s="97" t="s">
        <v>28</v>
      </c>
      <c r="C6" s="97"/>
      <c r="D6" s="97"/>
      <c r="E6" s="97"/>
      <c r="F6" s="97"/>
      <c r="G6" s="97"/>
      <c r="H6" s="3"/>
      <c r="I6" s="96" t="s">
        <v>102</v>
      </c>
      <c r="J6" s="96"/>
      <c r="K6" s="96"/>
      <c r="L6" s="96"/>
      <c r="O6" s="96" t="s">
        <v>70</v>
      </c>
      <c r="P6" s="96"/>
      <c r="Q6" s="96"/>
      <c r="R6" s="96"/>
    </row>
    <row r="7" spans="1:18" ht="17.399999999999999" thickBot="1">
      <c r="C7" s="5"/>
      <c r="D7" s="82"/>
      <c r="E7" s="3"/>
      <c r="F7" s="3"/>
      <c r="G7" s="3"/>
      <c r="H7" s="3"/>
      <c r="J7" s="7"/>
      <c r="K7" s="3"/>
      <c r="L7" s="8"/>
    </row>
    <row r="8" spans="1:18" ht="17.399999999999999" thickBot="1">
      <c r="A8" s="2"/>
      <c r="B8" s="12" t="s">
        <v>0</v>
      </c>
      <c r="C8" s="13" t="s">
        <v>1</v>
      </c>
      <c r="D8" s="17" t="s">
        <v>2</v>
      </c>
      <c r="E8" s="14" t="s">
        <v>3</v>
      </c>
      <c r="F8" s="14" t="s">
        <v>4</v>
      </c>
      <c r="G8" s="14" t="s">
        <v>5</v>
      </c>
      <c r="H8" s="14" t="s">
        <v>6</v>
      </c>
      <c r="I8" s="15" t="s">
        <v>7</v>
      </c>
      <c r="J8" s="14" t="s">
        <v>8</v>
      </c>
      <c r="K8" s="14" t="s">
        <v>9</v>
      </c>
      <c r="L8" s="16" t="s">
        <v>10</v>
      </c>
    </row>
    <row r="9" spans="1:18" ht="18">
      <c r="A9" s="2"/>
      <c r="B9" s="87" t="s">
        <v>94</v>
      </c>
      <c r="C9" s="88" t="s">
        <v>95</v>
      </c>
      <c r="D9" s="89"/>
      <c r="E9" s="90"/>
      <c r="F9" s="90"/>
      <c r="G9" s="90"/>
      <c r="H9" s="90"/>
      <c r="I9" s="91"/>
      <c r="J9" s="90"/>
      <c r="K9" s="90"/>
      <c r="L9" s="92"/>
    </row>
    <row r="10" spans="1:18" ht="35.1" customHeight="1">
      <c r="B10" s="84">
        <v>1</v>
      </c>
      <c r="C10" s="79" t="s">
        <v>105</v>
      </c>
      <c r="D10" s="24">
        <v>1</v>
      </c>
      <c r="E10" s="70">
        <v>5</v>
      </c>
      <c r="F10" s="70">
        <f>11/3.281</f>
        <v>3.3526363913441024</v>
      </c>
      <c r="G10" s="70">
        <v>7.4999999999999997E-2</v>
      </c>
      <c r="H10" s="70">
        <f>D10*E10*F10*G10</f>
        <v>1.2572386467540384</v>
      </c>
      <c r="I10" s="72" t="s">
        <v>35</v>
      </c>
      <c r="J10" s="72">
        <v>3740</v>
      </c>
      <c r="K10" s="72">
        <f>H10*J10</f>
        <v>4702.072538860104</v>
      </c>
      <c r="L10" s="25"/>
    </row>
    <row r="11" spans="1:18" ht="18.600000000000001">
      <c r="B11" s="84"/>
      <c r="C11" s="79"/>
      <c r="D11" s="24"/>
      <c r="E11" s="70"/>
      <c r="F11" s="70"/>
      <c r="G11" s="70"/>
      <c r="H11" s="70"/>
      <c r="I11" s="24"/>
      <c r="J11" s="70"/>
      <c r="K11" s="70"/>
      <c r="L11" s="25"/>
    </row>
    <row r="12" spans="1:18" ht="55.8">
      <c r="B12" s="84">
        <v>2</v>
      </c>
      <c r="C12" s="79" t="s">
        <v>104</v>
      </c>
      <c r="D12" s="24">
        <v>2</v>
      </c>
      <c r="E12" s="70">
        <f>E10</f>
        <v>5</v>
      </c>
      <c r="F12" s="70"/>
      <c r="G12" s="70">
        <v>1.4</v>
      </c>
      <c r="H12" s="70">
        <f>D12*E12*G12</f>
        <v>14</v>
      </c>
      <c r="I12" s="70"/>
      <c r="J12" s="70"/>
      <c r="K12" s="70"/>
      <c r="L12" s="25"/>
    </row>
    <row r="13" spans="1:18">
      <c r="B13" s="84"/>
      <c r="C13" s="21"/>
      <c r="D13" s="24">
        <v>2</v>
      </c>
      <c r="E13" s="70">
        <f>F10-0.23*2</f>
        <v>2.8926363913441024</v>
      </c>
      <c r="F13" s="70"/>
      <c r="G13" s="70">
        <v>1.4</v>
      </c>
      <c r="H13" s="70">
        <f>D13*E13*G13</f>
        <v>8.0993818957634858</v>
      </c>
      <c r="I13" s="70"/>
      <c r="J13" s="70"/>
      <c r="K13" s="70"/>
      <c r="L13" s="25"/>
    </row>
    <row r="14" spans="1:18">
      <c r="B14" s="84"/>
      <c r="C14" s="21"/>
      <c r="D14" s="24">
        <v>1</v>
      </c>
      <c r="E14" s="70">
        <f>E10</f>
        <v>5</v>
      </c>
      <c r="F14" s="70"/>
      <c r="G14" s="70">
        <v>0.45</v>
      </c>
      <c r="H14" s="70">
        <f>D14*E14*G14</f>
        <v>2.25</v>
      </c>
      <c r="I14" s="70"/>
      <c r="J14" s="70"/>
      <c r="K14" s="70"/>
      <c r="L14" s="25"/>
    </row>
    <row r="15" spans="1:18">
      <c r="B15" s="84"/>
      <c r="C15" s="20"/>
      <c r="D15" s="24"/>
      <c r="E15" s="70"/>
      <c r="F15" s="70"/>
      <c r="G15" s="71"/>
      <c r="H15" s="70">
        <f>SUM(H12:H14)</f>
        <v>24.349381895763486</v>
      </c>
      <c r="I15" s="24" t="s">
        <v>24</v>
      </c>
      <c r="J15" s="70">
        <v>1982.2</v>
      </c>
      <c r="K15" s="70">
        <f>H15*J15</f>
        <v>48265.34479378238</v>
      </c>
      <c r="L15" s="25"/>
    </row>
    <row r="16" spans="1:18">
      <c r="B16" s="84"/>
      <c r="C16" s="27"/>
      <c r="D16" s="24"/>
      <c r="E16" s="70"/>
      <c r="F16" s="70"/>
      <c r="G16" s="71"/>
      <c r="H16" s="70"/>
      <c r="I16" s="24"/>
      <c r="J16" s="70"/>
      <c r="K16" s="70"/>
      <c r="L16" s="25"/>
    </row>
    <row r="17" spans="2:14" ht="55.8">
      <c r="B17" s="84">
        <v>3</v>
      </c>
      <c r="C17" s="95" t="s">
        <v>108</v>
      </c>
      <c r="D17" s="24"/>
      <c r="E17" s="70"/>
      <c r="F17" s="70"/>
      <c r="G17" s="71"/>
      <c r="H17" s="70"/>
      <c r="I17" s="24"/>
      <c r="J17" s="70"/>
      <c r="K17" s="70"/>
      <c r="L17" s="25"/>
      <c r="N17" s="113" t="s">
        <v>107</v>
      </c>
    </row>
    <row r="18" spans="2:14">
      <c r="B18" s="84"/>
      <c r="C18" s="27"/>
      <c r="D18" s="24">
        <f>D10</f>
        <v>1</v>
      </c>
      <c r="E18" s="70">
        <f>E10</f>
        <v>5</v>
      </c>
      <c r="F18" s="70">
        <f>F10</f>
        <v>3.3526363913441024</v>
      </c>
      <c r="G18" s="71">
        <v>7.4999999999999997E-2</v>
      </c>
      <c r="H18" s="70">
        <f>D18*E18*F18*G18</f>
        <v>1.2572386467540384</v>
      </c>
      <c r="I18" s="24"/>
      <c r="J18" s="70"/>
      <c r="K18" s="70"/>
      <c r="L18" s="25"/>
    </row>
    <row r="19" spans="2:14">
      <c r="B19" s="84"/>
      <c r="C19" s="20"/>
      <c r="D19" s="24"/>
      <c r="E19" s="70"/>
      <c r="F19" s="70"/>
      <c r="G19" s="71"/>
      <c r="H19" s="70">
        <f>SUM(H18)</f>
        <v>1.2572386467540384</v>
      </c>
      <c r="I19" s="24" t="s">
        <v>24</v>
      </c>
      <c r="J19" s="70">
        <v>770.43</v>
      </c>
      <c r="K19" s="70">
        <f>H19*J19</f>
        <v>968.61437061871379</v>
      </c>
      <c r="L19" s="25"/>
    </row>
    <row r="20" spans="2:14">
      <c r="B20" s="84"/>
      <c r="C20" s="20"/>
      <c r="D20" s="24"/>
      <c r="E20" s="70"/>
      <c r="F20" s="70"/>
      <c r="G20" s="71"/>
      <c r="H20" s="70"/>
      <c r="I20" s="24"/>
      <c r="J20" s="70"/>
      <c r="K20" s="70"/>
      <c r="L20" s="25"/>
    </row>
    <row r="21" spans="2:14" ht="18.600000000000001">
      <c r="B21" s="145">
        <v>4</v>
      </c>
      <c r="C21" s="113" t="s">
        <v>106</v>
      </c>
      <c r="D21" s="74"/>
      <c r="E21" s="146"/>
      <c r="F21" s="146"/>
      <c r="G21" s="71"/>
      <c r="H21" s="146"/>
      <c r="I21" s="74"/>
      <c r="J21" s="146"/>
      <c r="K21" s="146"/>
      <c r="L21" s="25"/>
    </row>
    <row r="22" spans="2:14">
      <c r="B22" s="145"/>
      <c r="C22" s="148" t="s">
        <v>135</v>
      </c>
      <c r="D22" s="74">
        <f>D14</f>
        <v>1</v>
      </c>
      <c r="E22" s="146">
        <f>E14</f>
        <v>5</v>
      </c>
      <c r="F22" s="146">
        <f>F18</f>
        <v>3.3526363913441024</v>
      </c>
      <c r="G22" s="71"/>
      <c r="H22" s="146">
        <f>PRODUCT(D22:G22)</f>
        <v>16.763181956720512</v>
      </c>
      <c r="I22" s="74"/>
      <c r="J22" s="146"/>
      <c r="K22" s="146"/>
      <c r="L22" s="25"/>
    </row>
    <row r="23" spans="2:14">
      <c r="B23" s="145"/>
      <c r="C23" s="147"/>
      <c r="D23" s="74"/>
      <c r="E23" s="146"/>
      <c r="F23" s="146"/>
      <c r="G23" s="71"/>
      <c r="H23" s="146">
        <f>SUM(H22)</f>
        <v>16.763181956720512</v>
      </c>
      <c r="I23" s="74" t="s">
        <v>23</v>
      </c>
      <c r="J23" s="146">
        <f>Sheet1!H8/10</f>
        <v>155.75</v>
      </c>
      <c r="K23" s="146">
        <f>H23*J23</f>
        <v>2610.8655897592198</v>
      </c>
      <c r="L23" s="25"/>
    </row>
    <row r="24" spans="2:14">
      <c r="B24" s="84"/>
      <c r="C24" s="20"/>
      <c r="D24" s="24"/>
      <c r="E24" s="70"/>
      <c r="F24" s="70"/>
      <c r="G24" s="71"/>
      <c r="H24" s="70"/>
      <c r="I24" s="24"/>
      <c r="J24" s="70"/>
      <c r="K24" s="70"/>
      <c r="L24" s="25"/>
    </row>
    <row r="25" spans="2:14" s="94" customFormat="1" ht="35.1" customHeight="1">
      <c r="B25" s="84">
        <v>5</v>
      </c>
      <c r="C25" s="79" t="s">
        <v>134</v>
      </c>
      <c r="D25" s="24"/>
      <c r="E25" s="70"/>
      <c r="F25" s="70"/>
      <c r="G25" s="70"/>
      <c r="H25" s="70"/>
      <c r="I25" s="24"/>
      <c r="J25" s="73"/>
      <c r="K25" s="70"/>
      <c r="L25" s="25"/>
    </row>
    <row r="26" spans="2:14" s="94" customFormat="1">
      <c r="B26" s="84"/>
      <c r="C26" s="19" t="str">
        <f>C22</f>
        <v>-for flooring</v>
      </c>
      <c r="D26" s="24">
        <f>D22</f>
        <v>1</v>
      </c>
      <c r="E26" s="70">
        <f>E22</f>
        <v>5</v>
      </c>
      <c r="F26" s="70">
        <f>F22</f>
        <v>3.3526363913441024</v>
      </c>
      <c r="G26" s="70">
        <v>7.4999999999999997E-2</v>
      </c>
      <c r="H26" s="70">
        <f>D26*E26*F26*G26</f>
        <v>1.2572386467540384</v>
      </c>
      <c r="I26" s="24"/>
      <c r="J26" s="73"/>
      <c r="K26" s="70"/>
      <c r="L26" s="25"/>
    </row>
    <row r="27" spans="2:14" s="94" customFormat="1">
      <c r="B27" s="84"/>
      <c r="C27" s="18"/>
      <c r="D27" s="24"/>
      <c r="E27" s="70"/>
      <c r="F27" s="70" t="s">
        <v>32</v>
      </c>
      <c r="G27" s="70"/>
      <c r="H27" s="70">
        <f>SUM(H26)</f>
        <v>1.2572386467540384</v>
      </c>
      <c r="I27" s="24" t="s">
        <v>24</v>
      </c>
      <c r="J27" s="73">
        <v>13351.1</v>
      </c>
      <c r="K27" s="73">
        <f>H27*J27</f>
        <v>16785.518896677844</v>
      </c>
      <c r="L27" s="25"/>
    </row>
    <row r="28" spans="2:14" s="94" customFormat="1">
      <c r="B28" s="84"/>
      <c r="C28" s="19" t="s">
        <v>29</v>
      </c>
      <c r="D28" s="24"/>
      <c r="E28" s="70"/>
      <c r="F28" s="70"/>
      <c r="G28" s="70"/>
      <c r="H28" s="70"/>
      <c r="I28" s="24"/>
      <c r="J28" s="73"/>
      <c r="K28" s="73">
        <f>0.13*H27*4169.92</f>
        <v>681.53599512343794</v>
      </c>
      <c r="L28" s="25"/>
    </row>
    <row r="29" spans="2:14" s="94" customFormat="1">
      <c r="B29" s="84"/>
      <c r="C29" s="19" t="s">
        <v>30</v>
      </c>
      <c r="D29" s="24"/>
      <c r="E29" s="70"/>
      <c r="F29" s="70"/>
      <c r="G29" s="70"/>
      <c r="H29" s="70"/>
      <c r="I29" s="24"/>
      <c r="J29" s="73"/>
      <c r="K29" s="73">
        <f>0.13*H27*1414.16</f>
        <v>231.13175861017984</v>
      </c>
      <c r="L29" s="25"/>
    </row>
    <row r="30" spans="2:14" s="94" customFormat="1">
      <c r="B30" s="84"/>
      <c r="C30" s="19" t="s">
        <v>31</v>
      </c>
      <c r="D30" s="24"/>
      <c r="E30" s="70"/>
      <c r="F30" s="70"/>
      <c r="G30" s="70"/>
      <c r="H30" s="70"/>
      <c r="I30" s="24"/>
      <c r="J30" s="73"/>
      <c r="K30" s="73">
        <f>0.13*H27*(1652.5+737.97+349.56)</f>
        <v>447.83330920451084</v>
      </c>
      <c r="L30" s="25"/>
    </row>
    <row r="31" spans="2:14" s="94" customFormat="1" ht="18.600000000000001">
      <c r="B31" s="84"/>
      <c r="C31" s="79"/>
      <c r="D31" s="24"/>
      <c r="E31" s="70"/>
      <c r="F31" s="70"/>
      <c r="G31" s="70"/>
      <c r="H31" s="70"/>
      <c r="I31" s="24"/>
      <c r="J31" s="73"/>
      <c r="K31" s="73"/>
      <c r="L31" s="25"/>
    </row>
    <row r="32" spans="2:14" ht="35.1" customHeight="1">
      <c r="B32" s="153">
        <v>4</v>
      </c>
      <c r="C32" s="79" t="s">
        <v>80</v>
      </c>
      <c r="D32" s="24"/>
      <c r="E32" s="70"/>
      <c r="F32" s="70"/>
      <c r="G32" s="70"/>
      <c r="H32" s="70"/>
      <c r="I32" s="24"/>
      <c r="J32" s="154"/>
      <c r="K32" s="73"/>
      <c r="L32" s="25"/>
    </row>
    <row r="33" spans="2:12" s="94" customFormat="1">
      <c r="B33" s="153"/>
      <c r="C33" s="155" t="s">
        <v>136</v>
      </c>
      <c r="D33" s="24">
        <v>33</v>
      </c>
      <c r="E33" s="70">
        <f>(2+4.833+16.17+4.833+2)/3.281</f>
        <v>9.0935690338311481</v>
      </c>
      <c r="F33" s="70"/>
      <c r="G33" s="70">
        <f>10*10/162</f>
        <v>0.61728395061728392</v>
      </c>
      <c r="H33" s="70">
        <f>D33*E33*G33</f>
        <v>185.23936920767153</v>
      </c>
      <c r="I33" s="24"/>
      <c r="J33" s="154"/>
      <c r="K33" s="73"/>
      <c r="L33" s="25"/>
    </row>
    <row r="34" spans="2:12">
      <c r="B34" s="153"/>
      <c r="C34" s="19"/>
      <c r="D34" s="24">
        <v>32</v>
      </c>
      <c r="E34" s="70">
        <f>(2+4.42+15.667+4.42+2)/3.281</f>
        <v>8.6885096007314839</v>
      </c>
      <c r="F34" s="70"/>
      <c r="G34" s="70">
        <f>10*10/162</f>
        <v>0.61728395061728392</v>
      </c>
      <c r="H34" s="70">
        <f t="shared" ref="H34" si="0">D34*E34*G34</f>
        <v>171.62488100210336</v>
      </c>
      <c r="I34" s="24"/>
      <c r="J34" s="154"/>
      <c r="K34" s="73"/>
      <c r="L34" s="25"/>
    </row>
    <row r="35" spans="2:12" s="94" customFormat="1">
      <c r="B35" s="153"/>
      <c r="C35" s="155" t="s">
        <v>136</v>
      </c>
      <c r="D35" s="24">
        <v>23</v>
      </c>
      <c r="E35" s="70">
        <f>(2+4.833+10.75+4.833+2)/3.281</f>
        <v>7.4416336482779624</v>
      </c>
      <c r="F35" s="70"/>
      <c r="G35" s="70">
        <f>10*10/162</f>
        <v>0.61728395061728392</v>
      </c>
      <c r="H35" s="70">
        <f>D35*E35*G35</f>
        <v>105.65282340147724</v>
      </c>
      <c r="I35" s="24"/>
      <c r="J35" s="154"/>
      <c r="K35" s="73"/>
      <c r="L35" s="25"/>
    </row>
    <row r="36" spans="2:12" s="94" customFormat="1">
      <c r="B36" s="153"/>
      <c r="C36" s="19"/>
      <c r="D36" s="24">
        <v>22</v>
      </c>
      <c r="E36" s="70">
        <f>(2+4.42+10.25+4.42+2)/3.281</f>
        <v>7.0374885705577572</v>
      </c>
      <c r="F36" s="70"/>
      <c r="G36" s="70">
        <f>10*10/162</f>
        <v>0.61728395061728392</v>
      </c>
      <c r="H36" s="70">
        <f t="shared" ref="H36" si="1">D36*E36*G36</f>
        <v>95.570832439673239</v>
      </c>
      <c r="I36" s="24"/>
      <c r="J36" s="154"/>
      <c r="K36" s="73"/>
      <c r="L36" s="25"/>
    </row>
    <row r="37" spans="2:12" s="94" customFormat="1">
      <c r="B37" s="153"/>
      <c r="C37" s="18"/>
      <c r="D37" s="24">
        <v>10</v>
      </c>
      <c r="E37" s="70">
        <f>(16.17+10.75+16.17+10.75)/3.281</f>
        <v>16.409631209996952</v>
      </c>
      <c r="F37" s="70"/>
      <c r="G37" s="70">
        <f>8*8/162</f>
        <v>0.39506172839506171</v>
      </c>
      <c r="H37" s="70">
        <f>D37*E37*G37</f>
        <v>64.828172681469425</v>
      </c>
      <c r="I37" s="24"/>
      <c r="J37" s="154"/>
      <c r="K37" s="73"/>
      <c r="L37" s="25"/>
    </row>
    <row r="38" spans="2:12" s="94" customFormat="1">
      <c r="B38" s="153"/>
      <c r="C38" s="19"/>
      <c r="D38" s="24">
        <v>9</v>
      </c>
      <c r="E38" s="70">
        <f>(15.667+10.25+15.667+10.25)/3.281</f>
        <v>15.798232246266382</v>
      </c>
      <c r="F38" s="70"/>
      <c r="G38" s="70">
        <f>8*8/162</f>
        <v>0.39506172839506171</v>
      </c>
      <c r="H38" s="70">
        <f>D38*E38*G38</f>
        <v>56.171492431169355</v>
      </c>
      <c r="I38" s="24"/>
      <c r="J38" s="154"/>
      <c r="K38" s="73"/>
      <c r="L38" s="25"/>
    </row>
    <row r="39" spans="2:12" s="94" customFormat="1">
      <c r="B39" s="153"/>
      <c r="C39" s="155" t="s">
        <v>137</v>
      </c>
      <c r="D39" s="24">
        <f>2*TRUNC((E40/0.15),0)</f>
        <v>42</v>
      </c>
      <c r="E39" s="70">
        <f>(16.17/3.281)</f>
        <v>4.928375495275831</v>
      </c>
      <c r="F39" s="70"/>
      <c r="G39" s="70">
        <f t="shared" ref="G39:G41" si="2">8*8/162</f>
        <v>0.39506172839506171</v>
      </c>
      <c r="H39" s="70">
        <f t="shared" ref="H39:H40" si="3">D39*E39*G39</f>
        <v>81.774526736428598</v>
      </c>
      <c r="I39" s="24"/>
      <c r="J39" s="154"/>
      <c r="K39" s="73"/>
      <c r="L39" s="25"/>
    </row>
    <row r="40" spans="2:12" s="94" customFormat="1">
      <c r="B40" s="153"/>
      <c r="C40" s="19"/>
      <c r="D40" s="24">
        <f>2*TRUNC((E39/0.15),0)</f>
        <v>64</v>
      </c>
      <c r="E40" s="70">
        <f>10.75/3.281</f>
        <v>3.2764401097226452</v>
      </c>
      <c r="F40" s="70"/>
      <c r="G40" s="70">
        <f t="shared" si="2"/>
        <v>0.39506172839506171</v>
      </c>
      <c r="H40" s="70">
        <f t="shared" si="3"/>
        <v>82.841349934715765</v>
      </c>
      <c r="I40" s="24"/>
      <c r="J40" s="154"/>
      <c r="K40" s="73"/>
      <c r="L40" s="25"/>
    </row>
    <row r="41" spans="2:12" s="94" customFormat="1">
      <c r="B41" s="153"/>
      <c r="C41" s="155" t="s">
        <v>144</v>
      </c>
      <c r="D41" s="24">
        <f>D34+D34+D36+D36-2-2</f>
        <v>104</v>
      </c>
      <c r="E41" s="70">
        <f>(7+10+7)/12/3.281</f>
        <v>0.6095702529716549</v>
      </c>
      <c r="F41" s="70"/>
      <c r="G41" s="70">
        <f t="shared" si="2"/>
        <v>0.39506172839506171</v>
      </c>
      <c r="H41" s="70">
        <f t="shared" ref="H41" si="4">D41*E41*G41</f>
        <v>25.045059282588486</v>
      </c>
      <c r="I41" s="24"/>
      <c r="J41" s="154"/>
      <c r="K41" s="73"/>
      <c r="L41" s="25"/>
    </row>
    <row r="42" spans="2:12">
      <c r="B42" s="153"/>
      <c r="C42" s="19"/>
      <c r="D42" s="24"/>
      <c r="E42" s="70"/>
      <c r="F42" s="70"/>
      <c r="G42" s="70"/>
      <c r="H42" s="156">
        <f>SUM(H33:H41)</f>
        <v>868.74850711729709</v>
      </c>
      <c r="I42" s="24" t="s">
        <v>18</v>
      </c>
      <c r="J42" s="154">
        <f>132360/1000</f>
        <v>132.36000000000001</v>
      </c>
      <c r="K42" s="73">
        <f>H42*J42</f>
        <v>114987.55240204546</v>
      </c>
      <c r="L42" s="25"/>
    </row>
    <row r="43" spans="2:12">
      <c r="B43" s="153"/>
      <c r="C43" s="158" t="s">
        <v>81</v>
      </c>
      <c r="D43" s="159"/>
      <c r="E43" s="156"/>
      <c r="F43" s="156"/>
      <c r="G43" s="156"/>
      <c r="H43" s="156"/>
      <c r="I43" s="159"/>
      <c r="J43" s="160"/>
      <c r="K43" s="156">
        <f>0.13*H42*106200/1000</f>
        <v>11993.941889261405</v>
      </c>
      <c r="L43" s="25"/>
    </row>
    <row r="44" spans="2:12" s="94" customFormat="1">
      <c r="B44" s="153"/>
      <c r="C44" s="19"/>
      <c r="D44" s="24"/>
      <c r="E44" s="70"/>
      <c r="F44" s="70"/>
      <c r="G44" s="70"/>
      <c r="H44" s="70"/>
      <c r="I44" s="24"/>
      <c r="J44" s="154"/>
      <c r="K44" s="157"/>
      <c r="L44" s="25"/>
    </row>
    <row r="45" spans="2:12" s="94" customFormat="1" ht="37.200000000000003">
      <c r="B45" s="153">
        <v>5</v>
      </c>
      <c r="C45" s="79" t="s">
        <v>138</v>
      </c>
      <c r="D45" s="24"/>
      <c r="E45" s="70"/>
      <c r="F45" s="70"/>
      <c r="G45" s="70"/>
      <c r="H45" s="70"/>
      <c r="I45" s="24"/>
      <c r="J45" s="154"/>
      <c r="K45" s="157"/>
      <c r="L45" s="25"/>
    </row>
    <row r="46" spans="2:12" s="94" customFormat="1">
      <c r="B46" s="153"/>
      <c r="C46" s="155" t="s">
        <v>139</v>
      </c>
      <c r="D46" s="24">
        <v>1</v>
      </c>
      <c r="E46" s="70">
        <f>((16.42+11)*2)/3.281</f>
        <v>16.714416336482781</v>
      </c>
      <c r="F46" s="70"/>
      <c r="G46" s="70">
        <f>4.583/3.281</f>
        <v>1.3968302346845474</v>
      </c>
      <c r="H46" s="70">
        <f>PRODUCT(D46:G46)</f>
        <v>23.347202093904475</v>
      </c>
      <c r="I46" s="24"/>
      <c r="J46" s="154"/>
      <c r="K46" s="157"/>
      <c r="L46" s="25"/>
    </row>
    <row r="47" spans="2:12" s="94" customFormat="1">
      <c r="B47" s="153"/>
      <c r="C47" s="19"/>
      <c r="D47" s="24">
        <v>1</v>
      </c>
      <c r="E47" s="70">
        <f>((15.42+10)*2)/3.281</f>
        <v>15.49527583053947</v>
      </c>
      <c r="F47" s="70"/>
      <c r="G47" s="70">
        <f>4.17/3.281</f>
        <v>1.2709539774459007</v>
      </c>
      <c r="H47" s="70">
        <f>PRODUCT(D47:G47)</f>
        <v>19.693782448445472</v>
      </c>
      <c r="I47" s="24"/>
      <c r="J47" s="154"/>
      <c r="K47" s="157"/>
      <c r="L47" s="25"/>
    </row>
    <row r="48" spans="2:12" s="94" customFormat="1">
      <c r="B48" s="153"/>
      <c r="C48" s="155" t="s">
        <v>140</v>
      </c>
      <c r="D48" s="24">
        <v>1</v>
      </c>
      <c r="E48" s="70">
        <f>(15.42/3.281)</f>
        <v>4.6997866504114594</v>
      </c>
      <c r="F48" s="70">
        <f>10/3.281</f>
        <v>3.047851264858275</v>
      </c>
      <c r="G48" s="70"/>
      <c r="H48" s="70">
        <f>PRODUCT(D48:G48)</f>
        <v>14.324250687020601</v>
      </c>
      <c r="I48" s="24"/>
      <c r="J48" s="154"/>
      <c r="K48" s="157"/>
      <c r="L48" s="25"/>
    </row>
    <row r="49" spans="2:12" s="94" customFormat="1">
      <c r="B49" s="153"/>
      <c r="C49" s="19"/>
      <c r="D49" s="24"/>
      <c r="E49" s="70"/>
      <c r="F49" s="70"/>
      <c r="G49" s="70"/>
      <c r="H49" s="70">
        <f>SUM(H46:H48)</f>
        <v>57.365235229370548</v>
      </c>
      <c r="I49" s="24" t="s">
        <v>23</v>
      </c>
      <c r="J49" s="154">
        <v>922.71</v>
      </c>
      <c r="K49" s="73">
        <f>H49*J49</f>
        <v>52931.476198492499</v>
      </c>
      <c r="L49" s="25"/>
    </row>
    <row r="50" spans="2:12" s="94" customFormat="1">
      <c r="B50" s="153"/>
      <c r="C50" s="158" t="s">
        <v>81</v>
      </c>
      <c r="D50" s="159"/>
      <c r="E50" s="156"/>
      <c r="F50" s="156"/>
      <c r="G50" s="156"/>
      <c r="H50" s="156"/>
      <c r="I50" s="159"/>
      <c r="J50" s="160"/>
      <c r="K50" s="156">
        <f>0.13*H49*46827.87/100</f>
        <v>3492.1793111924994</v>
      </c>
      <c r="L50" s="25"/>
    </row>
    <row r="51" spans="2:12" s="94" customFormat="1">
      <c r="B51" s="153"/>
      <c r="C51" s="19"/>
      <c r="D51" s="24"/>
      <c r="E51" s="70"/>
      <c r="F51" s="70"/>
      <c r="G51" s="70"/>
      <c r="H51" s="70"/>
      <c r="I51" s="24"/>
      <c r="J51" s="154"/>
      <c r="K51" s="157"/>
      <c r="L51" s="25"/>
    </row>
    <row r="52" spans="2:12" ht="55.8">
      <c r="B52" s="84">
        <v>6</v>
      </c>
      <c r="C52" s="79" t="s">
        <v>145</v>
      </c>
      <c r="D52" s="24"/>
      <c r="E52" s="70"/>
      <c r="F52" s="70"/>
      <c r="G52" s="70"/>
      <c r="H52" s="70"/>
      <c r="I52" s="24"/>
      <c r="J52" s="73"/>
      <c r="K52" s="70"/>
      <c r="L52" s="25"/>
    </row>
    <row r="53" spans="2:12" s="94" customFormat="1" ht="35.1" customHeight="1">
      <c r="B53" s="84"/>
      <c r="C53" s="155" t="s">
        <v>143</v>
      </c>
      <c r="D53" s="24">
        <v>2</v>
      </c>
      <c r="E53" s="70">
        <f>E22</f>
        <v>5</v>
      </c>
      <c r="F53" s="70">
        <f>F22</f>
        <v>3.3526363913441024</v>
      </c>
      <c r="G53" s="70">
        <f>0.42/3.281</f>
        <v>0.12800975312404753</v>
      </c>
      <c r="H53" s="70">
        <f>D53*E53*F53*G53</f>
        <v>4.2917015677065615</v>
      </c>
      <c r="I53" s="24"/>
      <c r="J53" s="73"/>
      <c r="K53" s="70"/>
      <c r="L53" s="25"/>
    </row>
    <row r="54" spans="2:12">
      <c r="B54" s="84"/>
      <c r="C54" s="155" t="s">
        <v>142</v>
      </c>
      <c r="D54" s="24">
        <v>2</v>
      </c>
      <c r="E54" s="70">
        <f>E65</f>
        <v>5</v>
      </c>
      <c r="F54" s="70">
        <v>0.15</v>
      </c>
      <c r="G54" s="70">
        <f>4.17/3.281</f>
        <v>1.2709539774459007</v>
      </c>
      <c r="H54" s="70">
        <f>D54*E54*F54*G54</f>
        <v>1.906430966168851</v>
      </c>
      <c r="I54" s="24"/>
      <c r="J54" s="73"/>
      <c r="K54" s="70"/>
      <c r="L54" s="25"/>
    </row>
    <row r="55" spans="2:12">
      <c r="B55" s="84"/>
      <c r="C55" s="18"/>
      <c r="D55" s="24">
        <v>2</v>
      </c>
      <c r="E55" s="70">
        <f>10/3.281</f>
        <v>3.047851264858275</v>
      </c>
      <c r="F55" s="70">
        <v>0.15</v>
      </c>
      <c r="G55" s="70">
        <f>4.17/3.281</f>
        <v>1.2709539774459007</v>
      </c>
      <c r="H55" s="70">
        <f>D55*E55*F55*G55</f>
        <v>1.1621036063205432</v>
      </c>
      <c r="I55" s="24"/>
      <c r="J55" s="73"/>
      <c r="K55" s="70"/>
      <c r="L55" s="25"/>
    </row>
    <row r="56" spans="2:12" s="94" customFormat="1">
      <c r="B56" s="84"/>
      <c r="C56" s="155" t="s">
        <v>141</v>
      </c>
      <c r="D56" s="24">
        <v>0.5</v>
      </c>
      <c r="E56" s="70">
        <f>(14.25*2+8.833*2)/3.281</f>
        <v>14.070710149344711</v>
      </c>
      <c r="F56" s="70">
        <f>0.583/3.281</f>
        <v>0.1776897287412374</v>
      </c>
      <c r="G56" s="70">
        <f>0.583/3.281</f>
        <v>0.1776897287412374</v>
      </c>
      <c r="H56" s="70">
        <f>D56*E56*F56*G56</f>
        <v>0.222131766290218</v>
      </c>
      <c r="I56" s="24"/>
      <c r="J56" s="73"/>
      <c r="K56" s="70"/>
      <c r="L56" s="25"/>
    </row>
    <row r="57" spans="2:12">
      <c r="B57" s="84"/>
      <c r="C57" s="155"/>
      <c r="D57" s="24"/>
      <c r="E57" s="70"/>
      <c r="F57" s="70" t="s">
        <v>32</v>
      </c>
      <c r="G57" s="70"/>
      <c r="H57" s="70">
        <f>SUM(H53:H56)</f>
        <v>7.5823679064861738</v>
      </c>
      <c r="I57" s="24" t="s">
        <v>24</v>
      </c>
      <c r="J57" s="73">
        <f>'[1]Table of Content 2'!$H$67</f>
        <v>17107.900000000001</v>
      </c>
      <c r="K57" s="73">
        <f>H57*J57</f>
        <v>129718.39190737483</v>
      </c>
      <c r="L57" s="25"/>
    </row>
    <row r="58" spans="2:12">
      <c r="B58" s="84"/>
      <c r="C58" s="19" t="s">
        <v>29</v>
      </c>
      <c r="D58" s="24"/>
      <c r="E58" s="70"/>
      <c r="F58" s="70"/>
      <c r="G58" s="70"/>
      <c r="H58" s="70"/>
      <c r="I58" s="24"/>
      <c r="J58" s="73"/>
      <c r="K58" s="73">
        <f>'[1]Update Descrip'!$G$676*H57*0.13</f>
        <v>5689.899865442103</v>
      </c>
      <c r="L58" s="25"/>
    </row>
    <row r="59" spans="2:12">
      <c r="B59" s="84"/>
      <c r="C59" s="19" t="s">
        <v>30</v>
      </c>
      <c r="D59" s="24"/>
      <c r="E59" s="70"/>
      <c r="F59" s="70"/>
      <c r="G59" s="70"/>
      <c r="H59" s="70"/>
      <c r="I59" s="24"/>
      <c r="J59" s="73"/>
      <c r="K59" s="73">
        <f>'[1]Update Descrip'!$G$679*H57*0.13</f>
        <v>1050.2421193320972</v>
      </c>
      <c r="L59" s="25"/>
    </row>
    <row r="60" spans="2:12">
      <c r="B60" s="84"/>
      <c r="C60" s="19" t="s">
        <v>31</v>
      </c>
      <c r="D60" s="24"/>
      <c r="E60" s="70"/>
      <c r="F60" s="70"/>
      <c r="G60" s="70"/>
      <c r="H60" s="70"/>
      <c r="I60" s="24"/>
      <c r="J60" s="73"/>
      <c r="K60" s="73">
        <f>('[1]Update Descrip'!$G$677+'[1]Update Descrip'!$G$678)*H57*0.13</f>
        <v>2911.8104946836561</v>
      </c>
      <c r="L60" s="25"/>
    </row>
    <row r="61" spans="2:12">
      <c r="B61" s="84"/>
      <c r="C61" s="20"/>
      <c r="D61" s="24"/>
      <c r="E61" s="70"/>
      <c r="F61" s="70"/>
      <c r="G61" s="71"/>
      <c r="H61" s="70"/>
      <c r="I61" s="24"/>
      <c r="J61" s="73"/>
      <c r="K61" s="73"/>
      <c r="L61" s="25"/>
    </row>
    <row r="62" spans="2:12" s="94" customFormat="1">
      <c r="B62" s="153"/>
      <c r="C62" s="19"/>
      <c r="D62" s="24"/>
      <c r="E62" s="70"/>
      <c r="F62" s="70"/>
      <c r="G62" s="70"/>
      <c r="H62" s="70"/>
      <c r="I62" s="24"/>
      <c r="J62" s="154"/>
      <c r="K62" s="157"/>
      <c r="L62" s="25"/>
    </row>
    <row r="63" spans="2:12" s="94" customFormat="1">
      <c r="B63" s="153"/>
      <c r="C63" s="19"/>
      <c r="D63" s="24"/>
      <c r="E63" s="70"/>
      <c r="F63" s="70"/>
      <c r="G63" s="70"/>
      <c r="H63" s="70"/>
      <c r="I63" s="24"/>
      <c r="J63" s="154"/>
      <c r="K63" s="157"/>
      <c r="L63" s="25"/>
    </row>
    <row r="64" spans="2:12" s="94" customFormat="1">
      <c r="B64" s="153"/>
      <c r="C64" s="19"/>
      <c r="D64" s="24"/>
      <c r="E64" s="70"/>
      <c r="F64" s="70"/>
      <c r="G64" s="70"/>
      <c r="H64" s="70"/>
      <c r="I64" s="24"/>
      <c r="J64" s="154"/>
      <c r="K64" s="157"/>
      <c r="L64" s="25"/>
    </row>
    <row r="65" spans="2:12" s="94" customFormat="1" ht="35.1" customHeight="1">
      <c r="B65" s="153">
        <v>3</v>
      </c>
      <c r="C65" s="79" t="s">
        <v>75</v>
      </c>
      <c r="D65" s="24">
        <v>2</v>
      </c>
      <c r="E65" s="70">
        <f>E12</f>
        <v>5</v>
      </c>
      <c r="F65" s="70">
        <v>0.1</v>
      </c>
      <c r="G65" s="70">
        <v>0.9</v>
      </c>
      <c r="H65" s="70">
        <f>D65*E65*F65*G65</f>
        <v>0.9</v>
      </c>
      <c r="I65" s="24"/>
      <c r="J65" s="154"/>
      <c r="K65" s="73"/>
      <c r="L65" s="25"/>
    </row>
    <row r="66" spans="2:12" ht="18.600000000000001">
      <c r="B66" s="84"/>
      <c r="C66" s="149"/>
      <c r="D66" s="150">
        <v>2</v>
      </c>
      <c r="E66" s="151">
        <f>E13</f>
        <v>2.8926363913441024</v>
      </c>
      <c r="F66" s="151">
        <v>0.1</v>
      </c>
      <c r="G66" s="151">
        <v>0.9</v>
      </c>
      <c r="H66" s="151">
        <f>D66*E66*F66*G66</f>
        <v>0.52067455044193856</v>
      </c>
      <c r="I66" s="152"/>
      <c r="J66" s="72"/>
      <c r="K66" s="72"/>
      <c r="L66" s="25"/>
    </row>
    <row r="67" spans="2:12" ht="18.600000000000001">
      <c r="B67" s="84"/>
      <c r="C67" s="79"/>
      <c r="D67" s="24">
        <v>1</v>
      </c>
      <c r="E67" s="70">
        <f>2*(5+4)/3.28</f>
        <v>5.4878048780487809</v>
      </c>
      <c r="F67" s="70">
        <v>0.23</v>
      </c>
      <c r="G67" s="70">
        <v>0.45</v>
      </c>
      <c r="H67" s="70">
        <f>D67*E67*F67*G67</f>
        <v>0.5679878048780489</v>
      </c>
      <c r="I67" s="72"/>
      <c r="J67" s="72"/>
      <c r="K67" s="72"/>
      <c r="L67" s="25"/>
    </row>
    <row r="68" spans="2:12">
      <c r="B68" s="84"/>
      <c r="C68" s="20"/>
      <c r="D68" s="24"/>
      <c r="E68" s="70"/>
      <c r="F68" s="70"/>
      <c r="G68" s="71"/>
      <c r="H68" s="70">
        <f>SUM(H65:H67)</f>
        <v>1.9886623553199876</v>
      </c>
      <c r="I68" s="24" t="s">
        <v>35</v>
      </c>
      <c r="J68" s="73">
        <f>'[1]Table of Content 2'!$H$43</f>
        <v>14911.97</v>
      </c>
      <c r="K68" s="73">
        <f>H68*J68</f>
        <v>29654.873382660993</v>
      </c>
      <c r="L68" s="25"/>
    </row>
    <row r="69" spans="2:12">
      <c r="B69" s="84"/>
      <c r="C69" s="19" t="s">
        <v>29</v>
      </c>
      <c r="D69" s="24"/>
      <c r="E69" s="70"/>
      <c r="F69" s="70"/>
      <c r="G69" s="71"/>
      <c r="H69" s="72"/>
      <c r="I69" s="24"/>
      <c r="J69" s="73"/>
      <c r="K69" s="73">
        <f>'[1]Update Descrip'!$G$397*H68*0.13</f>
        <v>373.07902384509566</v>
      </c>
      <c r="L69" s="25"/>
    </row>
    <row r="70" spans="2:12">
      <c r="B70" s="84"/>
      <c r="C70" s="19" t="s">
        <v>30</v>
      </c>
      <c r="D70" s="72"/>
      <c r="E70" s="72"/>
      <c r="F70" s="72"/>
      <c r="G70" s="72"/>
      <c r="H70" s="72"/>
      <c r="I70" s="72"/>
      <c r="J70" s="73"/>
      <c r="K70" s="73">
        <f>'[1]Update Descrip'!$G$398*H68*0.13</f>
        <v>181.47498550225441</v>
      </c>
      <c r="L70" s="25"/>
    </row>
    <row r="71" spans="2:12">
      <c r="B71" s="84"/>
      <c r="C71" s="19" t="s">
        <v>38</v>
      </c>
      <c r="D71" s="24"/>
      <c r="E71" s="70"/>
      <c r="F71" s="70"/>
      <c r="G71" s="71"/>
      <c r="H71" s="70"/>
      <c r="I71" s="24"/>
      <c r="J71" s="73"/>
      <c r="K71" s="73">
        <f>'[1]Update Descrip'!$G$396*H68*0.13</f>
        <v>2266.0123439021031</v>
      </c>
      <c r="L71" s="25"/>
    </row>
    <row r="72" spans="2:12">
      <c r="B72" s="84"/>
      <c r="C72" s="20"/>
      <c r="D72" s="24"/>
      <c r="E72" s="70"/>
      <c r="F72" s="70"/>
      <c r="G72" s="71"/>
      <c r="H72" s="70"/>
      <c r="I72" s="24"/>
      <c r="J72" s="73"/>
      <c r="K72" s="73"/>
      <c r="L72" s="25"/>
    </row>
    <row r="73" spans="2:12" ht="35.1" customHeight="1">
      <c r="B73" s="85">
        <v>6</v>
      </c>
      <c r="C73" s="79" t="s">
        <v>77</v>
      </c>
      <c r="D73" s="24">
        <v>1</v>
      </c>
      <c r="E73" s="24">
        <f>E52</f>
        <v>0</v>
      </c>
      <c r="F73" s="24">
        <f>F52</f>
        <v>0</v>
      </c>
      <c r="G73" s="70"/>
      <c r="H73" s="72">
        <f>F73*E73*D73</f>
        <v>0</v>
      </c>
      <c r="I73" s="74" t="s">
        <v>23</v>
      </c>
      <c r="J73" s="73">
        <f>'[1]Table of Content 2'!$H$155</f>
        <v>692.38</v>
      </c>
      <c r="K73" s="72">
        <f>H73*J73</f>
        <v>0</v>
      </c>
      <c r="L73" s="25"/>
    </row>
    <row r="74" spans="2:12">
      <c r="B74" s="85"/>
      <c r="C74" s="19" t="s">
        <v>29</v>
      </c>
      <c r="D74" s="24"/>
      <c r="E74" s="24"/>
      <c r="F74" s="24"/>
      <c r="G74" s="71"/>
      <c r="H74" s="24"/>
      <c r="I74" s="74"/>
      <c r="J74" s="73"/>
      <c r="K74" s="69">
        <f>'[1]Update Descrip'!$G$1804/10*H73*0.13</f>
        <v>0</v>
      </c>
      <c r="L74" s="25"/>
    </row>
    <row r="75" spans="2:12">
      <c r="B75" s="85"/>
      <c r="C75" s="19" t="s">
        <v>30</v>
      </c>
      <c r="D75" s="24"/>
      <c r="E75" s="24"/>
      <c r="F75" s="24"/>
      <c r="G75" s="71"/>
      <c r="H75" s="24"/>
      <c r="I75" s="74"/>
      <c r="J75" s="73"/>
      <c r="K75" s="69">
        <f>'[1]Update Descrip'!$G$1805/10*H73*0.13</f>
        <v>0</v>
      </c>
      <c r="L75" s="25"/>
    </row>
    <row r="76" spans="2:12">
      <c r="B76" s="85"/>
      <c r="C76" s="19" t="s">
        <v>31</v>
      </c>
      <c r="D76" s="24"/>
      <c r="E76" s="24"/>
      <c r="F76" s="24"/>
      <c r="G76" s="71"/>
      <c r="H76" s="24"/>
      <c r="I76" s="74"/>
      <c r="J76" s="73"/>
      <c r="K76" s="69">
        <f>'[1]Update Descrip'!$G$1806/10*H73*0.13</f>
        <v>0</v>
      </c>
      <c r="L76" s="25"/>
    </row>
    <row r="77" spans="2:12" ht="18" customHeight="1">
      <c r="B77" s="84"/>
      <c r="C77" s="19"/>
      <c r="D77" s="24"/>
      <c r="E77" s="70"/>
      <c r="F77" s="70"/>
      <c r="G77" s="71"/>
      <c r="H77" s="70"/>
      <c r="I77" s="24"/>
      <c r="J77" s="73"/>
      <c r="K77" s="73"/>
      <c r="L77" s="25"/>
    </row>
    <row r="78" spans="2:12" ht="35.1" customHeight="1">
      <c r="B78" s="84">
        <v>7</v>
      </c>
      <c r="C78" s="79" t="s">
        <v>78</v>
      </c>
      <c r="D78" s="24">
        <f>D65</f>
        <v>2</v>
      </c>
      <c r="E78" s="24">
        <f>E65</f>
        <v>5</v>
      </c>
      <c r="F78" s="24"/>
      <c r="G78" s="24">
        <f>G85</f>
        <v>1.8709539774459008</v>
      </c>
      <c r="H78" s="70">
        <f>D78*E78*G78</f>
        <v>18.709539774459007</v>
      </c>
      <c r="I78" s="24"/>
      <c r="J78" s="73"/>
      <c r="K78" s="73"/>
      <c r="L78" s="25"/>
    </row>
    <row r="79" spans="2:12">
      <c r="B79" s="84"/>
      <c r="C79" s="21"/>
      <c r="D79" s="24">
        <f>D66</f>
        <v>2</v>
      </c>
      <c r="E79" s="24">
        <f>E66</f>
        <v>2.8926363913441024</v>
      </c>
      <c r="F79" s="24"/>
      <c r="G79" s="24">
        <f>G86</f>
        <v>1.8709539774459008</v>
      </c>
      <c r="H79" s="70">
        <f>D79*E79*G79</f>
        <v>10.823979123380012</v>
      </c>
      <c r="I79" s="24"/>
      <c r="J79" s="75"/>
      <c r="K79" s="73"/>
      <c r="L79" s="25"/>
    </row>
    <row r="80" spans="2:12">
      <c r="B80" s="84"/>
      <c r="C80" s="21"/>
      <c r="D80" s="24"/>
      <c r="E80" s="70"/>
      <c r="F80" s="70"/>
      <c r="G80" s="71"/>
      <c r="H80" s="70">
        <f>SUM(H78:H79)</f>
        <v>29.533518897839016</v>
      </c>
      <c r="I80" s="24" t="s">
        <v>40</v>
      </c>
      <c r="J80" s="73">
        <f>'[1]Table of Content 2'!$H$215</f>
        <v>402.23</v>
      </c>
      <c r="K80" s="73">
        <f>H80*J80</f>
        <v>11879.267306277789</v>
      </c>
      <c r="L80" s="25"/>
    </row>
    <row r="81" spans="2:14">
      <c r="B81" s="84"/>
      <c r="C81" s="19" t="s">
        <v>29</v>
      </c>
      <c r="D81" s="24"/>
      <c r="E81" s="70"/>
      <c r="F81" s="70"/>
      <c r="G81" s="71"/>
      <c r="H81" s="70"/>
      <c r="I81" s="24"/>
      <c r="J81" s="75"/>
      <c r="K81" s="73">
        <f>'[1]Update Descrip'!$G$2611/100*H80*0.13</f>
        <v>298.08272177497503</v>
      </c>
      <c r="L81" s="25"/>
    </row>
    <row r="82" spans="2:14">
      <c r="B82" s="84"/>
      <c r="C82" s="19" t="s">
        <v>30</v>
      </c>
      <c r="D82" s="24"/>
      <c r="E82" s="70"/>
      <c r="F82" s="70"/>
      <c r="G82" s="71"/>
      <c r="H82" s="70"/>
      <c r="I82" s="24"/>
      <c r="J82" s="75"/>
      <c r="K82" s="73">
        <f>'[1]Update Descrip'!$G$2612/100*H80*0.13</f>
        <v>140.5293134380685</v>
      </c>
      <c r="L82" s="25"/>
    </row>
    <row r="83" spans="2:14">
      <c r="B83" s="85"/>
      <c r="C83" s="19"/>
      <c r="D83" s="72"/>
      <c r="E83" s="70"/>
      <c r="F83" s="70"/>
      <c r="G83" s="71"/>
      <c r="H83" s="72"/>
      <c r="I83" s="72"/>
      <c r="J83" s="72"/>
      <c r="K83" s="72"/>
      <c r="L83" s="25"/>
    </row>
    <row r="84" spans="2:14" ht="35.1" customHeight="1">
      <c r="B84" s="85">
        <v>8</v>
      </c>
      <c r="C84" s="79" t="s">
        <v>79</v>
      </c>
      <c r="D84" s="72">
        <f>D52</f>
        <v>0</v>
      </c>
      <c r="E84" s="72">
        <f>E52</f>
        <v>0</v>
      </c>
      <c r="F84" s="72"/>
      <c r="G84" s="72">
        <f>F52</f>
        <v>0</v>
      </c>
      <c r="H84" s="72">
        <f>D84*E84*G84</f>
        <v>0</v>
      </c>
      <c r="I84" s="72"/>
      <c r="J84" s="72"/>
      <c r="K84" s="72"/>
      <c r="L84" s="25"/>
    </row>
    <row r="85" spans="2:14">
      <c r="B85" s="85"/>
      <c r="C85" s="19"/>
      <c r="D85" s="72">
        <f>D54</f>
        <v>2</v>
      </c>
      <c r="E85" s="72">
        <f>E54</f>
        <v>5</v>
      </c>
      <c r="F85" s="72"/>
      <c r="G85" s="72">
        <f>G54+0.3+0.3</f>
        <v>1.8709539774459008</v>
      </c>
      <c r="H85" s="72">
        <f t="shared" ref="H85:H86" si="5">D85*E85*G85</f>
        <v>18.709539774459007</v>
      </c>
      <c r="I85" s="72"/>
      <c r="J85" s="72"/>
      <c r="K85" s="72"/>
      <c r="L85" s="25"/>
    </row>
    <row r="86" spans="2:14">
      <c r="B86" s="85"/>
      <c r="C86" s="19"/>
      <c r="D86" s="72">
        <f>D55</f>
        <v>2</v>
      </c>
      <c r="E86" s="72">
        <f>E55</f>
        <v>3.047851264858275</v>
      </c>
      <c r="F86" s="72"/>
      <c r="G86" s="72">
        <f>G55+0.3+0.3</f>
        <v>1.8709539774459008</v>
      </c>
      <c r="H86" s="72">
        <f t="shared" si="5"/>
        <v>11.404778893300218</v>
      </c>
      <c r="I86" s="72"/>
      <c r="J86" s="72"/>
      <c r="K86" s="72"/>
      <c r="L86" s="25"/>
    </row>
    <row r="87" spans="2:14">
      <c r="B87" s="85"/>
      <c r="C87" s="19"/>
      <c r="D87" s="72"/>
      <c r="E87" s="72"/>
      <c r="F87" s="72"/>
      <c r="G87" s="72"/>
      <c r="H87" s="72">
        <f>SUM(H84:H86)</f>
        <v>30.114318667759225</v>
      </c>
      <c r="I87" s="24" t="s">
        <v>40</v>
      </c>
      <c r="J87" s="72">
        <f>'[1]Table of Content 2'!$H$187</f>
        <v>286.77</v>
      </c>
      <c r="K87" s="72">
        <f>H87*J87</f>
        <v>8635.8831643533122</v>
      </c>
      <c r="L87" s="25"/>
    </row>
    <row r="88" spans="2:14">
      <c r="B88" s="85"/>
      <c r="C88" s="19" t="s">
        <v>29</v>
      </c>
      <c r="D88" s="72"/>
      <c r="E88" s="72"/>
      <c r="F88" s="72"/>
      <c r="G88" s="72"/>
      <c r="H88" s="72"/>
      <c r="I88" s="72"/>
      <c r="J88" s="72"/>
      <c r="K88" s="72">
        <f>'[1]Update Descrip'!$H$2269/10*H87*0.13</f>
        <v>300.55174145895751</v>
      </c>
      <c r="L88" s="25"/>
    </row>
    <row r="89" spans="2:14">
      <c r="B89" s="85"/>
      <c r="C89" s="19"/>
      <c r="D89" s="72"/>
      <c r="E89" s="72"/>
      <c r="F89" s="72"/>
      <c r="G89" s="72"/>
      <c r="H89" s="72"/>
      <c r="I89" s="72"/>
      <c r="J89" s="72"/>
      <c r="K89" s="72"/>
      <c r="L89" s="25"/>
    </row>
    <row r="90" spans="2:14">
      <c r="B90" s="85"/>
      <c r="C90" s="19"/>
      <c r="D90" s="72"/>
      <c r="E90" s="72"/>
      <c r="F90" s="72"/>
      <c r="G90" s="72"/>
      <c r="H90" s="72"/>
      <c r="I90" s="72"/>
      <c r="J90" s="72"/>
      <c r="K90" s="72"/>
      <c r="L90" s="25"/>
    </row>
    <row r="91" spans="2:14" ht="33" customHeight="1">
      <c r="B91" s="84">
        <v>9</v>
      </c>
      <c r="C91" s="21" t="s">
        <v>87</v>
      </c>
      <c r="D91" s="24">
        <v>1</v>
      </c>
      <c r="E91" s="70"/>
      <c r="F91" s="70"/>
      <c r="G91" s="71"/>
      <c r="H91" s="70">
        <f>+D91</f>
        <v>1</v>
      </c>
      <c r="I91" s="24" t="s">
        <v>34</v>
      </c>
      <c r="J91" s="73">
        <v>4659</v>
      </c>
      <c r="K91" s="73">
        <f>H91*J91</f>
        <v>4659</v>
      </c>
      <c r="L91" s="25"/>
      <c r="N91" s="81" t="s">
        <v>86</v>
      </c>
    </row>
    <row r="92" spans="2:14">
      <c r="B92" s="84"/>
      <c r="C92" s="30" t="s">
        <v>88</v>
      </c>
      <c r="D92" s="24"/>
      <c r="E92" s="70"/>
      <c r="F92" s="70"/>
      <c r="G92" s="71"/>
      <c r="H92" s="70"/>
      <c r="I92" s="24"/>
      <c r="J92" s="73"/>
      <c r="K92" s="73">
        <f>0.13*K91</f>
        <v>605.67000000000007</v>
      </c>
      <c r="L92" s="25"/>
    </row>
    <row r="93" spans="2:14">
      <c r="B93" s="84"/>
      <c r="C93" s="21"/>
      <c r="D93" s="24"/>
      <c r="E93" s="70"/>
      <c r="F93" s="70"/>
      <c r="G93" s="71"/>
      <c r="H93" s="70"/>
      <c r="I93" s="24"/>
      <c r="J93" s="73"/>
      <c r="K93" s="73"/>
      <c r="L93" s="25"/>
    </row>
    <row r="94" spans="2:14" ht="33" customHeight="1">
      <c r="B94" s="84">
        <v>10</v>
      </c>
      <c r="C94" s="21" t="s">
        <v>84</v>
      </c>
      <c r="D94" s="24"/>
      <c r="E94" s="70"/>
      <c r="F94" s="70"/>
      <c r="G94" s="71"/>
      <c r="H94" s="70">
        <v>1</v>
      </c>
      <c r="I94" s="24" t="s">
        <v>34</v>
      </c>
      <c r="J94" s="73">
        <v>9938</v>
      </c>
      <c r="K94" s="73">
        <f>H94*J94</f>
        <v>9938</v>
      </c>
      <c r="L94" s="25"/>
      <c r="N94" s="81" t="s">
        <v>83</v>
      </c>
    </row>
    <row r="95" spans="2:14">
      <c r="B95" s="85"/>
      <c r="C95" s="29" t="s">
        <v>82</v>
      </c>
      <c r="D95" s="24"/>
      <c r="E95" s="24"/>
      <c r="F95" s="24"/>
      <c r="G95" s="70"/>
      <c r="H95" s="24"/>
      <c r="I95" s="24"/>
      <c r="J95" s="73" t="s">
        <v>85</v>
      </c>
      <c r="K95" s="73">
        <f>0.13*K94</f>
        <v>1291.94</v>
      </c>
      <c r="L95" s="25"/>
    </row>
    <row r="96" spans="2:14">
      <c r="B96" s="85"/>
      <c r="C96" s="29"/>
      <c r="D96" s="24"/>
      <c r="E96" s="24"/>
      <c r="F96" s="24"/>
      <c r="G96" s="70"/>
      <c r="H96" s="24"/>
      <c r="I96" s="24"/>
      <c r="J96" s="73"/>
      <c r="K96" s="73"/>
      <c r="L96" s="25"/>
    </row>
    <row r="97" spans="2:14">
      <c r="B97" s="85"/>
      <c r="C97" s="20"/>
      <c r="D97" s="20"/>
      <c r="E97" s="20"/>
      <c r="F97" s="20"/>
      <c r="G97" s="20"/>
      <c r="H97" s="20"/>
      <c r="I97" s="20"/>
      <c r="J97" s="20"/>
      <c r="K97" s="20"/>
      <c r="L97" s="25"/>
    </row>
    <row r="98" spans="2:14" ht="18">
      <c r="B98" s="85" t="s">
        <v>97</v>
      </c>
      <c r="C98" s="86" t="s">
        <v>96</v>
      </c>
      <c r="D98" s="24"/>
      <c r="E98" s="24"/>
      <c r="F98" s="24"/>
      <c r="G98" s="70"/>
      <c r="H98" s="24"/>
      <c r="I98" s="24"/>
      <c r="J98" s="73"/>
      <c r="K98" s="73"/>
      <c r="L98" s="25"/>
    </row>
    <row r="99" spans="2:14">
      <c r="B99" s="85"/>
      <c r="C99" s="29"/>
      <c r="D99" s="24"/>
      <c r="E99" s="24"/>
      <c r="F99" s="24"/>
      <c r="G99" s="70"/>
      <c r="H99" s="24"/>
      <c r="I99" s="24"/>
      <c r="J99" s="73"/>
      <c r="K99" s="73"/>
      <c r="L99" s="25"/>
    </row>
    <row r="100" spans="2:14" ht="34.799999999999997">
      <c r="B100" s="84">
        <v>11</v>
      </c>
      <c r="C100" s="93" t="s">
        <v>98</v>
      </c>
      <c r="D100" s="70">
        <v>2</v>
      </c>
      <c r="E100" s="70">
        <f>25/3.28</f>
        <v>7.6219512195121952</v>
      </c>
      <c r="F100" s="70">
        <f>17/3.28</f>
        <v>5.1829268292682933</v>
      </c>
      <c r="G100" s="70"/>
      <c r="H100" s="70">
        <f>F100*E100*D100</f>
        <v>79.008030933967888</v>
      </c>
      <c r="I100" s="70" t="s">
        <v>90</v>
      </c>
      <c r="J100" s="70">
        <f>'[2]Table of Content 2'!$H$329</f>
        <v>68.400000000000006</v>
      </c>
      <c r="K100" s="70">
        <f>H100*J100</f>
        <v>5404.1493158834037</v>
      </c>
      <c r="L100" s="25"/>
    </row>
    <row r="101" spans="2:14">
      <c r="B101" s="85"/>
      <c r="C101" s="29"/>
      <c r="D101" s="24"/>
      <c r="E101" s="24"/>
      <c r="F101" s="24"/>
      <c r="G101" s="70"/>
      <c r="H101" s="24"/>
      <c r="I101" s="24"/>
      <c r="J101" s="73"/>
      <c r="K101" s="73"/>
      <c r="L101" s="25"/>
    </row>
    <row r="102" spans="2:14" ht="34.799999999999997">
      <c r="B102" s="85">
        <v>12</v>
      </c>
      <c r="C102" s="93" t="s">
        <v>99</v>
      </c>
      <c r="D102" s="24">
        <v>2</v>
      </c>
      <c r="E102" s="24">
        <f>E100</f>
        <v>7.6219512195121952</v>
      </c>
      <c r="F102" s="24">
        <f>F100</f>
        <v>5.1829268292682933</v>
      </c>
      <c r="G102" s="70"/>
      <c r="H102" s="70">
        <f>F102*E102*D102</f>
        <v>79.008030933967888</v>
      </c>
      <c r="I102" s="70" t="s">
        <v>90</v>
      </c>
      <c r="J102" s="73">
        <v>369.1</v>
      </c>
      <c r="K102" s="73">
        <f>H102*J102</f>
        <v>29161.864217727551</v>
      </c>
      <c r="L102" s="25"/>
    </row>
    <row r="103" spans="2:14">
      <c r="B103" s="85"/>
      <c r="C103" s="29" t="s">
        <v>81</v>
      </c>
      <c r="D103" s="24"/>
      <c r="E103" s="24"/>
      <c r="F103" s="24"/>
      <c r="G103" s="70"/>
      <c r="H103" s="70"/>
      <c r="I103" s="70"/>
      <c r="J103" s="73"/>
      <c r="K103" s="73">
        <f>124.6*H102*0.13</f>
        <v>1279.772085068412</v>
      </c>
      <c r="L103" s="25"/>
    </row>
    <row r="104" spans="2:14" ht="69.599999999999994">
      <c r="B104" s="85">
        <v>13</v>
      </c>
      <c r="C104" s="93" t="s">
        <v>92</v>
      </c>
      <c r="D104" s="24">
        <v>1</v>
      </c>
      <c r="E104" s="24">
        <f>E102</f>
        <v>7.6219512195121952</v>
      </c>
      <c r="F104" s="24"/>
      <c r="G104" s="70"/>
      <c r="H104" s="24">
        <f>E104</f>
        <v>7.6219512195121952</v>
      </c>
      <c r="I104" s="24" t="s">
        <v>91</v>
      </c>
      <c r="J104" s="73">
        <f>'[1]Table of Content 2'!$H$412</f>
        <v>2761</v>
      </c>
      <c r="K104" s="73">
        <f>H104*J104</f>
        <v>21044.207317073171</v>
      </c>
      <c r="L104" s="25"/>
    </row>
    <row r="105" spans="2:14">
      <c r="B105" s="85"/>
      <c r="C105" s="29" t="s">
        <v>81</v>
      </c>
      <c r="D105" s="24"/>
      <c r="E105" s="24"/>
      <c r="F105" s="24"/>
      <c r="G105" s="70"/>
      <c r="H105" s="24"/>
      <c r="I105" s="24"/>
      <c r="J105" s="73"/>
      <c r="K105" s="73">
        <f>2491*H104*0.13</f>
        <v>2468.2164634146343</v>
      </c>
      <c r="L105" s="25"/>
      <c r="N105" s="81">
        <f>17/3.28</f>
        <v>5.1829268292682933</v>
      </c>
    </row>
    <row r="106" spans="2:14">
      <c r="B106" s="85"/>
      <c r="C106" s="29"/>
      <c r="D106" s="24"/>
      <c r="E106" s="24"/>
      <c r="F106" s="24"/>
      <c r="G106" s="70"/>
      <c r="H106" s="24"/>
      <c r="I106" s="24"/>
      <c r="J106" s="73"/>
      <c r="K106" s="73"/>
      <c r="L106" s="25"/>
      <c r="N106" s="81" t="e">
        <f>#REF!*N105*2*68.4</f>
        <v>#REF!</v>
      </c>
    </row>
    <row r="107" spans="2:14" ht="33" customHeight="1">
      <c r="B107" s="85">
        <v>14</v>
      </c>
      <c r="C107" s="18" t="s">
        <v>89</v>
      </c>
      <c r="D107" s="24">
        <v>1</v>
      </c>
      <c r="E107" s="24"/>
      <c r="F107" s="24"/>
      <c r="G107" s="24"/>
      <c r="H107" s="24">
        <v>1</v>
      </c>
      <c r="I107" s="24" t="s">
        <v>34</v>
      </c>
      <c r="J107" s="73">
        <v>1000</v>
      </c>
      <c r="K107" s="73">
        <f>H107*J107</f>
        <v>1000</v>
      </c>
      <c r="L107" s="25"/>
    </row>
    <row r="108" spans="2:14" ht="17.399999999999999" thickBot="1">
      <c r="B108" s="22"/>
      <c r="C108" s="26"/>
      <c r="D108" s="76"/>
      <c r="E108" s="77"/>
      <c r="F108" s="77"/>
      <c r="G108" s="77"/>
      <c r="H108" s="77"/>
      <c r="I108" s="76"/>
      <c r="J108" s="77"/>
      <c r="K108" s="78">
        <f>SUM(K8:K107)</f>
        <v>528050.98482284159</v>
      </c>
      <c r="L108" s="23"/>
    </row>
    <row r="109" spans="2:14">
      <c r="C109" s="9"/>
      <c r="D109" s="83"/>
      <c r="E109" s="83"/>
      <c r="F109" s="83"/>
      <c r="G109" s="83"/>
      <c r="H109" s="83"/>
      <c r="I109" s="83"/>
      <c r="J109" s="83"/>
      <c r="K109" s="11"/>
      <c r="L109" s="8"/>
    </row>
    <row r="110" spans="2:14">
      <c r="C110" s="5"/>
      <c r="E110" s="2"/>
      <c r="F110" s="2"/>
      <c r="H110" s="2"/>
      <c r="I110" s="65" t="s">
        <v>12</v>
      </c>
      <c r="J110" s="65"/>
      <c r="K110" s="65" t="s">
        <v>71</v>
      </c>
      <c r="L110" s="65" t="s">
        <v>72</v>
      </c>
    </row>
    <row r="111" spans="2:14">
      <c r="C111" s="5"/>
      <c r="H111" s="64"/>
      <c r="I111" s="66" t="s">
        <v>13</v>
      </c>
      <c r="J111" s="67"/>
      <c r="K111" s="67">
        <f>+K108</f>
        <v>528050.98482284159</v>
      </c>
      <c r="L111" s="67"/>
    </row>
    <row r="112" spans="2:14">
      <c r="C112" s="5"/>
      <c r="H112" s="64"/>
      <c r="I112" s="66" t="s">
        <v>14</v>
      </c>
      <c r="J112" s="68"/>
      <c r="K112" s="67">
        <v>200000</v>
      </c>
      <c r="L112" s="68">
        <v>100</v>
      </c>
    </row>
    <row r="113" spans="3:12">
      <c r="C113" s="5"/>
      <c r="H113" s="64"/>
      <c r="I113" s="66" t="s">
        <v>19</v>
      </c>
      <c r="J113" s="68"/>
      <c r="K113" s="67">
        <f>0.95*K112</f>
        <v>190000</v>
      </c>
      <c r="L113" s="68">
        <f>K113/K111*100</f>
        <v>35.98137404548995</v>
      </c>
    </row>
    <row r="114" spans="3:12">
      <c r="C114" s="5"/>
      <c r="H114" s="64"/>
      <c r="I114" s="66" t="s">
        <v>15</v>
      </c>
      <c r="J114" s="68"/>
      <c r="K114" s="67">
        <f>K111-K113</f>
        <v>338050.98482284159</v>
      </c>
      <c r="L114" s="68">
        <f>K114/K112*100</f>
        <v>169.0254924114208</v>
      </c>
    </row>
    <row r="115" spans="3:12">
      <c r="C115" s="5"/>
      <c r="H115" s="64"/>
      <c r="I115" s="66" t="s">
        <v>20</v>
      </c>
      <c r="J115" s="68"/>
      <c r="K115" s="67">
        <f>L115*K112/100</f>
        <v>4000</v>
      </c>
      <c r="L115" s="68">
        <v>2</v>
      </c>
    </row>
    <row r="116" spans="3:12">
      <c r="C116" s="5"/>
      <c r="H116" s="63"/>
      <c r="I116" s="66" t="s">
        <v>21</v>
      </c>
      <c r="J116" s="68"/>
      <c r="K116" s="68">
        <f>L116*K112/100</f>
        <v>6000</v>
      </c>
      <c r="L116" s="68">
        <v>3</v>
      </c>
    </row>
    <row r="117" spans="3:12">
      <c r="G117" s="62"/>
    </row>
  </sheetData>
  <mergeCells count="8">
    <mergeCell ref="O6:R6"/>
    <mergeCell ref="A1:L1"/>
    <mergeCell ref="A2:L2"/>
    <mergeCell ref="A3:L3"/>
    <mergeCell ref="A4:L4"/>
    <mergeCell ref="K5:L5"/>
    <mergeCell ref="B6:G6"/>
    <mergeCell ref="I6:L6"/>
  </mergeCells>
  <printOptions horizontalCentered="1"/>
  <pageMargins left="0.5" right="0.5" top="0.38" bottom="0.7" header="0.31496062992126" footer="0.31496062992126"/>
  <pageSetup scale="70" fitToHeight="2" orientation="portrait" r:id="rId1"/>
  <headerFooter>
    <oddHeader>&amp;RPage &amp;P of &amp;N</oddHeader>
  </headerFooter>
  <rowBreaks count="2" manualBreakCount="2">
    <brk id="72" max="11" man="1"/>
    <brk id="108" max="11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D8" sqref="D8"/>
    </sheetView>
  </sheetViews>
  <sheetFormatPr defaultRowHeight="14.4"/>
  <cols>
    <col min="1" max="1" width="10.5546875" customWidth="1"/>
    <col min="2" max="3" width="13.88671875" customWidth="1"/>
    <col min="4" max="5" width="14" customWidth="1"/>
    <col min="6" max="6" width="12.5546875" customWidth="1"/>
    <col min="7" max="7" width="13.44140625" customWidth="1"/>
    <col min="8" max="8" width="12.5546875" customWidth="1"/>
  </cols>
  <sheetData>
    <row r="1" spans="1:8" ht="21">
      <c r="A1" s="114">
        <v>152</v>
      </c>
      <c r="B1" s="115" t="s">
        <v>109</v>
      </c>
      <c r="C1" s="116"/>
      <c r="D1" s="116"/>
      <c r="E1" s="116"/>
      <c r="F1" s="116"/>
      <c r="G1" s="116"/>
      <c r="H1" s="116"/>
    </row>
    <row r="2" spans="1:8" ht="15.6">
      <c r="A2" s="117" t="s">
        <v>110</v>
      </c>
      <c r="B2" s="143" t="s">
        <v>111</v>
      </c>
      <c r="C2" s="144"/>
      <c r="D2" s="144"/>
      <c r="E2" s="144"/>
      <c r="F2" s="144"/>
      <c r="G2" s="144"/>
      <c r="H2" s="144"/>
    </row>
    <row r="3" spans="1:8" ht="64.8">
      <c r="A3" s="118"/>
      <c r="B3" s="119" t="s">
        <v>112</v>
      </c>
      <c r="C3" s="119" t="s">
        <v>113</v>
      </c>
      <c r="D3" s="119" t="s">
        <v>114</v>
      </c>
      <c r="E3" s="119" t="s">
        <v>115</v>
      </c>
      <c r="F3" s="119" t="s">
        <v>116</v>
      </c>
      <c r="G3" s="119" t="s">
        <v>117</v>
      </c>
      <c r="H3" s="119" t="s">
        <v>118</v>
      </c>
    </row>
    <row r="4" spans="1:8" ht="16.8">
      <c r="A4" s="118"/>
      <c r="B4" s="120" t="s">
        <v>119</v>
      </c>
      <c r="C4" s="121" t="s">
        <v>120</v>
      </c>
      <c r="D4" s="122">
        <v>0.5</v>
      </c>
      <c r="E4" s="123" t="s">
        <v>121</v>
      </c>
      <c r="F4" s="124">
        <v>1245</v>
      </c>
      <c r="G4" s="124">
        <f>FLOOR(D4*F4,0.01)</f>
        <v>622.5</v>
      </c>
      <c r="H4" s="125"/>
    </row>
    <row r="5" spans="1:8" ht="18">
      <c r="A5" s="118"/>
      <c r="B5" s="142"/>
      <c r="C5" s="126" t="s">
        <v>122</v>
      </c>
      <c r="D5" s="127">
        <v>1</v>
      </c>
      <c r="E5" s="126" t="s">
        <v>121</v>
      </c>
      <c r="F5" s="128">
        <v>935</v>
      </c>
      <c r="G5" s="128">
        <f>FLOOR(D5*F5,0.01)</f>
        <v>935</v>
      </c>
      <c r="H5" s="129">
        <f>SUM(G4+G5)</f>
        <v>1557.5</v>
      </c>
    </row>
    <row r="6" spans="1:8" ht="18">
      <c r="A6" s="118"/>
      <c r="B6" s="130" t="s">
        <v>123</v>
      </c>
      <c r="C6" s="123" t="s">
        <v>124</v>
      </c>
      <c r="D6" s="122">
        <f>420*0</f>
        <v>0</v>
      </c>
      <c r="E6" s="123" t="s">
        <v>125</v>
      </c>
      <c r="F6" s="131">
        <v>15.145</v>
      </c>
      <c r="G6" s="132">
        <f>FLOOR(D6*F6,0.01)</f>
        <v>0</v>
      </c>
      <c r="H6" s="125"/>
    </row>
    <row r="7" spans="1:8" ht="18">
      <c r="A7" s="118"/>
      <c r="B7" s="141"/>
      <c r="C7" s="126" t="s">
        <v>126</v>
      </c>
      <c r="D7" s="127">
        <f>0.71*0</f>
        <v>0</v>
      </c>
      <c r="E7" s="126" t="s">
        <v>127</v>
      </c>
      <c r="F7" s="128">
        <v>3177.9</v>
      </c>
      <c r="G7" s="128">
        <f>FLOOR(D7*F7,0.01)</f>
        <v>0</v>
      </c>
      <c r="H7" s="133">
        <f>SUM(G6:G7)</f>
        <v>0</v>
      </c>
    </row>
    <row r="8" spans="1:8" ht="20.399999999999999">
      <c r="A8" s="118"/>
      <c r="B8" s="118"/>
      <c r="C8" s="118"/>
      <c r="D8" s="118"/>
      <c r="E8" s="118"/>
      <c r="F8" s="134" t="s">
        <v>128</v>
      </c>
      <c r="G8" s="135"/>
      <c r="H8" s="128">
        <f>SUM(H7,H5)</f>
        <v>1557.5</v>
      </c>
    </row>
    <row r="9" spans="1:8" ht="20.399999999999999">
      <c r="A9" s="118"/>
      <c r="B9" s="118" t="s">
        <v>129</v>
      </c>
      <c r="C9" s="118"/>
      <c r="D9" s="118"/>
      <c r="E9" s="118"/>
      <c r="F9" s="134" t="s">
        <v>130</v>
      </c>
      <c r="G9" s="135"/>
      <c r="H9" s="136">
        <f>FLOOR(H8*0.15,0.01)</f>
        <v>233.62</v>
      </c>
    </row>
    <row r="10" spans="1:8" ht="20.399999999999999">
      <c r="A10" s="137"/>
      <c r="B10" s="138">
        <f>+H10</f>
        <v>1791.12</v>
      </c>
      <c r="C10" s="139" t="s">
        <v>131</v>
      </c>
      <c r="D10" s="136">
        <f>INT(B10/B11*100)/100</f>
        <v>179.11</v>
      </c>
      <c r="E10" s="118" t="s">
        <v>132</v>
      </c>
      <c r="F10" s="134" t="s">
        <v>133</v>
      </c>
      <c r="G10" s="135"/>
      <c r="H10" s="136">
        <f>SUM(H8:H9)</f>
        <v>1791.12</v>
      </c>
    </row>
    <row r="11" spans="1:8" ht="16.8">
      <c r="A11" s="118"/>
      <c r="B11" s="140">
        <v>10</v>
      </c>
      <c r="C11" s="118"/>
      <c r="D11" s="118"/>
      <c r="E11" s="118"/>
      <c r="F11" s="118"/>
      <c r="G11" s="118"/>
      <c r="H11" s="118"/>
    </row>
  </sheetData>
  <mergeCells count="4">
    <mergeCell ref="B1:H1"/>
    <mergeCell ref="B2:H2"/>
    <mergeCell ref="B4:B5"/>
    <mergeCell ref="B6:B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ESTIMATE</vt:lpstr>
      <vt:lpstr>WCR</vt:lpstr>
      <vt:lpstr>me</vt:lpstr>
      <vt:lpstr>Sheet1</vt:lpstr>
      <vt:lpstr>ESTIMATE!Print_Area</vt:lpstr>
      <vt:lpstr>me!Print_Area</vt:lpstr>
      <vt:lpstr>ESTIMATE!Print_Titles</vt:lpstr>
      <vt:lpstr>me!Print_Titles</vt:lpstr>
      <vt:lpstr>WCR!Print_Titles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DELL</cp:lastModifiedBy>
  <cp:lastPrinted>2024-06-03T07:34:32Z</cp:lastPrinted>
  <dcterms:created xsi:type="dcterms:W3CDTF">2015-02-11T06:39:48Z</dcterms:created>
  <dcterms:modified xsi:type="dcterms:W3CDTF">2025-12-03T03:37:59Z</dcterms:modified>
</cp:coreProperties>
</file>