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B4BC52F6-C133-4B16-AAC9-3969749A9F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imate" sheetId="6" r:id="rId1"/>
    <sheet name="Sheet1" sheetId="7" r:id="rId2"/>
  </sheets>
  <externalReferences>
    <externalReference r:id="rId3"/>
    <externalReference r:id="rId4"/>
    <externalReference r:id="rId5"/>
    <externalReference r:id="rId6"/>
  </externalReferences>
  <definedNames>
    <definedName name="description_247">[1]Abstract!$B$22</definedName>
    <definedName name="description_248">[1]Abstract!$B$23</definedName>
    <definedName name="description_6">[2]Abstract!$B$172</definedName>
    <definedName name="description_783">[3]Abstract!$B$301</definedName>
    <definedName name="description_8">[4]Abstract!$B$174</definedName>
    <definedName name="_xlnm.Print_Area" localSheetId="0">estimate!$A$1:$L$32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D36" i="6"/>
  <c r="D37" i="6"/>
  <c r="D34" i="6" l="1"/>
  <c r="E13" i="7" l="1"/>
  <c r="H13" i="7" s="1"/>
  <c r="E10" i="7"/>
  <c r="H10" i="7" s="1"/>
  <c r="H11" i="7"/>
  <c r="H14" i="7"/>
  <c r="H12" i="7"/>
  <c r="H9" i="7"/>
  <c r="H8" i="7"/>
  <c r="G45" i="6"/>
  <c r="I14" i="7" l="1"/>
  <c r="I15" i="7" s="1"/>
  <c r="I9" i="7"/>
  <c r="I16" i="7" s="1"/>
  <c r="H28" i="6"/>
  <c r="K28" i="6" s="1"/>
  <c r="H40" i="6"/>
  <c r="G40" i="6"/>
  <c r="G22" i="6"/>
  <c r="H16" i="6"/>
  <c r="K17" i="6" s="1"/>
  <c r="K16" i="6" l="1"/>
  <c r="I17" i="7" l="1"/>
  <c r="I18" i="7" s="1"/>
  <c r="C18" i="7" s="1"/>
  <c r="E18" i="7" s="1"/>
  <c r="E20" i="6"/>
  <c r="H26" i="6"/>
  <c r="K26" i="6" s="1"/>
  <c r="H25" i="6"/>
  <c r="K25" i="6" s="1"/>
  <c r="H22" i="6"/>
  <c r="K22" i="6" l="1"/>
  <c r="K23" i="6" s="1"/>
  <c r="C44" i="6"/>
  <c r="D11" i="6"/>
  <c r="H11" i="6" l="1"/>
  <c r="D20" i="6"/>
  <c r="H20" i="6" s="1"/>
  <c r="K20" i="6" s="1"/>
  <c r="H9" i="6"/>
  <c r="K9" i="6" s="1"/>
  <c r="K14" i="6" l="1"/>
  <c r="K13" i="6"/>
  <c r="K12" i="6"/>
  <c r="K21" i="6"/>
  <c r="K11" i="6"/>
  <c r="K30" i="6" l="1"/>
  <c r="D32" i="6" s="1"/>
  <c r="D35" i="6" l="1"/>
  <c r="F34" i="6"/>
  <c r="F35" i="6" s="1"/>
</calcChain>
</file>

<file path=xl/sharedStrings.xml><?xml version="1.0" encoding="utf-8"?>
<sst xmlns="http://schemas.openxmlformats.org/spreadsheetml/2006/main" count="92" uniqueCount="85">
  <si>
    <t>Government of Nepal</t>
  </si>
  <si>
    <t>Quantity</t>
  </si>
  <si>
    <t>Unit</t>
  </si>
  <si>
    <t>Remarks</t>
  </si>
  <si>
    <t>Total</t>
  </si>
  <si>
    <t>sq.m.</t>
  </si>
  <si>
    <t>cu.m.</t>
  </si>
  <si>
    <t>Shankharapur Municipality</t>
  </si>
  <si>
    <t>Shankhu, Kathmandu</t>
  </si>
  <si>
    <t xml:space="preserve">Project:- </t>
  </si>
  <si>
    <t>Location:- Shankharapur Municipality- 1</t>
  </si>
  <si>
    <t>S.N.</t>
  </si>
  <si>
    <t>Description of work</t>
  </si>
  <si>
    <t>No.</t>
  </si>
  <si>
    <t>Length</t>
  </si>
  <si>
    <t>Breadth</t>
  </si>
  <si>
    <t>Height</t>
  </si>
  <si>
    <t>Rate</t>
  </si>
  <si>
    <t>Amount</t>
  </si>
  <si>
    <t xml:space="preserve">g/d k|sf/sf] Sn] / l;N6L df6f]df ;j} lsl;dsf] vGg] sfd </t>
  </si>
  <si>
    <t xml:space="preserve">hu leQf kvf{ndf l;d]G6 s+lqm6 ug]{ sfd -lk=;L=;L= !M@M$_ </t>
  </si>
  <si>
    <t>vat on material</t>
  </si>
  <si>
    <t>vat for cement</t>
  </si>
  <si>
    <t xml:space="preserve"> vat for sand</t>
  </si>
  <si>
    <t>vat for aggregate</t>
  </si>
  <si>
    <t xml:space="preserve">nugzLn s[ifs ;d"x </t>
  </si>
  <si>
    <t>k.g.</t>
  </si>
  <si>
    <t>kmnfd] Pªun k|of]u u/L hfnLn] 3]g{] sfd</t>
  </si>
  <si>
    <t>md.</t>
  </si>
  <si>
    <t>page 6 sn.22</t>
  </si>
  <si>
    <t>page 4 sn. 5</t>
  </si>
  <si>
    <t>page 4 sn. 7</t>
  </si>
  <si>
    <t>district rate ktm</t>
  </si>
  <si>
    <t>lh=cfO{=sf9]tf/ -jf/ j]8 jfo/_ nufpg]</t>
  </si>
  <si>
    <t>rm</t>
  </si>
  <si>
    <t>vat for materials</t>
  </si>
  <si>
    <r>
      <t>Information Board (</t>
    </r>
    <r>
      <rPr>
        <sz val="12"/>
        <color theme="1"/>
        <rFont val="Preeti"/>
      </rPr>
      <t>;'rgf kfl6</t>
    </r>
    <r>
      <rPr>
        <sz val="12"/>
        <color theme="1"/>
        <rFont val="Times New Roman"/>
        <family val="1"/>
      </rPr>
      <t>)</t>
    </r>
  </si>
  <si>
    <t>no.</t>
  </si>
  <si>
    <r>
      <t xml:space="preserve">%) dL=dL= </t>
    </r>
    <r>
      <rPr>
        <sz val="12"/>
        <rFont val="Arial"/>
        <family val="2"/>
      </rPr>
      <t>Ø</t>
    </r>
    <r>
      <rPr>
        <sz val="12"/>
        <rFont val="Preeti"/>
      </rPr>
      <t xml:space="preserve"> sf] sfnf] kmnfd] kfO{k kf]i6 @ dL6/ b"/Ldf @)</t>
    </r>
    <r>
      <rPr>
        <sz val="10"/>
        <rFont val="Arial"/>
        <family val="2"/>
      </rPr>
      <t>x</t>
    </r>
    <r>
      <rPr>
        <sz val="12"/>
        <rFont val="Preeti"/>
      </rPr>
      <t>@)</t>
    </r>
    <r>
      <rPr>
        <sz val="10"/>
        <rFont val="Arial"/>
        <family val="2"/>
      </rPr>
      <t>x</t>
    </r>
    <r>
      <rPr>
        <sz val="12"/>
        <rFont val="Preeti"/>
      </rPr>
      <t>$ dL=dL=/</t>
    </r>
  </si>
  <si>
    <t>M 12</t>
  </si>
  <si>
    <r>
      <t>@%</t>
    </r>
    <r>
      <rPr>
        <sz val="12"/>
        <rFont val="Arial"/>
        <family val="2"/>
      </rPr>
      <t xml:space="preserve"> x</t>
    </r>
    <r>
      <rPr>
        <sz val="12"/>
        <rFont val="Preeti"/>
      </rPr>
      <t xml:space="preserve"> @% </t>
    </r>
    <r>
      <rPr>
        <sz val="12"/>
        <rFont val="Arial"/>
        <family val="2"/>
      </rPr>
      <t>x</t>
    </r>
    <r>
      <rPr>
        <sz val="12"/>
        <rFont val="Preeti"/>
      </rPr>
      <t xml:space="preserve"> $ dL=dL= ;fO{hsf] kmnfd] PËn k|m]dsf] ljrdf !) </t>
    </r>
    <r>
      <rPr>
        <sz val="9"/>
        <rFont val="Arial"/>
        <family val="2"/>
      </rPr>
      <t>S.W.G.G. I. Chain Link</t>
    </r>
    <r>
      <rPr>
        <sz val="12"/>
        <rFont val="Preeti"/>
      </rPr>
      <t xml:space="preserve">  @Æ</t>
    </r>
    <r>
      <rPr>
        <sz val="8"/>
        <rFont val="Arial"/>
        <family val="2"/>
      </rPr>
      <t>x</t>
    </r>
    <r>
      <rPr>
        <sz val="12"/>
        <rFont val="Preeti"/>
      </rPr>
      <t xml:space="preserve">@Æ sf] d]; ;fOh hfnL </t>
    </r>
  </si>
  <si>
    <r>
      <t xml:space="preserve">h8fg ug]{ / # </t>
    </r>
    <r>
      <rPr>
        <sz val="9"/>
        <rFont val="Arial"/>
        <family val="2"/>
      </rPr>
      <t>x</t>
    </r>
    <r>
      <rPr>
        <sz val="11"/>
        <rFont val="Arial"/>
        <family val="2"/>
      </rPr>
      <t xml:space="preserve"> </t>
    </r>
    <r>
      <rPr>
        <sz val="12"/>
        <rFont val="Preeti"/>
      </rPr>
      <t>@) sf] kmnfd] kftfsf] lu|n )=!% dL= cUnf] agfO{ dfly h8fg u/L</t>
    </r>
  </si>
  <si>
    <t>km]lj|s]zg u/L k|fOd/ k]G6 ;lxt ;Dk"0f{ sfo{ .</t>
  </si>
  <si>
    <t>b/ ljZn]if0fsf] nflu !) J.=dL=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</si>
  <si>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</si>
  <si>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</si>
  <si>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</si>
  <si>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</si>
  <si>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</si>
  <si>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</si>
  <si>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</si>
  <si>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 xml:space="preserve">&gt;lds </t>
  </si>
  <si>
    <t>l;kfn'</t>
  </si>
  <si>
    <t>hjfg</t>
  </si>
  <si>
    <t>HofdL</t>
  </si>
  <si>
    <t>lgdf{0f ;fdu|L</t>
  </si>
  <si>
    <r>
      <t>%) dL=dL=</t>
    </r>
    <r>
      <rPr>
        <sz val="10"/>
        <rFont val="Arial"/>
        <family val="2"/>
      </rPr>
      <t>Ø</t>
    </r>
    <r>
      <rPr>
        <sz val="13"/>
        <rFont val="Preeti"/>
      </rPr>
      <t xml:space="preserve"> kf]i6</t>
    </r>
  </si>
  <si>
    <t>s]=hL=</t>
  </si>
  <si>
    <r>
      <t>@%</t>
    </r>
    <r>
      <rPr>
        <sz val="9"/>
        <rFont val="Arial"/>
        <family val="2"/>
      </rPr>
      <t>x</t>
    </r>
    <r>
      <rPr>
        <sz val="11"/>
        <rFont val="Preeti"/>
      </rPr>
      <t>@%</t>
    </r>
    <r>
      <rPr>
        <sz val="9"/>
        <rFont val="Arial"/>
        <family val="2"/>
      </rPr>
      <t>x</t>
    </r>
    <r>
      <rPr>
        <sz val="11"/>
        <rFont val="Preeti"/>
      </rPr>
      <t>$ dL=dL= PËn</t>
    </r>
  </si>
  <si>
    <r>
      <t>@)</t>
    </r>
    <r>
      <rPr>
        <sz val="9"/>
        <rFont val="Arial"/>
        <family val="2"/>
      </rPr>
      <t>x</t>
    </r>
    <r>
      <rPr>
        <sz val="11"/>
        <rFont val="Preeti"/>
      </rPr>
      <t>@)</t>
    </r>
    <r>
      <rPr>
        <sz val="9"/>
        <rFont val="Arial"/>
        <family val="2"/>
      </rPr>
      <t>x</t>
    </r>
    <r>
      <rPr>
        <sz val="11"/>
        <rFont val="Preeti"/>
      </rPr>
      <t>$ dL=dL=PËn</t>
    </r>
  </si>
  <si>
    <r>
      <t>kmnfd] kftfsf] lu|n #</t>
    </r>
    <r>
      <rPr>
        <sz val="8"/>
        <rFont val="Arial"/>
        <family val="2"/>
      </rPr>
      <t>x</t>
    </r>
    <r>
      <rPr>
        <sz val="11"/>
        <rFont val="Preeti"/>
      </rPr>
      <t>@) dL=dL=</t>
    </r>
  </si>
  <si>
    <r>
      <t xml:space="preserve">!) </t>
    </r>
    <r>
      <rPr>
        <sz val="7"/>
        <rFont val="Arial"/>
        <family val="2"/>
      </rPr>
      <t xml:space="preserve">S.W.G.G. I. Chain </t>
    </r>
    <r>
      <rPr>
        <sz val="8"/>
        <rFont val="Arial"/>
        <family val="2"/>
      </rPr>
      <t xml:space="preserve">Link  </t>
    </r>
    <r>
      <rPr>
        <sz val="11"/>
        <rFont val="Preeti"/>
      </rPr>
      <t>@Æ</t>
    </r>
    <r>
      <rPr>
        <sz val="8"/>
        <rFont val="Arial"/>
        <family val="2"/>
      </rPr>
      <t>x</t>
    </r>
    <r>
      <rPr>
        <sz val="11"/>
        <rFont val="Preeti"/>
      </rPr>
      <t>@Æ sf] d]; ;fOh</t>
    </r>
  </si>
  <si>
    <t>j=dL=</t>
  </si>
  <si>
    <t>k|mflj|s]zg !%Ü</t>
  </si>
  <si>
    <t>jf:tljs b//]6</t>
  </si>
  <si>
    <t>b/ k|lt j=dL=sf]</t>
  </si>
  <si>
    <t xml:space="preserve">!%Ü 7]s]bf/ cf]e/x]8 </t>
  </si>
  <si>
    <t>Ö ?=</t>
  </si>
  <si>
    <t>k}=</t>
  </si>
  <si>
    <t>hDdf b/ /]6</t>
  </si>
  <si>
    <t>F.Y.:-2082/2083</t>
  </si>
  <si>
    <t>Total Estimated</t>
  </si>
  <si>
    <t>Budget allocated</t>
  </si>
  <si>
    <t>Municipal payment</t>
  </si>
  <si>
    <t>User Contribution</t>
  </si>
  <si>
    <t xml:space="preserve">Contingencies </t>
  </si>
  <si>
    <t xml:space="preserve">Maintanince </t>
  </si>
  <si>
    <t>Unit wt. (Kg/m)</t>
  </si>
  <si>
    <t>Length (m)</t>
  </si>
  <si>
    <t>-Fabrication of chain link mesh size 3"x3" 10 gauge</t>
  </si>
  <si>
    <t>-Skilled   mason</t>
  </si>
  <si>
    <t>-Unskilled mason</t>
  </si>
  <si>
    <t>-Vertical pole (40x40x2)</t>
  </si>
  <si>
    <t>Estimated Sheet</t>
  </si>
  <si>
    <t xml:space="preserve">Date: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</si>
</sst>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.0_);_(* \(#,##0.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Preeti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name val="Preeti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Preeti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Preeti"/>
    </font>
    <font>
      <sz val="10"/>
      <name val="FONTASY_ HIMALI_ TT"/>
      <family val="5"/>
    </font>
    <font>
      <sz val="12"/>
      <name val="Preeti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Preeti"/>
    </font>
    <font>
      <sz val="13"/>
      <name val="Preeti"/>
    </font>
    <font>
      <sz val="10"/>
      <name val="Fontasy Himali"/>
      <family val="5"/>
    </font>
    <font>
      <sz val="7"/>
      <name val="Arial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2" xfId="0" applyFont="1" applyBorder="1"/>
    <xf numFmtId="0" fontId="6" fillId="0" borderId="0" xfId="0" applyFont="1"/>
    <xf numFmtId="0" fontId="9" fillId="0" borderId="0" xfId="0" applyFont="1"/>
    <xf numFmtId="43" fontId="6" fillId="0" borderId="0" xfId="1" applyFont="1"/>
    <xf numFmtId="0" fontId="5" fillId="0" borderId="0" xfId="0" applyFont="1"/>
    <xf numFmtId="0" fontId="0" fillId="0" borderId="3" xfId="0" applyBorder="1"/>
    <xf numFmtId="1" fontId="14" fillId="0" borderId="4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5" fillId="0" borderId="0" xfId="0" applyFont="1"/>
    <xf numFmtId="0" fontId="22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2" fontId="14" fillId="0" borderId="4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/>
    </xf>
    <xf numFmtId="2" fontId="14" fillId="0" borderId="6" xfId="0" applyNumberFormat="1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2" fontId="15" fillId="0" borderId="9" xfId="0" applyNumberFormat="1" applyFont="1" applyBorder="1" applyAlignment="1">
      <alignment horizontal="center" vertical="center" wrapText="1"/>
    </xf>
    <xf numFmtId="0" fontId="22" fillId="0" borderId="0" xfId="0" applyFont="1"/>
    <xf numFmtId="2" fontId="14" fillId="0" borderId="7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15" fillId="0" borderId="0" xfId="0" applyFont="1" applyAlignment="1">
      <alignment vertical="center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2" fillId="0" borderId="0" xfId="0" applyNumberFormat="1" applyFont="1" applyAlignment="1">
      <alignment vertical="center"/>
    </xf>
    <xf numFmtId="0" fontId="25" fillId="0" borderId="0" xfId="0" applyFont="1" applyAlignment="1">
      <alignment horizontal="right" vertical="center"/>
    </xf>
    <xf numFmtId="43" fontId="25" fillId="0" borderId="0" xfId="1" applyFont="1" applyBorder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/>
    </xf>
    <xf numFmtId="43" fontId="5" fillId="0" borderId="8" xfId="1" applyFont="1" applyBorder="1"/>
    <xf numFmtId="0" fontId="5" fillId="0" borderId="8" xfId="0" applyFont="1" applyBorder="1"/>
    <xf numFmtId="0" fontId="5" fillId="0" borderId="8" xfId="0" applyFont="1" applyBorder="1" applyAlignment="1">
      <alignment wrapText="1"/>
    </xf>
    <xf numFmtId="166" fontId="3" fillId="0" borderId="8" xfId="1" applyNumberFormat="1" applyFont="1" applyBorder="1"/>
    <xf numFmtId="0" fontId="10" fillId="2" borderId="8" xfId="0" applyFont="1" applyFill="1" applyBorder="1" applyAlignment="1">
      <alignment horizontal="left" vertical="top" wrapText="1"/>
    </xf>
    <xf numFmtId="43" fontId="3" fillId="0" borderId="8" xfId="1" applyFont="1" applyBorder="1"/>
    <xf numFmtId="0" fontId="3" fillId="2" borderId="8" xfId="0" applyFont="1" applyFill="1" applyBorder="1" applyAlignment="1">
      <alignment horizontal="center"/>
    </xf>
    <xf numFmtId="0" fontId="0" fillId="0" borderId="8" xfId="0" applyBorder="1"/>
    <xf numFmtId="0" fontId="10" fillId="0" borderId="8" xfId="0" applyFont="1" applyBorder="1" applyAlignment="1">
      <alignment vertical="center" wrapText="1"/>
    </xf>
    <xf numFmtId="43" fontId="3" fillId="0" borderId="8" xfId="1" applyFont="1" applyFill="1" applyBorder="1" applyAlignment="1">
      <alignment horizontal="right"/>
    </xf>
    <xf numFmtId="0" fontId="3" fillId="0" borderId="8" xfId="0" applyFont="1" applyBorder="1" applyAlignment="1">
      <alignment horizontal="right"/>
    </xf>
    <xf numFmtId="43" fontId="3" fillId="0" borderId="8" xfId="1" applyFont="1" applyBorder="1" applyAlignment="1">
      <alignment horizontal="right"/>
    </xf>
    <xf numFmtId="0" fontId="7" fillId="0" borderId="8" xfId="0" applyFont="1" applyBorder="1" applyAlignment="1">
      <alignment vertical="center" wrapText="1"/>
    </xf>
    <xf numFmtId="43" fontId="3" fillId="0" borderId="8" xfId="1" applyFont="1" applyFill="1" applyBorder="1" applyAlignment="1">
      <alignment horizontal="center" vertical="center" wrapText="1"/>
    </xf>
    <xf numFmtId="43" fontId="3" fillId="0" borderId="8" xfId="1" applyFont="1" applyFill="1" applyBorder="1" applyAlignment="1">
      <alignment horizontal="center" vertical="center"/>
    </xf>
    <xf numFmtId="165" fontId="3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43" fontId="11" fillId="0" borderId="8" xfId="0" applyNumberFormat="1" applyFont="1" applyBorder="1"/>
    <xf numFmtId="0" fontId="3" fillId="0" borderId="8" xfId="0" quotePrefix="1" applyFont="1" applyBorder="1" applyAlignment="1">
      <alignment horizontal="right" wrapText="1"/>
    </xf>
    <xf numFmtId="0" fontId="3" fillId="0" borderId="8" xfId="0" quotePrefix="1" applyFont="1" applyBorder="1" applyAlignment="1">
      <alignment horizontal="right"/>
    </xf>
    <xf numFmtId="0" fontId="0" fillId="0" borderId="6" xfId="0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9" fillId="0" borderId="0" xfId="0" applyFont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2" fontId="0" fillId="0" borderId="12" xfId="1" applyNumberFormat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2" fontId="0" fillId="0" borderId="11" xfId="1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/>
    <xf numFmtId="0" fontId="2" fillId="0" borderId="0" xfId="0" applyFont="1" applyAlignment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kharapur%20rates\Road-rate-analysis-079-80-shankharapur-as-per-dor-norms-nnn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ndrive%20backup\WARD%20NO.01%20OFFICE\DESKTOP\rate%20analysis%20081-82\For%20all%20Road-rate%20analysis%2081%2082%20shankharapur%20as%20per%20dor%20nor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ndrive%20backup\WARD%20NO.01%20OFFICE\DESKTOP\fy%2081-822\WARD%201%20YOJANA\fy%2081-82\mayor%20tok\rate%20analysis%20081-82\For%20all%20Road-rate%20analysis%2081%2082%20shankharapur%20as%20per%20dor%20norm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user\Desktop\rate%20analysis%2080-81\For%20all%20Road-rate%20analysis%2080-81%20shankharap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Abstract"/>
      <sheetName val="Quantity_Sheet"/>
      <sheetName val="District_Rate"/>
      <sheetName val="Equipment_Rate"/>
      <sheetName val="Summary_of_Rates"/>
      <sheetName val="rate (roadway)"/>
      <sheetName val="manhole"/>
      <sheetName val="bistar"/>
      <sheetName val="Rate_Analysis"/>
      <sheetName val="DWC pipe Rate-analysis"/>
      <sheetName val="Sheet1"/>
      <sheetName val="Sheet2"/>
      <sheetName val="Sheet3"/>
      <sheetName val="Sheet4"/>
      <sheetName val="Loading_Unloading"/>
      <sheetName val="Collection"/>
      <sheetName val="Transportation"/>
      <sheetName val="References"/>
      <sheetName val="BOQ"/>
      <sheetName val="PPMO_BOQ"/>
    </sheetNames>
    <sheetDataSet>
      <sheetData sheetId="0" refreshError="1"/>
      <sheetData sheetId="1" refreshError="1">
        <row r="22">
          <cell r="B22" t="str">
            <v>Providing and Laying Reinforced cement concrete NP3 Flush jointed pipe for culverts including fixing with cement mortar 1:2 as per Drawing and Technical Specifications., 450 mm  internal dia.</v>
          </cell>
        </row>
        <row r="23">
          <cell r="B23" t="str">
            <v>Providing and Laying Reinforced cement concrete NP3 Flush jointed pipe for culverts including fixing with cement mortar 1:2 as per Drawing and Technical Specifications., 600 mm  internal dia.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Abstract"/>
      <sheetName val="Quantity_Sheet"/>
      <sheetName val="District_Rate"/>
      <sheetName val="Equipment_Rate"/>
      <sheetName val="Summary_of_Rates"/>
      <sheetName val="rate (roadway)"/>
      <sheetName val="manhole"/>
      <sheetName val="bistar"/>
      <sheetName val="Rate_Analysis"/>
      <sheetName val="DWC pipe Rate-analysis"/>
      <sheetName val="Sheet1"/>
      <sheetName val="Sheet2"/>
      <sheetName val="Sheet3"/>
      <sheetName val="Sheet4"/>
      <sheetName val="Loading_Unloading"/>
      <sheetName val="Collection"/>
      <sheetName val="Transportation"/>
      <sheetName val="References"/>
      <sheetName val="BOQ"/>
      <sheetName val="PPMO_BOQ"/>
      <sheetName val="For all Road-rate analysis 81 8"/>
    </sheetNames>
    <sheetDataSet>
      <sheetData sheetId="0"/>
      <sheetData sheetId="1">
        <row r="172">
          <cell r="B172" t="str">
            <v>Providing and laying of Plain/Reinforced Cement Concrete in Foundation complete as per Drawing and Technical Specifications., RCC Grade M 20</v>
          </cell>
        </row>
      </sheetData>
      <sheetData sheetId="2"/>
      <sheetData sheetId="3">
        <row r="27">
          <cell r="L27">
            <v>0</v>
          </cell>
        </row>
      </sheetData>
      <sheetData sheetId="4">
        <row r="27">
          <cell r="L27">
            <v>408</v>
          </cell>
        </row>
      </sheetData>
      <sheetData sheetId="5">
        <row r="26">
          <cell r="M26">
            <v>736.88</v>
          </cell>
        </row>
      </sheetData>
      <sheetData sheetId="6"/>
      <sheetData sheetId="7"/>
      <sheetData sheetId="8">
        <row r="27">
          <cell r="L27" t="str">
            <v>Type</v>
          </cell>
        </row>
      </sheetData>
      <sheetData sheetId="9">
        <row r="287">
          <cell r="L287" t="str">
            <v>Contractor's overhead expenses 15% =</v>
          </cell>
        </row>
      </sheetData>
      <sheetData sheetId="10">
        <row r="47">
          <cell r="L47">
            <v>147.15</v>
          </cell>
        </row>
      </sheetData>
      <sheetData sheetId="11">
        <row r="27">
          <cell r="L27" t="str">
            <v>Smooth Wheeled Roller</v>
          </cell>
        </row>
      </sheetData>
      <sheetData sheetId="12"/>
      <sheetData sheetId="13"/>
      <sheetData sheetId="14"/>
      <sheetData sheetId="15"/>
      <sheetData sheetId="16"/>
      <sheetData sheetId="17">
        <row r="27">
          <cell r="L27">
            <v>0</v>
          </cell>
        </row>
      </sheetData>
      <sheetData sheetId="18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Abstract"/>
      <sheetName val="Quantity_Sheet"/>
      <sheetName val="District_Rate"/>
      <sheetName val="Equipment_Rate"/>
      <sheetName val="Summary_of_Rates"/>
      <sheetName val="rate (roadway)"/>
      <sheetName val="manhole"/>
      <sheetName val="bistar"/>
      <sheetName val="Rate_Analysis"/>
      <sheetName val="DWC pipe Rate-analysis"/>
      <sheetName val="Sheet1"/>
      <sheetName val="Sheet2"/>
      <sheetName val="Sheet3"/>
      <sheetName val="Sheet4"/>
      <sheetName val="Loading_Unloading"/>
      <sheetName val="Collection"/>
      <sheetName val="Transportation"/>
      <sheetName val="References"/>
      <sheetName val="BOQ"/>
      <sheetName val="PPMO_BOQ"/>
    </sheetNames>
    <sheetDataSet>
      <sheetData sheetId="0"/>
      <sheetData sheetId="1">
        <row r="301">
          <cell r="B301" t="str">
            <v>Random Rubble Masonry, Providing and laying of Stone Masonry Work in Cement Mortar 1:6 in Foundation complete as per Drawing and Technical Specifications.</v>
          </cell>
        </row>
      </sheetData>
      <sheetData sheetId="2"/>
      <sheetData sheetId="3"/>
      <sheetData sheetId="4"/>
      <sheetData sheetId="5">
        <row r="27">
          <cell r="M27">
            <v>64.63</v>
          </cell>
        </row>
      </sheetData>
      <sheetData sheetId="6"/>
      <sheetData sheetId="7"/>
      <sheetData sheetId="8"/>
      <sheetData sheetId="9">
        <row r="592">
          <cell r="K592">
            <v>15452.64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"/>
      <sheetName val="Abstract"/>
      <sheetName val="Quantity_Sheet"/>
      <sheetName val="District_Rate"/>
      <sheetName val="Equipment_Rate"/>
      <sheetName val="Summary_of_Rates"/>
      <sheetName val="rate (roadway)"/>
      <sheetName val="manhole"/>
      <sheetName val="bistar"/>
      <sheetName val="Rate_Analysis"/>
      <sheetName val="DWC pipe Rate-analysis"/>
      <sheetName val="Sheet1"/>
      <sheetName val="Sheet2"/>
      <sheetName val="Sheet3"/>
      <sheetName val="Sheet4"/>
      <sheetName val="Loading_Unloading"/>
      <sheetName val="Collection"/>
      <sheetName val="Transportation"/>
      <sheetName val="References"/>
      <sheetName val="BOQ"/>
      <sheetName val="PPMO_BOQ"/>
    </sheetNames>
    <sheetDataSet>
      <sheetData sheetId="0"/>
      <sheetData sheetId="1">
        <row r="174">
          <cell r="B174" t="str">
            <v>Providing and laying of Plain/Reinforced Cement Concrete in Foundation complete as per Drawing and Technical Specifications., RCC Grade M 25</v>
          </cell>
        </row>
      </sheetData>
      <sheetData sheetId="2"/>
      <sheetData sheetId="3"/>
      <sheetData sheetId="4"/>
      <sheetData sheetId="5">
        <row r="152">
          <cell r="K152">
            <v>11715.43</v>
          </cell>
        </row>
      </sheetData>
      <sheetData sheetId="6"/>
      <sheetData sheetId="7"/>
      <sheetData sheetId="8"/>
      <sheetData sheetId="9">
        <row r="2011">
          <cell r="K2011">
            <v>58774.03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Normal="100" workbookViewId="0">
      <selection activeCell="M9" sqref="M9"/>
    </sheetView>
  </sheetViews>
  <sheetFormatPr defaultRowHeight="15"/>
  <cols>
    <col min="1" max="1" width="3.7109375" customWidth="1"/>
    <col min="2" max="2" width="8.42578125" customWidth="1"/>
    <col min="3" max="3" width="35.140625" customWidth="1"/>
    <col min="4" max="4" width="8.42578125" customWidth="1"/>
    <col min="5" max="5" width="9.140625" bestFit="1" customWidth="1"/>
    <col min="6" max="6" width="9.140625" customWidth="1"/>
    <col min="7" max="7" width="12" bestFit="1" customWidth="1"/>
    <col min="8" max="8" width="10.42578125" customWidth="1"/>
    <col min="9" max="9" width="7.140625" customWidth="1"/>
    <col min="10" max="10" width="11.5703125" bestFit="1" customWidth="1"/>
    <col min="11" max="11" width="16" bestFit="1" customWidth="1"/>
    <col min="12" max="12" width="15.42578125" bestFit="1" customWidth="1"/>
  </cols>
  <sheetData>
    <row r="1" spans="1:12" ht="15.7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0.25">
      <c r="A2" s="74" t="s">
        <v>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5.75">
      <c r="A3" s="73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15.75">
      <c r="A4" s="83" t="s">
        <v>83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2" ht="16.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ht="19.5">
      <c r="A6" s="1"/>
      <c r="B6" s="2" t="s">
        <v>9</v>
      </c>
      <c r="C6" s="3" t="s">
        <v>25</v>
      </c>
      <c r="D6" s="4"/>
      <c r="E6" s="4"/>
      <c r="F6" s="4"/>
      <c r="G6" s="4"/>
      <c r="H6" s="1"/>
      <c r="I6" s="4"/>
      <c r="J6" s="5"/>
      <c r="K6" s="4"/>
      <c r="L6" s="84" t="s">
        <v>70</v>
      </c>
    </row>
    <row r="7" spans="1:12" ht="16.5">
      <c r="A7" s="4"/>
      <c r="B7" s="75" t="s">
        <v>10</v>
      </c>
      <c r="C7" s="75"/>
      <c r="D7" s="75"/>
      <c r="E7" s="75"/>
      <c r="F7" s="75"/>
      <c r="G7" s="75"/>
      <c r="H7" s="6"/>
      <c r="I7" s="4"/>
      <c r="J7" s="4"/>
      <c r="K7" s="4"/>
      <c r="L7" s="85" t="s">
        <v>84</v>
      </c>
    </row>
    <row r="8" spans="1:12" ht="15.75">
      <c r="A8" s="7"/>
      <c r="B8" s="39" t="s">
        <v>11</v>
      </c>
      <c r="C8" s="40" t="s">
        <v>12</v>
      </c>
      <c r="D8" s="41" t="s">
        <v>13</v>
      </c>
      <c r="E8" s="42" t="s">
        <v>14</v>
      </c>
      <c r="F8" s="42" t="s">
        <v>15</v>
      </c>
      <c r="G8" s="42" t="s">
        <v>16</v>
      </c>
      <c r="H8" s="42" t="s">
        <v>1</v>
      </c>
      <c r="I8" s="43" t="s">
        <v>2</v>
      </c>
      <c r="J8" s="42" t="s">
        <v>17</v>
      </c>
      <c r="K8" s="42" t="s">
        <v>18</v>
      </c>
      <c r="L8" s="44" t="s">
        <v>3</v>
      </c>
    </row>
    <row r="9" spans="1:12" ht="36">
      <c r="B9" s="45">
        <v>1</v>
      </c>
      <c r="C9" s="46" t="s">
        <v>19</v>
      </c>
      <c r="D9" s="47">
        <f>ROUNDUP(400/3,0)+1</f>
        <v>135</v>
      </c>
      <c r="E9" s="47">
        <v>0.45</v>
      </c>
      <c r="F9" s="47">
        <v>0.45</v>
      </c>
      <c r="G9" s="47">
        <v>0.6</v>
      </c>
      <c r="H9" s="47">
        <f>D9*E9*F9*G9</f>
        <v>16.4025</v>
      </c>
      <c r="I9" s="48" t="s">
        <v>6</v>
      </c>
      <c r="J9" s="47">
        <v>674.12</v>
      </c>
      <c r="K9" s="47">
        <f>H9*J9</f>
        <v>11057.2533</v>
      </c>
      <c r="L9" s="49"/>
    </row>
    <row r="10" spans="1:12" ht="15.75">
      <c r="B10" s="45"/>
      <c r="C10" s="49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36">
      <c r="B11" s="45">
        <v>2</v>
      </c>
      <c r="C11" s="50" t="s">
        <v>20</v>
      </c>
      <c r="D11" s="51">
        <f>D9</f>
        <v>135</v>
      </c>
      <c r="E11" s="51">
        <v>0.3</v>
      </c>
      <c r="F11" s="51">
        <v>0.3</v>
      </c>
      <c r="G11" s="51">
        <v>0.45</v>
      </c>
      <c r="H11" s="51">
        <f>D11*E11*F11*G11</f>
        <v>5.4675000000000002</v>
      </c>
      <c r="I11" s="51" t="s">
        <v>6</v>
      </c>
      <c r="J11" s="51">
        <v>13351.1</v>
      </c>
      <c r="K11" s="51">
        <f>J11*H11</f>
        <v>72997.139250000007</v>
      </c>
      <c r="L11" s="49"/>
    </row>
    <row r="12" spans="1:12" ht="15.75">
      <c r="B12" s="45"/>
      <c r="C12" s="52" t="s">
        <v>22</v>
      </c>
      <c r="D12" s="51"/>
      <c r="E12" s="51"/>
      <c r="F12" s="51"/>
      <c r="G12" s="51"/>
      <c r="H12" s="51"/>
      <c r="I12" s="51"/>
      <c r="J12" s="51"/>
      <c r="K12" s="51">
        <f>0.13*H11*4169.92</f>
        <v>2963.8748880000003</v>
      </c>
      <c r="L12" s="49"/>
    </row>
    <row r="13" spans="1:12" ht="15.75">
      <c r="B13" s="45"/>
      <c r="C13" s="52" t="s">
        <v>23</v>
      </c>
      <c r="D13" s="51"/>
      <c r="E13" s="51"/>
      <c r="F13" s="51"/>
      <c r="G13" s="51"/>
      <c r="H13" s="51"/>
      <c r="I13" s="51"/>
      <c r="J13" s="53"/>
      <c r="K13" s="51">
        <f>0.13*H11*1414.16</f>
        <v>1005.1495740000001</v>
      </c>
      <c r="L13" s="49"/>
    </row>
    <row r="14" spans="1:12" ht="15.75">
      <c r="B14" s="45"/>
      <c r="C14" s="52" t="s">
        <v>24</v>
      </c>
      <c r="D14" s="51"/>
      <c r="E14" s="51"/>
      <c r="F14" s="51"/>
      <c r="G14" s="51"/>
      <c r="H14" s="51"/>
      <c r="I14" s="51"/>
      <c r="J14" s="53"/>
      <c r="K14" s="51">
        <f>0.13*H11*(1652.5+737.97+349.56)</f>
        <v>1947.5448232500003</v>
      </c>
      <c r="L14" s="49"/>
    </row>
    <row r="15" spans="1:12" ht="15.75">
      <c r="B15" s="45"/>
      <c r="C15" s="52"/>
      <c r="D15" s="51"/>
      <c r="E15" s="51"/>
      <c r="F15" s="51"/>
      <c r="G15" s="51"/>
      <c r="H15" s="51"/>
      <c r="I15" s="51"/>
      <c r="J15" s="53"/>
      <c r="K15" s="51"/>
      <c r="L15" s="49"/>
    </row>
    <row r="16" spans="1:12" ht="21.6" customHeight="1">
      <c r="B16" s="45">
        <v>3</v>
      </c>
      <c r="C16" s="46" t="s">
        <v>33</v>
      </c>
      <c r="D16" s="47">
        <v>1</v>
      </c>
      <c r="E16" s="47">
        <v>400</v>
      </c>
      <c r="F16" s="47"/>
      <c r="G16" s="47"/>
      <c r="H16" s="47">
        <f>PRODUCT(D16:G16)</f>
        <v>400</v>
      </c>
      <c r="I16" s="48" t="s">
        <v>34</v>
      </c>
      <c r="J16" s="47">
        <v>83.62</v>
      </c>
      <c r="K16" s="47">
        <f>J16*H16</f>
        <v>33448</v>
      </c>
      <c r="L16" s="49"/>
    </row>
    <row r="17" spans="1:15" ht="15.75">
      <c r="B17" s="45"/>
      <c r="C17" s="52" t="s">
        <v>35</v>
      </c>
      <c r="D17" s="51"/>
      <c r="E17" s="51"/>
      <c r="F17" s="51"/>
      <c r="G17" s="51"/>
      <c r="H17" s="51"/>
      <c r="I17" s="51"/>
      <c r="J17" s="51"/>
      <c r="K17" s="51">
        <f>0.13*H16*1992.14/100</f>
        <v>1035.9128000000001</v>
      </c>
      <c r="L17" s="49"/>
    </row>
    <row r="18" spans="1:15" ht="15.75">
      <c r="B18" s="45"/>
      <c r="C18" s="52"/>
      <c r="D18" s="51"/>
      <c r="E18" s="51"/>
      <c r="F18" s="51"/>
      <c r="G18" s="51"/>
      <c r="H18" s="51"/>
      <c r="I18" s="51"/>
      <c r="J18" s="53"/>
      <c r="K18" s="51"/>
      <c r="L18" s="49"/>
    </row>
    <row r="19" spans="1:15" ht="36">
      <c r="B19" s="45">
        <v>4</v>
      </c>
      <c r="C19" s="54" t="s">
        <v>27</v>
      </c>
      <c r="D19" s="51"/>
      <c r="E19" s="55" t="s">
        <v>78</v>
      </c>
      <c r="F19" s="56"/>
      <c r="G19" s="55" t="s">
        <v>77</v>
      </c>
      <c r="H19" s="51"/>
      <c r="I19" s="51"/>
      <c r="J19" s="51"/>
      <c r="K19" s="51"/>
      <c r="L19" s="49"/>
    </row>
    <row r="20" spans="1:15" ht="15.75">
      <c r="B20" s="49"/>
      <c r="C20" s="61" t="s">
        <v>82</v>
      </c>
      <c r="D20" s="51">
        <f>D11</f>
        <v>135</v>
      </c>
      <c r="E20" s="51">
        <f>6.5/3.28</f>
        <v>1.9817073170731709</v>
      </c>
      <c r="F20" s="51"/>
      <c r="G20" s="51">
        <v>1.19</v>
      </c>
      <c r="H20" s="51">
        <f>D20*E20*G20</f>
        <v>318.36128048780489</v>
      </c>
      <c r="I20" s="51" t="s">
        <v>26</v>
      </c>
      <c r="J20" s="51">
        <v>93</v>
      </c>
      <c r="K20" s="51">
        <f>H20*J20</f>
        <v>29607.599085365855</v>
      </c>
      <c r="L20" s="49"/>
    </row>
    <row r="21" spans="1:15" ht="15.75">
      <c r="B21" s="49"/>
      <c r="C21" s="52" t="s">
        <v>21</v>
      </c>
      <c r="D21" s="51"/>
      <c r="E21" s="51"/>
      <c r="F21" s="51"/>
      <c r="G21" s="51"/>
      <c r="H21" s="51"/>
      <c r="I21" s="51"/>
      <c r="J21" s="51"/>
      <c r="K21" s="51">
        <f>0.13*K20</f>
        <v>3848.9878810975611</v>
      </c>
      <c r="L21" s="49"/>
    </row>
    <row r="22" spans="1:15" ht="31.5">
      <c r="B22" s="49"/>
      <c r="C22" s="60" t="s">
        <v>79</v>
      </c>
      <c r="D22" s="51">
        <v>1</v>
      </c>
      <c r="E22" s="51">
        <v>400</v>
      </c>
      <c r="F22" s="51"/>
      <c r="G22" s="51">
        <f>4.5/3.281</f>
        <v>1.3715330691862238</v>
      </c>
      <c r="H22" s="51">
        <f>E22*G22</f>
        <v>548.61322767448951</v>
      </c>
      <c r="I22" s="51" t="s">
        <v>5</v>
      </c>
      <c r="J22" s="51">
        <v>501</v>
      </c>
      <c r="K22" s="51">
        <f>H22*J22</f>
        <v>274855.22706491925</v>
      </c>
      <c r="L22" s="49"/>
    </row>
    <row r="23" spans="1:15" ht="15.75">
      <c r="B23" s="49"/>
      <c r="C23" s="52" t="s">
        <v>21</v>
      </c>
      <c r="D23" s="49"/>
      <c r="E23" s="49"/>
      <c r="F23" s="49"/>
      <c r="G23" s="49"/>
      <c r="H23" s="49"/>
      <c r="I23" s="49"/>
      <c r="J23" s="49"/>
      <c r="K23" s="51">
        <f>0.13*K22</f>
        <v>35731.179518439501</v>
      </c>
      <c r="L23" s="49"/>
    </row>
    <row r="24" spans="1:15" ht="15.75">
      <c r="B24" s="49"/>
      <c r="C24" s="52"/>
      <c r="D24" s="49"/>
      <c r="E24" s="49"/>
      <c r="F24" s="49"/>
      <c r="G24" s="49"/>
      <c r="H24" s="49"/>
      <c r="I24" s="49"/>
      <c r="J24" s="49"/>
      <c r="K24" s="51"/>
      <c r="L24" s="49"/>
      <c r="O24" t="s">
        <v>32</v>
      </c>
    </row>
    <row r="25" spans="1:15" ht="15.75">
      <c r="B25" s="49"/>
      <c r="C25" s="61" t="s">
        <v>80</v>
      </c>
      <c r="D25" s="57">
        <v>5</v>
      </c>
      <c r="E25" s="49"/>
      <c r="F25" s="49"/>
      <c r="G25" s="49"/>
      <c r="H25" s="51">
        <f>D25</f>
        <v>5</v>
      </c>
      <c r="I25" s="51" t="s">
        <v>28</v>
      </c>
      <c r="J25" s="51">
        <v>1035</v>
      </c>
      <c r="K25" s="51">
        <f>H25*J25</f>
        <v>5175</v>
      </c>
      <c r="L25" s="49"/>
      <c r="O25" s="8" t="s">
        <v>30</v>
      </c>
    </row>
    <row r="26" spans="1:15" ht="15.75">
      <c r="B26" s="49"/>
      <c r="C26" s="61" t="s">
        <v>81</v>
      </c>
      <c r="D26" s="57">
        <v>15</v>
      </c>
      <c r="E26" s="49"/>
      <c r="F26" s="49"/>
      <c r="G26" s="49"/>
      <c r="H26" s="51">
        <f>D26</f>
        <v>15</v>
      </c>
      <c r="I26" s="51" t="s">
        <v>28</v>
      </c>
      <c r="J26" s="51">
        <v>825</v>
      </c>
      <c r="K26" s="51">
        <f>H26*J26</f>
        <v>12375</v>
      </c>
      <c r="L26" s="49"/>
      <c r="O26" s="8" t="s">
        <v>31</v>
      </c>
    </row>
    <row r="27" spans="1:15" ht="15.75">
      <c r="B27" s="49"/>
      <c r="C27" s="52"/>
      <c r="D27" s="57"/>
      <c r="E27" s="49"/>
      <c r="F27" s="49"/>
      <c r="G27" s="49"/>
      <c r="H27" s="51"/>
      <c r="I27" s="51"/>
      <c r="J27" s="51"/>
      <c r="K27" s="51"/>
      <c r="L27" s="49"/>
      <c r="O27" t="s">
        <v>29</v>
      </c>
    </row>
    <row r="28" spans="1:15" ht="15.75">
      <c r="B28" s="45">
        <v>5</v>
      </c>
      <c r="C28" s="52" t="s">
        <v>36</v>
      </c>
      <c r="D28" s="57">
        <v>1</v>
      </c>
      <c r="E28" s="49"/>
      <c r="F28" s="49"/>
      <c r="G28" s="49"/>
      <c r="H28" s="47">
        <f>PRODUCT(D28:G28)</f>
        <v>1</v>
      </c>
      <c r="I28" s="51" t="s">
        <v>37</v>
      </c>
      <c r="J28" s="51">
        <v>500</v>
      </c>
      <c r="K28" s="51">
        <f>H28*J28</f>
        <v>500</v>
      </c>
      <c r="L28" s="49"/>
    </row>
    <row r="29" spans="1:15" ht="15.75">
      <c r="B29" s="49"/>
      <c r="C29" s="52"/>
      <c r="D29" s="57"/>
      <c r="E29" s="49"/>
      <c r="F29" s="49"/>
      <c r="G29" s="49"/>
      <c r="H29" s="51"/>
      <c r="I29" s="51"/>
      <c r="J29" s="51"/>
      <c r="K29" s="51"/>
      <c r="L29" s="49"/>
    </row>
    <row r="30" spans="1:15" ht="18.75">
      <c r="B30" s="49"/>
      <c r="C30" s="58" t="s">
        <v>4</v>
      </c>
      <c r="D30" s="49"/>
      <c r="E30" s="49"/>
      <c r="F30" s="49"/>
      <c r="G30" s="49"/>
      <c r="H30" s="49"/>
      <c r="I30" s="49"/>
      <c r="J30" s="49"/>
      <c r="K30" s="59">
        <f>SUM(K9:K28)</f>
        <v>486547.86818507221</v>
      </c>
      <c r="L30" s="49"/>
    </row>
    <row r="32" spans="1:15" s="38" customFormat="1">
      <c r="A32" s="31"/>
      <c r="C32" s="32" t="s">
        <v>71</v>
      </c>
      <c r="D32" s="66">
        <f>K30</f>
        <v>486547.86818507221</v>
      </c>
      <c r="E32" s="66"/>
      <c r="F32" s="64"/>
      <c r="G32" s="34"/>
      <c r="H32" s="31"/>
      <c r="I32" s="35"/>
      <c r="J32" s="36"/>
      <c r="K32" s="37"/>
    </row>
    <row r="33" spans="3:9" hidden="1">
      <c r="C33" s="62" t="s">
        <v>72</v>
      </c>
      <c r="D33" s="67">
        <v>480000</v>
      </c>
      <c r="E33" s="68"/>
      <c r="F33" s="63"/>
    </row>
    <row r="34" spans="3:9" hidden="1">
      <c r="C34" s="32" t="s">
        <v>73</v>
      </c>
      <c r="D34" s="69">
        <f>D33-D36-D37</f>
        <v>456000</v>
      </c>
      <c r="E34" s="70"/>
      <c r="F34" s="33">
        <f>D34/D32*100</f>
        <v>93.721508163416217</v>
      </c>
      <c r="G34" s="28"/>
    </row>
    <row r="35" spans="3:9" hidden="1">
      <c r="C35" s="32" t="s">
        <v>74</v>
      </c>
      <c r="D35" s="66">
        <f>D32-D34</f>
        <v>30547.868185072206</v>
      </c>
      <c r="E35" s="66"/>
      <c r="F35" s="33">
        <f>100-F34</f>
        <v>6.2784918365837825</v>
      </c>
    </row>
    <row r="36" spans="3:9" hidden="1">
      <c r="C36" s="32" t="s">
        <v>75</v>
      </c>
      <c r="D36" s="71">
        <f>D33*0.03</f>
        <v>14400</v>
      </c>
      <c r="E36" s="72"/>
      <c r="F36" s="33">
        <v>0</v>
      </c>
    </row>
    <row r="37" spans="3:9" hidden="1">
      <c r="C37" s="32" t="s">
        <v>76</v>
      </c>
      <c r="D37" s="71">
        <f>D33*0.02</f>
        <v>9600</v>
      </c>
      <c r="E37" s="72"/>
      <c r="F37" s="33">
        <v>0</v>
      </c>
    </row>
    <row r="40" spans="3:9">
      <c r="G40">
        <f>400/650*20</f>
        <v>12.307692307692308</v>
      </c>
      <c r="H40">
        <f>400/650*30</f>
        <v>18.461538461538463</v>
      </c>
    </row>
    <row r="41" spans="3:9">
      <c r="F41">
        <v>650</v>
      </c>
      <c r="G41">
        <v>400</v>
      </c>
      <c r="H41">
        <v>650</v>
      </c>
      <c r="I41">
        <v>400</v>
      </c>
    </row>
    <row r="42" spans="3:9">
      <c r="F42">
        <v>20</v>
      </c>
      <c r="G42">
        <v>12</v>
      </c>
      <c r="H42">
        <v>30</v>
      </c>
      <c r="I42">
        <v>19</v>
      </c>
    </row>
    <row r="44" spans="3:9">
      <c r="C44" s="30">
        <f>Sheet1!I16/10*H22</f>
        <v>1457247.7141115514</v>
      </c>
      <c r="F44">
        <v>10</v>
      </c>
      <c r="G44">
        <v>400</v>
      </c>
      <c r="H44">
        <v>10</v>
      </c>
      <c r="I44">
        <v>400</v>
      </c>
    </row>
    <row r="45" spans="3:9">
      <c r="F45">
        <v>7</v>
      </c>
      <c r="G45">
        <f>G44/F44*F45</f>
        <v>280</v>
      </c>
      <c r="H45">
        <v>5</v>
      </c>
    </row>
  </sheetData>
  <mergeCells count="11">
    <mergeCell ref="D37:E37"/>
    <mergeCell ref="A1:L1"/>
    <mergeCell ref="A2:L2"/>
    <mergeCell ref="A3:L3"/>
    <mergeCell ref="A4:L4"/>
    <mergeCell ref="B7:G7"/>
    <mergeCell ref="D32:E32"/>
    <mergeCell ref="D33:E33"/>
    <mergeCell ref="D34:E34"/>
    <mergeCell ref="D35:E35"/>
    <mergeCell ref="D36:E36"/>
  </mergeCells>
  <phoneticPr fontId="12" type="noConversion"/>
  <pageMargins left="0.7" right="0.7" top="0.75" bottom="0.75" header="0.3" footer="0.3"/>
  <pageSetup paperSize="9" scale="80" orientation="landscape" verticalDpi="1200" r:id="rId1"/>
  <headerFooter>
    <oddFooter>&amp;LPrepared By:&amp;CChecked By:&amp;RApproved By:</oddFooter>
  </headerFooter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0"/>
  <sheetViews>
    <sheetView topLeftCell="A5" workbookViewId="0">
      <selection activeCell="I17" sqref="I17"/>
    </sheetView>
  </sheetViews>
  <sheetFormatPr defaultRowHeight="15"/>
  <cols>
    <col min="4" max="4" width="21.7109375" customWidth="1"/>
    <col min="7" max="7" width="9.140625" bestFit="1" customWidth="1"/>
  </cols>
  <sheetData>
    <row r="2" spans="2:11">
      <c r="B2" s="9">
        <v>297</v>
      </c>
      <c r="C2" s="79" t="s">
        <v>38</v>
      </c>
      <c r="D2" s="80"/>
      <c r="E2" s="80"/>
      <c r="F2" s="80"/>
      <c r="G2" s="80"/>
      <c r="H2" s="80"/>
      <c r="I2" s="80"/>
      <c r="J2" s="29"/>
      <c r="K2" s="29"/>
    </row>
    <row r="3" spans="2:11">
      <c r="B3" s="10" t="s">
        <v>39</v>
      </c>
      <c r="C3" s="81" t="s">
        <v>40</v>
      </c>
      <c r="D3" s="80"/>
      <c r="E3" s="80"/>
      <c r="F3" s="80"/>
      <c r="G3" s="80"/>
      <c r="H3" s="80"/>
      <c r="I3" s="80"/>
    </row>
    <row r="4" spans="2:11">
      <c r="C4" s="80" t="s">
        <v>41</v>
      </c>
      <c r="D4" s="80"/>
      <c r="E4" s="80"/>
      <c r="F4" s="80"/>
      <c r="G4" s="80"/>
      <c r="H4" s="80"/>
      <c r="I4" s="80"/>
    </row>
    <row r="5" spans="2:11">
      <c r="C5" s="80" t="s">
        <v>42</v>
      </c>
      <c r="D5" s="80"/>
      <c r="E5" s="80"/>
      <c r="F5" s="80"/>
      <c r="G5" s="80"/>
      <c r="H5" s="80"/>
      <c r="I5" s="80"/>
    </row>
    <row r="6" spans="2:11">
      <c r="C6" s="82" t="s">
        <v>43</v>
      </c>
      <c r="D6" s="82"/>
      <c r="E6" s="82"/>
      <c r="F6" s="82"/>
      <c r="G6" s="82"/>
      <c r="H6" s="82"/>
      <c r="I6" s="82"/>
    </row>
    <row r="7" spans="2:11" ht="63"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2" t="s">
        <v>49</v>
      </c>
      <c r="I7" s="12" t="s">
        <v>50</v>
      </c>
    </row>
    <row r="8" spans="2:11" ht="16.5">
      <c r="C8" s="76" t="s">
        <v>51</v>
      </c>
      <c r="D8" s="14" t="s">
        <v>52</v>
      </c>
      <c r="E8" s="28">
        <v>7</v>
      </c>
      <c r="F8" s="15" t="s">
        <v>53</v>
      </c>
      <c r="G8" s="16">
        <v>1245</v>
      </c>
      <c r="H8" s="28">
        <f t="shared" ref="H8:H14" si="0">FLOOR(E8*G8,0.01)</f>
        <v>8715</v>
      </c>
      <c r="I8" s="28"/>
    </row>
    <row r="9" spans="2:11" ht="16.5">
      <c r="C9" s="78"/>
      <c r="D9" s="17" t="s">
        <v>54</v>
      </c>
      <c r="E9" s="28">
        <v>5</v>
      </c>
      <c r="F9" s="18" t="s">
        <v>53</v>
      </c>
      <c r="G9" s="19">
        <v>935</v>
      </c>
      <c r="H9" s="28">
        <f t="shared" si="0"/>
        <v>4675</v>
      </c>
      <c r="I9" s="28">
        <f>SUM(H8+H9)</f>
        <v>13390</v>
      </c>
    </row>
    <row r="10" spans="2:11" ht="16.5">
      <c r="C10" s="76" t="s">
        <v>55</v>
      </c>
      <c r="D10" s="14" t="s">
        <v>56</v>
      </c>
      <c r="E10" s="28">
        <f>0*35.51</f>
        <v>0</v>
      </c>
      <c r="F10" s="15" t="s">
        <v>57</v>
      </c>
      <c r="G10" s="16">
        <v>93</v>
      </c>
      <c r="H10" s="28">
        <f t="shared" si="0"/>
        <v>0</v>
      </c>
      <c r="I10" s="28"/>
    </row>
    <row r="11" spans="2:11" ht="16.5">
      <c r="C11" s="77"/>
      <c r="D11" s="20" t="s">
        <v>58</v>
      </c>
      <c r="E11" s="28">
        <v>32.06</v>
      </c>
      <c r="F11" s="15" t="s">
        <v>57</v>
      </c>
      <c r="G11" s="21">
        <v>93</v>
      </c>
      <c r="H11" s="28">
        <f>FLOOR(E11*G11,0.01)</f>
        <v>2981.58</v>
      </c>
      <c r="I11" s="28"/>
    </row>
    <row r="12" spans="2:11" ht="16.5">
      <c r="C12" s="77"/>
      <c r="D12" s="20" t="s">
        <v>59</v>
      </c>
      <c r="E12" s="28">
        <v>25.19</v>
      </c>
      <c r="F12" s="15" t="s">
        <v>57</v>
      </c>
      <c r="G12" s="21">
        <v>93</v>
      </c>
      <c r="H12" s="28">
        <f t="shared" si="0"/>
        <v>2342.67</v>
      </c>
      <c r="I12" s="28"/>
    </row>
    <row r="13" spans="2:11" ht="28.5">
      <c r="C13" s="77"/>
      <c r="D13" s="22" t="s">
        <v>60</v>
      </c>
      <c r="E13" s="28">
        <f>0*14.76</f>
        <v>0</v>
      </c>
      <c r="F13" s="15" t="s">
        <v>57</v>
      </c>
      <c r="G13" s="21">
        <v>154</v>
      </c>
      <c r="H13" s="28">
        <f t="shared" si="0"/>
        <v>0</v>
      </c>
      <c r="I13" s="28"/>
    </row>
    <row r="14" spans="2:11" ht="28.5">
      <c r="C14" s="78"/>
      <c r="D14" s="22" t="s">
        <v>61</v>
      </c>
      <c r="E14" s="28">
        <v>10</v>
      </c>
      <c r="F14" s="18" t="s">
        <v>62</v>
      </c>
      <c r="G14" s="19">
        <v>613</v>
      </c>
      <c r="H14" s="28">
        <f t="shared" si="0"/>
        <v>6130</v>
      </c>
      <c r="I14" s="28">
        <f>SUM(H10:H14)</f>
        <v>11454.25</v>
      </c>
    </row>
    <row r="15" spans="2:11" ht="30">
      <c r="E15" s="27"/>
      <c r="G15" s="23" t="s">
        <v>63</v>
      </c>
      <c r="H15" s="28"/>
      <c r="I15" s="28">
        <f>I14*0.15</f>
        <v>1718.1375</v>
      </c>
    </row>
    <row r="16" spans="2:11" ht="16.5">
      <c r="G16" s="24" t="s">
        <v>64</v>
      </c>
      <c r="I16" s="28">
        <f>SUM(I9:I15)</f>
        <v>26562.387500000001</v>
      </c>
    </row>
    <row r="17" spans="3:9" ht="16.5">
      <c r="C17" s="11" t="s">
        <v>65</v>
      </c>
      <c r="G17" s="24" t="s">
        <v>66</v>
      </c>
      <c r="I17" s="28">
        <f>FLOOR(I16*0.15,0.01)</f>
        <v>3984.35</v>
      </c>
    </row>
    <row r="18" spans="3:9" ht="16.5">
      <c r="C18" s="25">
        <f>+I18</f>
        <v>30546.737499999999</v>
      </c>
      <c r="D18" s="13" t="s">
        <v>67</v>
      </c>
      <c r="E18" s="28">
        <f>FLOOR(C18/C19,0.01)</f>
        <v>3054.67</v>
      </c>
      <c r="F18" s="11" t="s">
        <v>68</v>
      </c>
      <c r="G18" s="24" t="s">
        <v>69</v>
      </c>
      <c r="I18" s="28">
        <f>SUM(I16:I17)</f>
        <v>30546.737499999999</v>
      </c>
    </row>
    <row r="19" spans="3:9">
      <c r="C19" s="26">
        <v>10</v>
      </c>
      <c r="E19" s="28"/>
      <c r="I19" s="28"/>
    </row>
    <row r="20" spans="3:9">
      <c r="I20" s="28"/>
    </row>
  </sheetData>
  <mergeCells count="7">
    <mergeCell ref="C10:C14"/>
    <mergeCell ref="C2:I2"/>
    <mergeCell ref="C3:I3"/>
    <mergeCell ref="C4:I4"/>
    <mergeCell ref="C5:I5"/>
    <mergeCell ref="C6:I6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estimate</vt:lpstr>
      <vt:lpstr>Sheet1</vt:lpstr>
      <vt:lpstr>estimate!Print_Area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2025-09-01T09:18:48Z</dcterms:modified>
</cp:coreProperties>
</file>