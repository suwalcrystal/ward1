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G:\2082_2083\बजेट माग estimate\JCB log\"/>
    </mc:Choice>
  </mc:AlternateContent>
  <xr:revisionPtr revIDLastSave="0" documentId="13_ncr:1_{84BC40CF-7596-47B9-B121-A170D6C54F51}" xr6:coauthVersionLast="47" xr6:coauthVersionMax="47" xr10:uidLastSave="{00000000-0000-0000-0000-000000000000}"/>
  <bookViews>
    <workbookView xWindow="-120" yWindow="-120" windowWidth="20730" windowHeight="11040" firstSheet="6" activeTab="21" xr2:uid="{00000000-000D-0000-FFFF-FFFF00000000}"/>
  </bookViews>
  <sheets>
    <sheet name="1" sheetId="2" r:id="rId1"/>
    <sheet name="2" sheetId="3" r:id="rId2"/>
    <sheet name="3" sheetId="4" r:id="rId3"/>
    <sheet name="4" sheetId="5" r:id="rId4"/>
    <sheet name="5" sheetId="6" r:id="rId5"/>
    <sheet name="6" sheetId="7" r:id="rId6"/>
    <sheet name="7" sheetId="8" r:id="rId7"/>
    <sheet name="8" sheetId="9" r:id="rId8"/>
    <sheet name="9" sheetId="10" r:id="rId9"/>
    <sheet name="10" sheetId="11" r:id="rId10"/>
    <sheet name="11" sheetId="12" r:id="rId11"/>
    <sheet name="12" sheetId="13" r:id="rId12"/>
    <sheet name="13" sheetId="14" r:id="rId13"/>
    <sheet name="14" sheetId="15" r:id="rId14"/>
    <sheet name="15" sheetId="16" r:id="rId15"/>
    <sheet name="16" sheetId="17" r:id="rId16"/>
    <sheet name="17" sheetId="18" r:id="rId17"/>
    <sheet name="18" sheetId="19" r:id="rId18"/>
    <sheet name="19" sheetId="20" r:id="rId19"/>
    <sheet name="20" sheetId="21" r:id="rId20"/>
    <sheet name="21" sheetId="22" r:id="rId21"/>
    <sheet name="22" sheetId="23" r:id="rId22"/>
  </sheets>
  <externalReferences>
    <externalReference r:id="rId23"/>
    <externalReference r:id="rId24"/>
    <externalReference r:id="rId25"/>
    <externalReference r:id="rId26"/>
    <externalReference r:id="rId27"/>
    <externalReference r:id="rId28"/>
  </externalReferences>
  <definedNames>
    <definedName name="adopted_rate_aggregate_10_20_mm">[1]District_Rate!$L$6</definedName>
    <definedName name="adopted_rate_aggregate_10_mm">[1]District_Rate!$L$7</definedName>
    <definedName name="adopted_rate_aggregate_20_40_mm">[1]District_Rate!$L$9</definedName>
    <definedName name="adopted_rate_binding_wire">[1]District_Rate!$L$17</definedName>
    <definedName name="adopted_rate_cement">[1]District_Rate!$L$25</definedName>
    <definedName name="adopted_rate_HYSD_bar">[1]District_Rate!$L$73</definedName>
    <definedName name="adopted_rate_sand">[1]District_Rate!$L$111</definedName>
    <definedName name="adopted_rate_water">[1]District_Rate!$L$129</definedName>
    <definedName name="concrete_mixer">[1]Equipment_Rate!$J$10</definedName>
    <definedName name="description_1">[2]Abstract!$B$167</definedName>
    <definedName name="description_124">[3]Abstract!$B$18</definedName>
    <definedName name="description_2">[2]Abstract!$B$168</definedName>
    <definedName name="description_261">[4]Abstract!$B$33</definedName>
    <definedName name="description_262">[5]Abstract!$B$34</definedName>
    <definedName name="description_3">[6]Abstract!$B$169</definedName>
    <definedName name="description_6">[2]Abstract!$B$172</definedName>
    <definedName name="description_784">[2]Abstract!$B$300</definedName>
    <definedName name="excavator">[1]Equipment_Rate!$J$19</definedName>
    <definedName name="generator">[1]Equipment_Rate!$J$20</definedName>
    <definedName name="_xlnm.Print_Area" localSheetId="0">'1'!$A$1:$H$34</definedName>
    <definedName name="_xlnm.Print_Area" localSheetId="9">'10'!$A$1:$H$34</definedName>
    <definedName name="_xlnm.Print_Area" localSheetId="10">'11'!$A$1:$H$34</definedName>
    <definedName name="_xlnm.Print_Area" localSheetId="11">'12'!$A$1:$H$34</definedName>
    <definedName name="_xlnm.Print_Area" localSheetId="12">'13'!$A$1:$H$34</definedName>
    <definedName name="_xlnm.Print_Area" localSheetId="13">'14'!$A$1:$H$34</definedName>
    <definedName name="_xlnm.Print_Area" localSheetId="14">'15'!$A$1:$H$34</definedName>
    <definedName name="_xlnm.Print_Area" localSheetId="15">'16'!$A$1:$H$34</definedName>
    <definedName name="_xlnm.Print_Area" localSheetId="16">'17'!$A$1:$H$34</definedName>
    <definedName name="_xlnm.Print_Area" localSheetId="17">'18'!$A$1:$H$34</definedName>
    <definedName name="_xlnm.Print_Area" localSheetId="18">'19'!$A$1:$H$34</definedName>
    <definedName name="_xlnm.Print_Area" localSheetId="1">'2'!$A$1:$H$34</definedName>
    <definedName name="_xlnm.Print_Area" localSheetId="19">'20'!$A$1:$H$34</definedName>
    <definedName name="_xlnm.Print_Area" localSheetId="20">'21'!$A$1:$H$34</definedName>
    <definedName name="_xlnm.Print_Area" localSheetId="21">'22'!$A$1:$H$34</definedName>
    <definedName name="_xlnm.Print_Area" localSheetId="2">'3'!$A$1:$H$34</definedName>
    <definedName name="_xlnm.Print_Area" localSheetId="3">'4'!$A$1:$H$34</definedName>
    <definedName name="_xlnm.Print_Area" localSheetId="4">'5'!$A$1:$H$34</definedName>
    <definedName name="_xlnm.Print_Area" localSheetId="5">'6'!$A$1:$H$34</definedName>
    <definedName name="_xlnm.Print_Area" localSheetId="6">'7'!$A$1:$H$34</definedName>
    <definedName name="_xlnm.Print_Area" localSheetId="7">'8'!$A$1:$H$34</definedName>
    <definedName name="_xlnm.Print_Area" localSheetId="8">'9'!$A$1:$H$34</definedName>
    <definedName name="_xlnm.Print_Titles" localSheetId="0">'1'!$1:$9</definedName>
    <definedName name="_xlnm.Print_Titles" localSheetId="9">'10'!$1:$9</definedName>
    <definedName name="_xlnm.Print_Titles" localSheetId="10">'11'!$1:$9</definedName>
    <definedName name="_xlnm.Print_Titles" localSheetId="11">'12'!$1:$9</definedName>
    <definedName name="_xlnm.Print_Titles" localSheetId="12">'13'!$1:$9</definedName>
    <definedName name="_xlnm.Print_Titles" localSheetId="13">'14'!$1:$9</definedName>
    <definedName name="_xlnm.Print_Titles" localSheetId="14">'15'!$1:$9</definedName>
    <definedName name="_xlnm.Print_Titles" localSheetId="15">'16'!$1:$9</definedName>
    <definedName name="_xlnm.Print_Titles" localSheetId="16">'17'!$1:$9</definedName>
    <definedName name="_xlnm.Print_Titles" localSheetId="17">'18'!$1:$9</definedName>
    <definedName name="_xlnm.Print_Titles" localSheetId="18">'19'!$1:$9</definedName>
    <definedName name="_xlnm.Print_Titles" localSheetId="1">'2'!$1:$9</definedName>
    <definedName name="_xlnm.Print_Titles" localSheetId="19">'20'!$1:$9</definedName>
    <definedName name="_xlnm.Print_Titles" localSheetId="20">'21'!$1:$9</definedName>
    <definedName name="_xlnm.Print_Titles" localSheetId="21">'22'!$1:$9</definedName>
    <definedName name="_xlnm.Print_Titles" localSheetId="2">'3'!$1:$9</definedName>
    <definedName name="_xlnm.Print_Titles" localSheetId="3">'4'!$1:$9</definedName>
    <definedName name="_xlnm.Print_Titles" localSheetId="4">'5'!$1:$9</definedName>
    <definedName name="_xlnm.Print_Titles" localSheetId="5">'6'!$1:$9</definedName>
    <definedName name="_xlnm.Print_Titles" localSheetId="6">'7'!$1:$9</definedName>
    <definedName name="_xlnm.Print_Titles" localSheetId="7">'8'!$1:$9</definedName>
    <definedName name="_xlnm.Print_Titles" localSheetId="8">'9'!$1:$9</definedName>
    <definedName name="skilled">[1]District_Rate!$D$148</definedName>
    <definedName name="skilled_blacksmith">[1]District_Rate!$D$149</definedName>
    <definedName name="unskilled">[1]District_Rate!$D$156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0" i="23" l="1"/>
  <c r="E10" i="23"/>
  <c r="G10" i="23" s="1"/>
  <c r="G11" i="23" s="1"/>
  <c r="G13" i="23" s="1"/>
  <c r="E40" i="22"/>
  <c r="E10" i="22"/>
  <c r="G10" i="22" s="1"/>
  <c r="G11" i="22" s="1"/>
  <c r="G13" i="22" s="1"/>
  <c r="E40" i="21"/>
  <c r="E10" i="21"/>
  <c r="G10" i="21" s="1"/>
  <c r="G11" i="21" s="1"/>
  <c r="G13" i="21" s="1"/>
  <c r="E40" i="20"/>
  <c r="E10" i="20"/>
  <c r="G10" i="20" s="1"/>
  <c r="G11" i="20" s="1"/>
  <c r="G13" i="20" s="1"/>
  <c r="E40" i="19"/>
  <c r="E10" i="19"/>
  <c r="G10" i="19" s="1"/>
  <c r="G11" i="19" s="1"/>
  <c r="G13" i="19" s="1"/>
  <c r="E40" i="18"/>
  <c r="E10" i="18"/>
  <c r="G10" i="18" s="1"/>
  <c r="G11" i="18" s="1"/>
  <c r="G13" i="18" s="1"/>
  <c r="E40" i="17"/>
  <c r="E10" i="17"/>
  <c r="G10" i="17" s="1"/>
  <c r="G11" i="17" s="1"/>
  <c r="G13" i="17" s="1"/>
  <c r="E40" i="16"/>
  <c r="E10" i="16"/>
  <c r="G10" i="16" s="1"/>
  <c r="G11" i="16" s="1"/>
  <c r="G13" i="16" s="1"/>
  <c r="E40" i="15"/>
  <c r="E10" i="15"/>
  <c r="G10" i="15" s="1"/>
  <c r="G11" i="15" s="1"/>
  <c r="G13" i="15" s="1"/>
  <c r="E40" i="14"/>
  <c r="E10" i="14"/>
  <c r="G10" i="14" s="1"/>
  <c r="G11" i="14" s="1"/>
  <c r="G13" i="14" s="1"/>
  <c r="E40" i="13"/>
  <c r="E10" i="13"/>
  <c r="G10" i="13" s="1"/>
  <c r="G11" i="13" s="1"/>
  <c r="G13" i="13" s="1"/>
  <c r="E40" i="12"/>
  <c r="E10" i="12"/>
  <c r="G10" i="12" s="1"/>
  <c r="G11" i="12" s="1"/>
  <c r="G13" i="12" s="1"/>
  <c r="E40" i="11"/>
  <c r="E10" i="11"/>
  <c r="G10" i="11" s="1"/>
  <c r="G11" i="11" s="1"/>
  <c r="G13" i="11" s="1"/>
  <c r="E40" i="10"/>
  <c r="E10" i="10"/>
  <c r="G10" i="10" s="1"/>
  <c r="G11" i="10" s="1"/>
  <c r="G13" i="10" s="1"/>
  <c r="E40" i="9"/>
  <c r="E10" i="9"/>
  <c r="G10" i="9" s="1"/>
  <c r="G11" i="9" s="1"/>
  <c r="G13" i="9" s="1"/>
  <c r="G14" i="23" l="1"/>
  <c r="G15" i="23" s="1"/>
  <c r="G14" i="22"/>
  <c r="G15" i="22" s="1"/>
  <c r="G14" i="21"/>
  <c r="G15" i="21" s="1"/>
  <c r="G14" i="20"/>
  <c r="G15" i="20" s="1"/>
  <c r="G14" i="19"/>
  <c r="G15" i="19" s="1"/>
  <c r="G14" i="18"/>
  <c r="G15" i="18" s="1"/>
  <c r="G14" i="17"/>
  <c r="G15" i="17" s="1"/>
  <c r="G14" i="16"/>
  <c r="G15" i="16" s="1"/>
  <c r="G14" i="15"/>
  <c r="G15" i="15" s="1"/>
  <c r="G14" i="14"/>
  <c r="G15" i="14" s="1"/>
  <c r="G14" i="13"/>
  <c r="G15" i="13" s="1"/>
  <c r="G14" i="12"/>
  <c r="G15" i="12" s="1"/>
  <c r="G14" i="11"/>
  <c r="G15" i="11" s="1"/>
  <c r="G14" i="10"/>
  <c r="G15" i="10" s="1"/>
  <c r="G14" i="9"/>
  <c r="G15" i="9" s="1"/>
  <c r="E40" i="8"/>
  <c r="E10" i="8"/>
  <c r="G10" i="8" s="1"/>
  <c r="G11" i="8" s="1"/>
  <c r="G13" i="8" s="1"/>
  <c r="E40" i="7"/>
  <c r="E10" i="7"/>
  <c r="G10" i="7" s="1"/>
  <c r="G11" i="7" s="1"/>
  <c r="G13" i="7" s="1"/>
  <c r="E40" i="6"/>
  <c r="E10" i="6"/>
  <c r="G10" i="6" s="1"/>
  <c r="G11" i="6" s="1"/>
  <c r="G13" i="6" s="1"/>
  <c r="E40" i="5"/>
  <c r="E10" i="5"/>
  <c r="G10" i="5" s="1"/>
  <c r="G11" i="5" s="1"/>
  <c r="G13" i="5" s="1"/>
  <c r="E40" i="4"/>
  <c r="E10" i="4"/>
  <c r="G10" i="4" s="1"/>
  <c r="G11" i="4" s="1"/>
  <c r="G13" i="4" s="1"/>
  <c r="E40" i="3"/>
  <c r="E10" i="3"/>
  <c r="G10" i="3" s="1"/>
  <c r="G11" i="3" s="1"/>
  <c r="G13" i="3" s="1"/>
  <c r="E40" i="2"/>
  <c r="E10" i="2"/>
  <c r="G10" i="2" s="1"/>
  <c r="G11" i="2" s="1"/>
  <c r="G13" i="2" s="1"/>
  <c r="G14" i="2" s="1"/>
  <c r="G14" i="8" l="1"/>
  <c r="G15" i="8" s="1"/>
  <c r="G14" i="7"/>
  <c r="G15" i="7" s="1"/>
  <c r="G14" i="6"/>
  <c r="G15" i="6" s="1"/>
  <c r="G14" i="5"/>
  <c r="G15" i="5" s="1"/>
  <c r="G14" i="4"/>
  <c r="G15" i="4" s="1"/>
  <c r="G14" i="3"/>
  <c r="G15" i="3" s="1"/>
  <c r="G15" i="2"/>
</calcChain>
</file>

<file path=xl/sharedStrings.xml><?xml version="1.0" encoding="utf-8"?>
<sst xmlns="http://schemas.openxmlformats.org/spreadsheetml/2006/main" count="792" uniqueCount="48">
  <si>
    <t>शंखरापुर नगरपालिका</t>
  </si>
  <si>
    <t>नगर कार्यपालिकाको कार्यालय</t>
  </si>
  <si>
    <t>साँखु, काठमाण्डौ।</t>
  </si>
  <si>
    <t xml:space="preserve"> लग सिट</t>
  </si>
  <si>
    <t xml:space="preserve">फर्म्/व्यक्तिको नाम : </t>
  </si>
  <si>
    <t xml:space="preserve">काम गरेको स्थान : नाङ्गलेभारे  - १, काठमाण्डौ  </t>
  </si>
  <si>
    <t xml:space="preserve">काम गरेको वडा: नाङ्गलेभारे  - १, काठमाण्डौ  </t>
  </si>
  <si>
    <t>सि. न</t>
  </si>
  <si>
    <t xml:space="preserve">काम गरेको मिति </t>
  </si>
  <si>
    <t>सुरु घण्टा मिटर (क)</t>
  </si>
  <si>
    <t>समाप्त घण्टा मिटर (ख)</t>
  </si>
  <si>
    <t>लागेको समय ग (ख-क) घण्टा</t>
  </si>
  <si>
    <t>दर (रुपैया)</t>
  </si>
  <si>
    <t>जम्मा (रुपैया)</t>
  </si>
  <si>
    <t>कैफियत</t>
  </si>
  <si>
    <t>कुल</t>
  </si>
  <si>
    <t>.......... प्रतिशत छुट</t>
  </si>
  <si>
    <t>कर लाग्ने रकम</t>
  </si>
  <si>
    <t xml:space="preserve">१३ % प्रतिशत </t>
  </si>
  <si>
    <t>कुल जम्मा रकम</t>
  </si>
  <si>
    <t>................................</t>
  </si>
  <si>
    <t>............................</t>
  </si>
  <si>
    <t>अपरेटरको नाम र सहि</t>
  </si>
  <si>
    <t>स्थानीय  साक्षिको  नाम र सहि</t>
  </si>
  <si>
    <t>...............................</t>
  </si>
  <si>
    <t>वडा सदस्यको सहि</t>
  </si>
  <si>
    <t>वडा अधक्ष्यको सहि</t>
  </si>
  <si>
    <t xml:space="preserve">Backhoe per hour </t>
  </si>
  <si>
    <t>Rs 2198</t>
  </si>
  <si>
    <t>without vat</t>
  </si>
  <si>
    <t>excavator per hour</t>
  </si>
  <si>
    <t>Rs 3214</t>
  </si>
  <si>
    <t>af6f] ;kmf u/]sf] ;Nn]sf] af6f]</t>
  </si>
  <si>
    <t>;Nn] nfdfv]t af6f] ;kmf u/]sf]</t>
  </si>
  <si>
    <t>rf}ls eGHofªdf Xo'd kfOk /fv]sf]</t>
  </si>
  <si>
    <t>l;kfxL6f]nsf] af6f] ;kmf u/]sf]</t>
  </si>
  <si>
    <t>9'+ufgf ufpF hfg] af6f] ;kmf u/]sf]</t>
  </si>
  <si>
    <r>
      <t xml:space="preserve"> ढकालगाउँ जाने बाटो </t>
    </r>
    <r>
      <rPr>
        <sz val="12"/>
        <color theme="1"/>
        <rFont val="Preeti"/>
      </rPr>
      <t>;kmf u/]sf]</t>
    </r>
  </si>
  <si>
    <t>9sfn ufpFaf6 yfnLv]t gofF af6f] vg]sf]</t>
  </si>
  <si>
    <t>af6f] ;kmf u/]sf]</t>
  </si>
  <si>
    <t>k+rkfn] hfg] af6f] ;kmf u/]sf]</t>
  </si>
  <si>
    <t>s'nf]sf] afFw agfPsf]</t>
  </si>
  <si>
    <t>k+rkfn]df s'nf]sf] afFw agfPsf]</t>
  </si>
  <si>
    <t>k+rkfn]df af6f] ;kmf tyf gfnL agfPsf]</t>
  </si>
  <si>
    <t>g]jf/6f]n eGHofª ;8s ;kmf / gfnL agfPsf]</t>
  </si>
  <si>
    <t>kfª\u|]jf;df e}+;L k'/]sf]</t>
  </si>
  <si>
    <t>9'+ufgfa];Ldf v]tsf] u|fa]n x6fPsf]</t>
  </si>
  <si>
    <t>9'+ufgfufp+df s'nf] / af6f] ;kmf u/]sf]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</si>
</sst>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00439]0"/>
    <numFmt numFmtId="165" formatCode="yyyy/mm/dd"/>
    <numFmt numFmtId="166" formatCode="[$-4000439]0.#"/>
  </numFmts>
  <fonts count="13" x14ac:knownFonts="1">
    <font>
      <sz val="11"/>
      <color theme="1"/>
      <name val="Calibri"/>
      <family val="2"/>
      <scheme val="minor"/>
    </font>
    <font>
      <b/>
      <sz val="36"/>
      <color theme="1"/>
      <name val="Times New Roman"/>
      <family val="1"/>
    </font>
    <font>
      <sz val="12"/>
      <color theme="1"/>
      <name val="Times New Roman"/>
      <family val="1"/>
    </font>
    <font>
      <b/>
      <sz val="22"/>
      <color theme="1"/>
      <name val="Times New Roman"/>
      <family val="1"/>
    </font>
    <font>
      <b/>
      <sz val="12"/>
      <color theme="1"/>
      <name val="Kalimati"/>
      <charset val="1"/>
    </font>
    <font>
      <b/>
      <sz val="28"/>
      <color theme="1"/>
      <name val="Times New Roman"/>
      <family val="1"/>
    </font>
    <font>
      <b/>
      <sz val="16"/>
      <color theme="1"/>
      <name val="Times New Roman"/>
      <family val="1"/>
    </font>
    <font>
      <sz val="12"/>
      <color theme="1"/>
      <name val="Kalimati"/>
      <charset val="1"/>
    </font>
    <font>
      <sz val="16"/>
      <color theme="1"/>
      <name val="Times New Roman"/>
      <family val="1"/>
    </font>
    <font>
      <b/>
      <sz val="11"/>
      <color theme="1"/>
      <name val="Kalimati"/>
      <charset val="1"/>
    </font>
    <font>
      <b/>
      <sz val="14"/>
      <color theme="1"/>
      <name val="Times New Roman"/>
      <family val="1"/>
    </font>
    <font>
      <sz val="14"/>
      <color theme="1"/>
      <name val="Times New Roman"/>
      <family val="1"/>
    </font>
    <font>
      <sz val="12"/>
      <color theme="1"/>
      <name val="Preeti"/>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2" fillId="0" borderId="0" xfId="0" applyFont="1"/>
    <xf numFmtId="0" fontId="4" fillId="0" borderId="0" xfId="0" applyFont="1"/>
    <xf numFmtId="0" fontId="5" fillId="0" borderId="0" xfId="0" applyFont="1" applyAlignment="1">
      <alignment horizontal="center"/>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2" fillId="0" borderId="0" xfId="0" applyFont="1" applyAlignment="1">
      <alignment vertical="center"/>
    </xf>
    <xf numFmtId="164" fontId="7" fillId="3" borderId="1" xfId="0" applyNumberFormat="1" applyFont="1" applyFill="1" applyBorder="1" applyAlignment="1">
      <alignment horizontal="left" vertical="center"/>
    </xf>
    <xf numFmtId="165" fontId="2" fillId="3" borderId="1" xfId="0" applyNumberFormat="1" applyFont="1" applyFill="1" applyBorder="1" applyAlignment="1">
      <alignment horizontal="left" vertical="center"/>
    </xf>
    <xf numFmtId="166" fontId="8" fillId="0" borderId="1" xfId="0" applyNumberFormat="1" applyFont="1" applyBorder="1" applyAlignment="1">
      <alignment horizontal="left" vertical="center" wrapText="1"/>
    </xf>
    <xf numFmtId="166" fontId="8" fillId="3" borderId="1" xfId="0" applyNumberFormat="1" applyFont="1" applyFill="1" applyBorder="1" applyAlignment="1">
      <alignment horizontal="left" vertical="center"/>
    </xf>
    <xf numFmtId="164" fontId="8" fillId="3" borderId="1" xfId="0" applyNumberFormat="1" applyFont="1" applyFill="1" applyBorder="1" applyAlignment="1">
      <alignment horizontal="left" vertical="center"/>
    </xf>
    <xf numFmtId="0" fontId="2" fillId="3" borderId="1" xfId="0" applyFont="1" applyFill="1" applyBorder="1" applyAlignment="1">
      <alignment horizontal="left" vertical="center"/>
    </xf>
    <xf numFmtId="164" fontId="8" fillId="3" borderId="0" xfId="0" applyNumberFormat="1" applyFont="1" applyFill="1" applyAlignment="1">
      <alignment horizontal="left" vertical="center"/>
    </xf>
    <xf numFmtId="0" fontId="2" fillId="3" borderId="1" xfId="0" applyFont="1" applyFill="1" applyBorder="1" applyAlignment="1">
      <alignment horizontal="left" vertical="center" wrapText="1"/>
    </xf>
    <xf numFmtId="0" fontId="9" fillId="0" borderId="1" xfId="0" applyFont="1" applyBorder="1" applyAlignment="1">
      <alignment horizontal="left" vertical="center"/>
    </xf>
    <xf numFmtId="0" fontId="2" fillId="0" borderId="1" xfId="0" applyFont="1" applyBorder="1"/>
    <xf numFmtId="0" fontId="2" fillId="3" borderId="0" xfId="0" applyFont="1" applyFill="1" applyAlignment="1">
      <alignment horizontal="left" vertical="center"/>
    </xf>
    <xf numFmtId="0" fontId="2" fillId="3" borderId="0" xfId="0" applyFont="1" applyFill="1" applyAlignment="1">
      <alignment horizontal="left" vertical="center" wrapText="1"/>
    </xf>
    <xf numFmtId="0" fontId="9" fillId="0" borderId="0" xfId="0" applyFont="1" applyAlignment="1">
      <alignment horizontal="left" vertical="center"/>
    </xf>
    <xf numFmtId="2" fontId="2" fillId="3" borderId="0" xfId="0" applyNumberFormat="1" applyFont="1" applyFill="1" applyAlignment="1">
      <alignment horizontal="left" vertical="center"/>
    </xf>
    <xf numFmtId="0" fontId="8" fillId="0" borderId="0" xfId="0" applyFont="1"/>
    <xf numFmtId="0" fontId="6" fillId="0" borderId="0" xfId="0" applyFont="1"/>
    <xf numFmtId="0" fontId="10" fillId="0" borderId="0" xfId="0" applyFont="1"/>
    <xf numFmtId="0" fontId="11" fillId="0" borderId="0" xfId="0" applyFont="1"/>
    <xf numFmtId="0" fontId="12" fillId="3" borderId="1" xfId="0" applyFont="1" applyFill="1" applyBorder="1" applyAlignment="1">
      <alignment horizontal="left" vertical="center"/>
    </xf>
    <xf numFmtId="43" fontId="2" fillId="3" borderId="1" xfId="0" applyNumberFormat="1" applyFont="1" applyFill="1" applyBorder="1" applyAlignment="1">
      <alignment horizontal="left" vertical="center"/>
    </xf>
    <xf numFmtId="0" fontId="1" fillId="0" borderId="0" xfId="0" applyFont="1" applyAlignment="1">
      <alignment horizontal="center"/>
    </xf>
    <xf numFmtId="0" fontId="3" fillId="0" borderId="0" xfId="0" applyFont="1" applyAlignment="1">
      <alignment horizontal="center"/>
    </xf>
    <xf numFmtId="0" fontId="5"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ward%20office%20aayojana%202\For-all-Road-rate-analysis-80-81-shankharapu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080-081\ward%20office%20aayojana\For-all-Road-rate-analysis-80-81-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079-080\Road-rate-analysis-079-80-shankharapur-as-per-dor-norms-nnnn.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81-082\For-all-Road-rate-analysis-81-82-shankharapur-as-per-dor-norm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081-082\ofc\For-all-Road-rate-analysis-81-82-shankharapur-as-per-dor-nor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sheetData sheetId="2"/>
      <sheetData sheetId="3">
        <row r="6">
          <cell r="L6">
            <v>3598.56</v>
          </cell>
        </row>
        <row r="7">
          <cell r="L7">
            <v>3104.6400000000003</v>
          </cell>
        </row>
        <row r="9">
          <cell r="L9">
            <v>3457.44</v>
          </cell>
        </row>
        <row r="17">
          <cell r="L17">
            <v>106</v>
          </cell>
        </row>
        <row r="25">
          <cell r="L25">
            <v>14231</v>
          </cell>
        </row>
        <row r="73">
          <cell r="L73">
            <v>99000</v>
          </cell>
        </row>
        <row r="111">
          <cell r="L111">
            <v>2504.88</v>
          </cell>
        </row>
        <row r="129">
          <cell r="L129">
            <v>310</v>
          </cell>
        </row>
        <row r="148">
          <cell r="D148">
            <v>1200</v>
          </cell>
        </row>
        <row r="149">
          <cell r="D149">
            <v>1200</v>
          </cell>
        </row>
        <row r="156">
          <cell r="D156">
            <v>900</v>
          </cell>
        </row>
      </sheetData>
      <sheetData sheetId="4">
        <row r="10">
          <cell r="J10">
            <v>293</v>
          </cell>
        </row>
        <row r="19">
          <cell r="J19">
            <v>3071</v>
          </cell>
        </row>
        <row r="20">
          <cell r="J20">
            <v>841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7">
          <cell r="B167" t="str">
            <v>Providing and laying of Plain Cement Concrete M 10 ( or 1:3:6 for nominal mix) in Foundation complete as per Drawing and Technical Specifications.</v>
          </cell>
        </row>
        <row r="168">
          <cell r="B168" t="str">
            <v>Providing and laying of Plain Cement Concrete M 10 ( or 1:3:6 for nominal mix) in Foundation complete as per Drawing and Technical Specifications., Manual Mixing</v>
          </cell>
        </row>
        <row r="172">
          <cell r="B172" t="str">
            <v>Providing and laying of Plain/Reinforced Cement Concrete in Foundation complete as per Drawing and Technical Specifications., RCC Grade M 20</v>
          </cell>
        </row>
        <row r="300">
          <cell r="B300" t="str">
            <v>Random Rubble Masonry, Providing and laying of Stone Masonry Work in Cement Mortar 1:6 in Foundation complete as per Drawing and Technical Specifications., Using Concrete Mixer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18">
          <cell r="B18" t="str">
            <v>Dismantling of existing structures like culverts, bridges, retaining walls and other structure comprising of masonry, cement concrete, wood work, steel work, including scaffolding wherever necessary, sorting the dismantled Material, disposal of unserviceable Material and stacking the serviceable Material with all lifts and lead of 1000 meters, Dismantling Brick / Tile work, In cement mortar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169">
          <cell r="B169" t="str">
            <v>Providing and laying of Plain/Reinforced Cement Concrete in Foundation complete as per Drawing and Technical Specifications, PCC Grade M 15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7F4B5-9B5A-4402-A56B-3283E8C8218B}">
  <dimension ref="A1:J40"/>
  <sheetViews>
    <sheetView view="pageBreakPreview" topLeftCell="A4" zoomScaleNormal="100" zoomScaleSheetLayoutView="100" workbookViewId="0">
      <selection activeCell="F10" sqref="F10"/>
    </sheetView>
  </sheetViews>
  <sheetFormatPr defaultColWidth="9.140625" defaultRowHeight="15.75" x14ac:dyDescent="0.25"/>
  <cols>
    <col min="1" max="1" width="7" style="1" customWidth="1"/>
    <col min="2" max="2" width="24.7109375" style="1" customWidth="1"/>
    <col min="3" max="3" width="21.5703125" style="1" customWidth="1"/>
    <col min="4" max="4" width="23.28515625" style="1" customWidth="1"/>
    <col min="5" max="5" width="28.140625" style="1" customWidth="1"/>
    <col min="6" max="6" width="11.140625" style="1" customWidth="1"/>
    <col min="7" max="7" width="18.85546875" style="1" customWidth="1"/>
    <col min="8" max="8" width="30.5703125" style="1" customWidth="1"/>
    <col min="9" max="16384" width="9.140625" style="1"/>
  </cols>
  <sheetData>
    <row r="1" spans="1:10" ht="39.75" customHeight="1" x14ac:dyDescent="0.6">
      <c r="A1" s="27" t="s">
        <v>0</v>
      </c>
      <c r="B1" s="27"/>
      <c r="C1" s="27"/>
      <c r="D1" s="27"/>
      <c r="E1" s="27"/>
      <c r="F1" s="27"/>
      <c r="G1" s="27"/>
      <c r="H1" s="27"/>
    </row>
    <row r="2" spans="1:10" ht="23.25" customHeight="1" x14ac:dyDescent="0.35">
      <c r="A2" s="28" t="s">
        <v>1</v>
      </c>
      <c r="B2" s="28"/>
      <c r="C2" s="28"/>
      <c r="D2" s="28"/>
      <c r="E2" s="28"/>
      <c r="F2" s="28"/>
      <c r="G2" s="28"/>
      <c r="H2" s="28"/>
    </row>
    <row r="3" spans="1:10" ht="23.25" customHeight="1" x14ac:dyDescent="0.35">
      <c r="A3" s="28" t="s">
        <v>2</v>
      </c>
      <c r="B3" s="28"/>
      <c r="C3" s="28"/>
      <c r="D3" s="28"/>
      <c r="E3" s="28"/>
      <c r="F3" s="28"/>
      <c r="G3" s="28"/>
      <c r="H3" s="28"/>
    </row>
    <row r="4" spans="1:10" ht="12.75" customHeight="1" x14ac:dyDescent="0.6">
      <c r="A4" s="2"/>
      <c r="B4" s="2"/>
      <c r="C4" s="2"/>
      <c r="D4" s="3"/>
      <c r="E4" s="3"/>
      <c r="F4" s="3"/>
      <c r="G4" s="3"/>
      <c r="H4" s="3"/>
    </row>
    <row r="5" spans="1:10" ht="28.5" customHeight="1" x14ac:dyDescent="0.45">
      <c r="A5" s="29" t="s">
        <v>3</v>
      </c>
      <c r="B5" s="29"/>
      <c r="C5" s="29"/>
      <c r="D5" s="29"/>
      <c r="E5" s="29"/>
      <c r="F5" s="29"/>
      <c r="G5" s="29"/>
      <c r="H5" s="29"/>
    </row>
    <row r="6" spans="1:10" ht="21" customHeight="1" x14ac:dyDescent="0.6">
      <c r="A6" s="2" t="s">
        <v>4</v>
      </c>
      <c r="B6" s="2"/>
      <c r="C6" s="2"/>
      <c r="D6" s="3"/>
      <c r="E6" s="3"/>
      <c r="F6" s="3"/>
      <c r="G6" s="3"/>
      <c r="H6" s="3"/>
    </row>
    <row r="7" spans="1:10" ht="21" customHeight="1" x14ac:dyDescent="0.6">
      <c r="A7" s="2" t="s">
        <v>5</v>
      </c>
      <c r="B7" s="2"/>
      <c r="C7" s="2"/>
      <c r="D7" s="3"/>
      <c r="E7" s="3"/>
      <c r="F7" s="3"/>
      <c r="G7" s="3"/>
      <c r="H7" s="3"/>
    </row>
    <row r="8" spans="1:10" ht="21" customHeight="1" x14ac:dyDescent="0.6">
      <c r="A8" s="2" t="s">
        <v>6</v>
      </c>
      <c r="B8" s="2"/>
      <c r="C8" s="2"/>
      <c r="D8" s="3"/>
      <c r="E8" s="3"/>
      <c r="F8" s="3"/>
      <c r="G8" s="3"/>
      <c r="H8" s="3"/>
    </row>
    <row r="9" spans="1:10" s="6" customFormat="1" ht="40.5" x14ac:dyDescent="0.25">
      <c r="A9" s="4" t="s">
        <v>7</v>
      </c>
      <c r="B9" s="4" t="s">
        <v>8</v>
      </c>
      <c r="C9" s="5" t="s">
        <v>9</v>
      </c>
      <c r="D9" s="5" t="s">
        <v>10</v>
      </c>
      <c r="E9" s="5" t="s">
        <v>11</v>
      </c>
      <c r="F9" s="5" t="s">
        <v>12</v>
      </c>
      <c r="G9" s="5" t="s">
        <v>13</v>
      </c>
      <c r="H9" s="4" t="s">
        <v>14</v>
      </c>
    </row>
    <row r="10" spans="1:10" ht="24" x14ac:dyDescent="0.25">
      <c r="A10" s="7">
        <v>1</v>
      </c>
      <c r="B10" s="8">
        <v>66812</v>
      </c>
      <c r="C10" s="9">
        <v>872.5</v>
      </c>
      <c r="D10" s="10">
        <v>884</v>
      </c>
      <c r="E10" s="10">
        <f t="shared" ref="E10" si="0">D10-C10</f>
        <v>11.5</v>
      </c>
      <c r="F10" s="11">
        <v>2137</v>
      </c>
      <c r="G10" s="26">
        <f t="shared" ref="G10" si="1">F10*E10</f>
        <v>24575.5</v>
      </c>
      <c r="H10" s="25" t="s">
        <v>32</v>
      </c>
      <c r="J10" s="13"/>
    </row>
    <row r="11" spans="1:10" ht="23.25" x14ac:dyDescent="0.25">
      <c r="A11" s="12"/>
      <c r="B11" s="12"/>
      <c r="C11" s="14"/>
      <c r="D11" s="12"/>
      <c r="E11" s="15" t="s">
        <v>15</v>
      </c>
      <c r="F11" s="16"/>
      <c r="G11" s="26">
        <f>SUM(G10:G10)</f>
        <v>24575.5</v>
      </c>
      <c r="H11" s="14"/>
    </row>
    <row r="12" spans="1:10" ht="23.25" x14ac:dyDescent="0.25">
      <c r="A12" s="12"/>
      <c r="B12" s="12"/>
      <c r="C12" s="14"/>
      <c r="D12" s="12"/>
      <c r="E12" s="15" t="s">
        <v>16</v>
      </c>
      <c r="F12" s="16"/>
      <c r="G12" s="26"/>
      <c r="H12" s="14"/>
    </row>
    <row r="13" spans="1:10" ht="23.25" x14ac:dyDescent="0.25">
      <c r="A13" s="12"/>
      <c r="B13" s="12"/>
      <c r="C13" s="14"/>
      <c r="D13" s="12"/>
      <c r="E13" s="15" t="s">
        <v>17</v>
      </c>
      <c r="F13" s="16"/>
      <c r="G13" s="26">
        <f>G11</f>
        <v>24575.5</v>
      </c>
      <c r="H13" s="14"/>
    </row>
    <row r="14" spans="1:10" ht="23.25" x14ac:dyDescent="0.25">
      <c r="A14" s="12"/>
      <c r="B14" s="12"/>
      <c r="C14" s="14"/>
      <c r="D14" s="12"/>
      <c r="E14" s="15" t="s">
        <v>18</v>
      </c>
      <c r="F14" s="16"/>
      <c r="G14" s="26">
        <f>0.13*G13</f>
        <v>3194.8150000000001</v>
      </c>
      <c r="H14" s="14"/>
    </row>
    <row r="15" spans="1:10" ht="23.25" x14ac:dyDescent="0.25">
      <c r="A15" s="12"/>
      <c r="B15" s="12"/>
      <c r="C15" s="14"/>
      <c r="D15" s="12"/>
      <c r="E15" s="15" t="s">
        <v>19</v>
      </c>
      <c r="F15" s="16"/>
      <c r="G15" s="26">
        <f>SUM(G13:G14)</f>
        <v>27770.314999999999</v>
      </c>
      <c r="H15" s="14"/>
    </row>
    <row r="16" spans="1:10" ht="23.25" x14ac:dyDescent="0.25">
      <c r="A16" s="17"/>
      <c r="B16" s="17"/>
      <c r="C16" s="18"/>
      <c r="D16" s="17"/>
      <c r="E16" s="19"/>
      <c r="G16" s="20"/>
      <c r="H16" s="18"/>
    </row>
    <row r="23" spans="2:8" ht="20.25" x14ac:dyDescent="0.3">
      <c r="B23" s="21" t="s">
        <v>20</v>
      </c>
      <c r="E23" s="21" t="s">
        <v>21</v>
      </c>
      <c r="H23" s="21" t="s">
        <v>21</v>
      </c>
    </row>
    <row r="24" spans="2:8" ht="20.25" x14ac:dyDescent="0.3">
      <c r="B24" s="22"/>
      <c r="E24" s="22"/>
      <c r="H24" s="22"/>
    </row>
    <row r="25" spans="2:8" ht="18.75" x14ac:dyDescent="0.3">
      <c r="B25" s="23" t="s">
        <v>22</v>
      </c>
      <c r="E25" s="23" t="s">
        <v>23</v>
      </c>
      <c r="H25" s="23" t="s">
        <v>23</v>
      </c>
    </row>
    <row r="32" spans="2:8" ht="20.25" x14ac:dyDescent="0.3">
      <c r="C32" s="21" t="s">
        <v>21</v>
      </c>
      <c r="F32" s="21" t="s">
        <v>24</v>
      </c>
    </row>
    <row r="33" spans="3:6" ht="20.25" x14ac:dyDescent="0.3">
      <c r="C33" s="22"/>
      <c r="F33" s="22"/>
    </row>
    <row r="34" spans="3:6" ht="18.75" x14ac:dyDescent="0.3">
      <c r="C34" s="23" t="s">
        <v>25</v>
      </c>
      <c r="D34" s="24"/>
      <c r="F34" s="23" t="s">
        <v>26</v>
      </c>
    </row>
    <row r="39" spans="3:6" x14ac:dyDescent="0.25">
      <c r="C39" s="1" t="s">
        <v>27</v>
      </c>
      <c r="D39" s="1" t="s">
        <v>28</v>
      </c>
      <c r="E39" s="1" t="s">
        <v>29</v>
      </c>
    </row>
    <row r="40" spans="3:6" x14ac:dyDescent="0.25">
      <c r="C40" s="1" t="s">
        <v>30</v>
      </c>
      <c r="D40" s="1" t="s">
        <v>31</v>
      </c>
      <c r="E40" s="1"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D43A0-F260-41B7-8360-39D3EDA9755C}">
  <dimension ref="A1:J40"/>
  <sheetViews>
    <sheetView view="pageBreakPreview" topLeftCell="A4" zoomScaleNormal="100" zoomScaleSheetLayoutView="100" workbookViewId="0">
      <selection activeCell="F10" sqref="F10"/>
    </sheetView>
  </sheetViews>
  <sheetFormatPr defaultColWidth="9.140625" defaultRowHeight="15.75" x14ac:dyDescent="0.25"/>
  <cols>
    <col min="1" max="1" width="7" style="1" customWidth="1"/>
    <col min="2" max="2" width="24.7109375" style="1" customWidth="1"/>
    <col min="3" max="3" width="21.5703125" style="1" customWidth="1"/>
    <col min="4" max="4" width="23.28515625" style="1" customWidth="1"/>
    <col min="5" max="5" width="28.140625" style="1" customWidth="1"/>
    <col min="6" max="6" width="11.140625" style="1" customWidth="1"/>
    <col min="7" max="7" width="18.85546875" style="1" customWidth="1"/>
    <col min="8" max="8" width="30.5703125" style="1" customWidth="1"/>
    <col min="9" max="16384" width="9.140625" style="1"/>
  </cols>
  <sheetData>
    <row r="1" spans="1:10" ht="39.75" customHeight="1" x14ac:dyDescent="0.6">
      <c r="A1" s="27" t="s">
        <v>0</v>
      </c>
      <c r="B1" s="27"/>
      <c r="C1" s="27"/>
      <c r="D1" s="27"/>
      <c r="E1" s="27"/>
      <c r="F1" s="27"/>
      <c r="G1" s="27"/>
      <c r="H1" s="27"/>
    </row>
    <row r="2" spans="1:10" ht="23.25" customHeight="1" x14ac:dyDescent="0.35">
      <c r="A2" s="28" t="s">
        <v>1</v>
      </c>
      <c r="B2" s="28"/>
      <c r="C2" s="28"/>
      <c r="D2" s="28"/>
      <c r="E2" s="28"/>
      <c r="F2" s="28"/>
      <c r="G2" s="28"/>
      <c r="H2" s="28"/>
    </row>
    <row r="3" spans="1:10" ht="23.25" customHeight="1" x14ac:dyDescent="0.35">
      <c r="A3" s="28" t="s">
        <v>2</v>
      </c>
      <c r="B3" s="28"/>
      <c r="C3" s="28"/>
      <c r="D3" s="28"/>
      <c r="E3" s="28"/>
      <c r="F3" s="28"/>
      <c r="G3" s="28"/>
      <c r="H3" s="28"/>
    </row>
    <row r="4" spans="1:10" ht="12.75" customHeight="1" x14ac:dyDescent="0.6">
      <c r="A4" s="2"/>
      <c r="B4" s="2"/>
      <c r="C4" s="2"/>
      <c r="D4" s="3"/>
      <c r="E4" s="3"/>
      <c r="F4" s="3"/>
      <c r="G4" s="3"/>
      <c r="H4" s="3"/>
    </row>
    <row r="5" spans="1:10" ht="28.5" customHeight="1" x14ac:dyDescent="0.45">
      <c r="A5" s="29" t="s">
        <v>3</v>
      </c>
      <c r="B5" s="29"/>
      <c r="C5" s="29"/>
      <c r="D5" s="29"/>
      <c r="E5" s="29"/>
      <c r="F5" s="29"/>
      <c r="G5" s="29"/>
      <c r="H5" s="29"/>
    </row>
    <row r="6" spans="1:10" ht="21" customHeight="1" x14ac:dyDescent="0.6">
      <c r="A6" s="2" t="s">
        <v>4</v>
      </c>
      <c r="B6" s="2"/>
      <c r="C6" s="2"/>
      <c r="D6" s="3"/>
      <c r="E6" s="3"/>
      <c r="F6" s="3"/>
      <c r="G6" s="3"/>
      <c r="H6" s="3"/>
    </row>
    <row r="7" spans="1:10" ht="21" customHeight="1" x14ac:dyDescent="0.6">
      <c r="A7" s="2" t="s">
        <v>5</v>
      </c>
      <c r="B7" s="2"/>
      <c r="C7" s="2"/>
      <c r="D7" s="3"/>
      <c r="E7" s="3"/>
      <c r="F7" s="3"/>
      <c r="G7" s="3"/>
      <c r="H7" s="3"/>
    </row>
    <row r="8" spans="1:10" ht="21" customHeight="1" x14ac:dyDescent="0.6">
      <c r="A8" s="2" t="s">
        <v>6</v>
      </c>
      <c r="B8" s="2"/>
      <c r="C8" s="2"/>
      <c r="D8" s="3"/>
      <c r="E8" s="3"/>
      <c r="F8" s="3"/>
      <c r="G8" s="3"/>
      <c r="H8" s="3"/>
    </row>
    <row r="9" spans="1:10" s="6" customFormat="1" ht="40.5" x14ac:dyDescent="0.25">
      <c r="A9" s="4" t="s">
        <v>7</v>
      </c>
      <c r="B9" s="4" t="s">
        <v>8</v>
      </c>
      <c r="C9" s="5" t="s">
        <v>9</v>
      </c>
      <c r="D9" s="5" t="s">
        <v>10</v>
      </c>
      <c r="E9" s="5" t="s">
        <v>11</v>
      </c>
      <c r="F9" s="5" t="s">
        <v>12</v>
      </c>
      <c r="G9" s="5" t="s">
        <v>13</v>
      </c>
      <c r="H9" s="4" t="s">
        <v>14</v>
      </c>
    </row>
    <row r="10" spans="1:10" ht="24" x14ac:dyDescent="0.25">
      <c r="A10" s="7">
        <v>1</v>
      </c>
      <c r="B10" s="8">
        <v>66813</v>
      </c>
      <c r="C10" s="9">
        <v>884</v>
      </c>
      <c r="D10" s="10">
        <v>892</v>
      </c>
      <c r="E10" s="10">
        <f t="shared" ref="E10" si="0">D10-C10</f>
        <v>8</v>
      </c>
      <c r="F10" s="11">
        <v>2137</v>
      </c>
      <c r="G10" s="26">
        <f t="shared" ref="G10" si="1">F10*E10</f>
        <v>17096</v>
      </c>
      <c r="H10" s="25" t="s">
        <v>33</v>
      </c>
      <c r="J10" s="13"/>
    </row>
    <row r="11" spans="1:10" ht="23.25" x14ac:dyDescent="0.25">
      <c r="A11" s="12"/>
      <c r="B11" s="12"/>
      <c r="C11" s="14"/>
      <c r="D11" s="12"/>
      <c r="E11" s="15" t="s">
        <v>15</v>
      </c>
      <c r="F11" s="16"/>
      <c r="G11" s="26">
        <f>SUM(G10:G10)</f>
        <v>17096</v>
      </c>
      <c r="H11" s="14"/>
    </row>
    <row r="12" spans="1:10" ht="23.25" x14ac:dyDescent="0.25">
      <c r="A12" s="12"/>
      <c r="B12" s="12"/>
      <c r="C12" s="14"/>
      <c r="D12" s="12"/>
      <c r="E12" s="15" t="s">
        <v>16</v>
      </c>
      <c r="F12" s="16"/>
      <c r="G12" s="26"/>
      <c r="H12" s="14"/>
    </row>
    <row r="13" spans="1:10" ht="23.25" x14ac:dyDescent="0.25">
      <c r="A13" s="12"/>
      <c r="B13" s="12"/>
      <c r="C13" s="14"/>
      <c r="D13" s="12"/>
      <c r="E13" s="15" t="s">
        <v>17</v>
      </c>
      <c r="F13" s="16"/>
      <c r="G13" s="26">
        <f>G11</f>
        <v>17096</v>
      </c>
      <c r="H13" s="14"/>
    </row>
    <row r="14" spans="1:10" ht="23.25" x14ac:dyDescent="0.25">
      <c r="A14" s="12"/>
      <c r="B14" s="12"/>
      <c r="C14" s="14"/>
      <c r="D14" s="12"/>
      <c r="E14" s="15" t="s">
        <v>18</v>
      </c>
      <c r="F14" s="16"/>
      <c r="G14" s="26">
        <f>0.13*G13</f>
        <v>2222.48</v>
      </c>
      <c r="H14" s="14"/>
    </row>
    <row r="15" spans="1:10" ht="23.25" x14ac:dyDescent="0.25">
      <c r="A15" s="12"/>
      <c r="B15" s="12"/>
      <c r="C15" s="14"/>
      <c r="D15" s="12"/>
      <c r="E15" s="15" t="s">
        <v>19</v>
      </c>
      <c r="F15" s="16"/>
      <c r="G15" s="26">
        <f>SUM(G13:G14)</f>
        <v>19318.48</v>
      </c>
      <c r="H15" s="14"/>
    </row>
    <row r="16" spans="1:10" ht="23.25" x14ac:dyDescent="0.25">
      <c r="A16" s="17"/>
      <c r="B16" s="17"/>
      <c r="C16" s="18"/>
      <c r="D16" s="17"/>
      <c r="E16" s="19"/>
      <c r="G16" s="20"/>
      <c r="H16" s="18"/>
    </row>
    <row r="23" spans="2:8" ht="20.25" x14ac:dyDescent="0.3">
      <c r="B23" s="21" t="s">
        <v>20</v>
      </c>
      <c r="E23" s="21" t="s">
        <v>21</v>
      </c>
      <c r="H23" s="21" t="s">
        <v>21</v>
      </c>
    </row>
    <row r="24" spans="2:8" ht="20.25" x14ac:dyDescent="0.3">
      <c r="B24" s="22"/>
      <c r="E24" s="22"/>
      <c r="H24" s="22"/>
    </row>
    <row r="25" spans="2:8" ht="18.75" x14ac:dyDescent="0.3">
      <c r="B25" s="23" t="s">
        <v>22</v>
      </c>
      <c r="E25" s="23" t="s">
        <v>23</v>
      </c>
      <c r="H25" s="23" t="s">
        <v>23</v>
      </c>
    </row>
    <row r="32" spans="2:8" ht="20.25" x14ac:dyDescent="0.3">
      <c r="C32" s="21" t="s">
        <v>21</v>
      </c>
      <c r="F32" s="21" t="s">
        <v>24</v>
      </c>
    </row>
    <row r="33" spans="3:6" ht="20.25" x14ac:dyDescent="0.3">
      <c r="C33" s="22"/>
      <c r="F33" s="22"/>
    </row>
    <row r="34" spans="3:6" ht="18.75" x14ac:dyDescent="0.3">
      <c r="C34" s="23" t="s">
        <v>25</v>
      </c>
      <c r="D34" s="24"/>
      <c r="F34" s="23" t="s">
        <v>26</v>
      </c>
    </row>
    <row r="39" spans="3:6" x14ac:dyDescent="0.25">
      <c r="C39" s="1" t="s">
        <v>27</v>
      </c>
      <c r="D39" s="1" t="s">
        <v>28</v>
      </c>
      <c r="E39" s="1" t="s">
        <v>29</v>
      </c>
    </row>
    <row r="40" spans="3:6" x14ac:dyDescent="0.25">
      <c r="C40" s="1" t="s">
        <v>30</v>
      </c>
      <c r="D40" s="1" t="s">
        <v>31</v>
      </c>
      <c r="E40" s="1"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2EFAA-CED6-47EF-842B-8832C111D1E1}">
  <dimension ref="A1:J40"/>
  <sheetViews>
    <sheetView view="pageBreakPreview" topLeftCell="A7" zoomScaleNormal="100" zoomScaleSheetLayoutView="100" workbookViewId="0">
      <selection activeCell="F10" sqref="F10"/>
    </sheetView>
  </sheetViews>
  <sheetFormatPr defaultColWidth="9.140625" defaultRowHeight="15.75" x14ac:dyDescent="0.25"/>
  <cols>
    <col min="1" max="1" width="7" style="1" customWidth="1"/>
    <col min="2" max="2" width="24.7109375" style="1" customWidth="1"/>
    <col min="3" max="3" width="21.5703125" style="1" customWidth="1"/>
    <col min="4" max="4" width="23.28515625" style="1" customWidth="1"/>
    <col min="5" max="5" width="28.140625" style="1" customWidth="1"/>
    <col min="6" max="6" width="11.140625" style="1" customWidth="1"/>
    <col min="7" max="7" width="18.85546875" style="1" customWidth="1"/>
    <col min="8" max="8" width="30.5703125" style="1" customWidth="1"/>
    <col min="9" max="16384" width="9.140625" style="1"/>
  </cols>
  <sheetData>
    <row r="1" spans="1:10" ht="39.75" customHeight="1" x14ac:dyDescent="0.6">
      <c r="A1" s="27" t="s">
        <v>0</v>
      </c>
      <c r="B1" s="27"/>
      <c r="C1" s="27"/>
      <c r="D1" s="27"/>
      <c r="E1" s="27"/>
      <c r="F1" s="27"/>
      <c r="G1" s="27"/>
      <c r="H1" s="27"/>
    </row>
    <row r="2" spans="1:10" ht="23.25" customHeight="1" x14ac:dyDescent="0.35">
      <c r="A2" s="28" t="s">
        <v>1</v>
      </c>
      <c r="B2" s="28"/>
      <c r="C2" s="28"/>
      <c r="D2" s="28"/>
      <c r="E2" s="28"/>
      <c r="F2" s="28"/>
      <c r="G2" s="28"/>
      <c r="H2" s="28"/>
    </row>
    <row r="3" spans="1:10" ht="23.25" customHeight="1" x14ac:dyDescent="0.35">
      <c r="A3" s="28" t="s">
        <v>2</v>
      </c>
      <c r="B3" s="28"/>
      <c r="C3" s="28"/>
      <c r="D3" s="28"/>
      <c r="E3" s="28"/>
      <c r="F3" s="28"/>
      <c r="G3" s="28"/>
      <c r="H3" s="28"/>
    </row>
    <row r="4" spans="1:10" ht="12.75" customHeight="1" x14ac:dyDescent="0.6">
      <c r="A4" s="2"/>
      <c r="B4" s="2"/>
      <c r="C4" s="2"/>
      <c r="D4" s="3"/>
      <c r="E4" s="3"/>
      <c r="F4" s="3"/>
      <c r="G4" s="3"/>
      <c r="H4" s="3"/>
    </row>
    <row r="5" spans="1:10" ht="28.5" customHeight="1" x14ac:dyDescent="0.45">
      <c r="A5" s="29" t="s">
        <v>3</v>
      </c>
      <c r="B5" s="29"/>
      <c r="C5" s="29"/>
      <c r="D5" s="29"/>
      <c r="E5" s="29"/>
      <c r="F5" s="29"/>
      <c r="G5" s="29"/>
      <c r="H5" s="29"/>
    </row>
    <row r="6" spans="1:10" ht="21" customHeight="1" x14ac:dyDescent="0.6">
      <c r="A6" s="2" t="s">
        <v>4</v>
      </c>
      <c r="B6" s="2"/>
      <c r="C6" s="2"/>
      <c r="D6" s="3"/>
      <c r="E6" s="3"/>
      <c r="F6" s="3"/>
      <c r="G6" s="3"/>
      <c r="H6" s="3"/>
    </row>
    <row r="7" spans="1:10" ht="21" customHeight="1" x14ac:dyDescent="0.6">
      <c r="A7" s="2" t="s">
        <v>5</v>
      </c>
      <c r="B7" s="2"/>
      <c r="C7" s="2"/>
      <c r="D7" s="3"/>
      <c r="E7" s="3"/>
      <c r="F7" s="3"/>
      <c r="G7" s="3"/>
      <c r="H7" s="3"/>
    </row>
    <row r="8" spans="1:10" ht="21" customHeight="1" x14ac:dyDescent="0.6">
      <c r="A8" s="2" t="s">
        <v>6</v>
      </c>
      <c r="B8" s="2"/>
      <c r="C8" s="2"/>
      <c r="D8" s="3"/>
      <c r="E8" s="3"/>
      <c r="F8" s="3"/>
      <c r="G8" s="3"/>
      <c r="H8" s="3"/>
    </row>
    <row r="9" spans="1:10" s="6" customFormat="1" ht="40.5" x14ac:dyDescent="0.25">
      <c r="A9" s="4" t="s">
        <v>7</v>
      </c>
      <c r="B9" s="4" t="s">
        <v>8</v>
      </c>
      <c r="C9" s="5" t="s">
        <v>9</v>
      </c>
      <c r="D9" s="5" t="s">
        <v>10</v>
      </c>
      <c r="E9" s="5" t="s">
        <v>11</v>
      </c>
      <c r="F9" s="5" t="s">
        <v>12</v>
      </c>
      <c r="G9" s="5" t="s">
        <v>13</v>
      </c>
      <c r="H9" s="4" t="s">
        <v>14</v>
      </c>
    </row>
    <row r="10" spans="1:10" ht="24" x14ac:dyDescent="0.25">
      <c r="A10" s="7">
        <v>1</v>
      </c>
      <c r="B10" s="8">
        <v>66816</v>
      </c>
      <c r="C10" s="9">
        <v>899</v>
      </c>
      <c r="D10" s="10">
        <v>905</v>
      </c>
      <c r="E10" s="10">
        <f t="shared" ref="E10" si="0">D10-C10</f>
        <v>6</v>
      </c>
      <c r="F10" s="11">
        <v>2137</v>
      </c>
      <c r="G10" s="26">
        <f t="shared" ref="G10" si="1">F10*E10</f>
        <v>12822</v>
      </c>
      <c r="H10" s="25" t="s">
        <v>34</v>
      </c>
      <c r="J10" s="13"/>
    </row>
    <row r="11" spans="1:10" ht="23.25" x14ac:dyDescent="0.25">
      <c r="A11" s="12"/>
      <c r="B11" s="12"/>
      <c r="C11" s="14"/>
      <c r="D11" s="12"/>
      <c r="E11" s="15" t="s">
        <v>15</v>
      </c>
      <c r="F11" s="16"/>
      <c r="G11" s="26">
        <f>SUM(G10:G10)</f>
        <v>12822</v>
      </c>
      <c r="H11" s="14"/>
    </row>
    <row r="12" spans="1:10" ht="23.25" x14ac:dyDescent="0.25">
      <c r="A12" s="12"/>
      <c r="B12" s="12"/>
      <c r="C12" s="14"/>
      <c r="D12" s="12"/>
      <c r="E12" s="15" t="s">
        <v>16</v>
      </c>
      <c r="F12" s="16"/>
      <c r="G12" s="26"/>
      <c r="H12" s="14"/>
    </row>
    <row r="13" spans="1:10" ht="23.25" x14ac:dyDescent="0.25">
      <c r="A13" s="12"/>
      <c r="B13" s="12"/>
      <c r="C13" s="14"/>
      <c r="D13" s="12"/>
      <c r="E13" s="15" t="s">
        <v>17</v>
      </c>
      <c r="F13" s="16"/>
      <c r="G13" s="26">
        <f>G11</f>
        <v>12822</v>
      </c>
      <c r="H13" s="14"/>
    </row>
    <row r="14" spans="1:10" ht="23.25" x14ac:dyDescent="0.25">
      <c r="A14" s="12"/>
      <c r="B14" s="12"/>
      <c r="C14" s="14"/>
      <c r="D14" s="12"/>
      <c r="E14" s="15" t="s">
        <v>18</v>
      </c>
      <c r="F14" s="16"/>
      <c r="G14" s="26">
        <f>0.13*G13</f>
        <v>1666.8600000000001</v>
      </c>
      <c r="H14" s="14"/>
    </row>
    <row r="15" spans="1:10" ht="23.25" x14ac:dyDescent="0.25">
      <c r="A15" s="12"/>
      <c r="B15" s="12"/>
      <c r="C15" s="14"/>
      <c r="D15" s="12"/>
      <c r="E15" s="15" t="s">
        <v>19</v>
      </c>
      <c r="F15" s="16"/>
      <c r="G15" s="26">
        <f>SUM(G13:G14)</f>
        <v>14488.86</v>
      </c>
      <c r="H15" s="14"/>
    </row>
    <row r="16" spans="1:10" ht="23.25" x14ac:dyDescent="0.25">
      <c r="A16" s="17"/>
      <c r="B16" s="17"/>
      <c r="C16" s="18"/>
      <c r="D16" s="17"/>
      <c r="E16" s="19"/>
      <c r="G16" s="20"/>
      <c r="H16" s="18"/>
    </row>
    <row r="23" spans="2:8" ht="20.25" x14ac:dyDescent="0.3">
      <c r="B23" s="21" t="s">
        <v>20</v>
      </c>
      <c r="E23" s="21" t="s">
        <v>21</v>
      </c>
      <c r="H23" s="21" t="s">
        <v>21</v>
      </c>
    </row>
    <row r="24" spans="2:8" ht="20.25" x14ac:dyDescent="0.3">
      <c r="B24" s="22"/>
      <c r="E24" s="22"/>
      <c r="H24" s="22"/>
    </row>
    <row r="25" spans="2:8" ht="18.75" x14ac:dyDescent="0.3">
      <c r="B25" s="23" t="s">
        <v>22</v>
      </c>
      <c r="E25" s="23" t="s">
        <v>23</v>
      </c>
      <c r="H25" s="23" t="s">
        <v>23</v>
      </c>
    </row>
    <row r="32" spans="2:8" ht="20.25" x14ac:dyDescent="0.3">
      <c r="C32" s="21" t="s">
        <v>21</v>
      </c>
      <c r="F32" s="21" t="s">
        <v>24</v>
      </c>
    </row>
    <row r="33" spans="3:6" ht="20.25" x14ac:dyDescent="0.3">
      <c r="C33" s="22"/>
      <c r="F33" s="22"/>
    </row>
    <row r="34" spans="3:6" ht="18.75" x14ac:dyDescent="0.3">
      <c r="C34" s="23" t="s">
        <v>25</v>
      </c>
      <c r="D34" s="24"/>
      <c r="F34" s="23" t="s">
        <v>26</v>
      </c>
    </row>
    <row r="39" spans="3:6" x14ac:dyDescent="0.25">
      <c r="C39" s="1" t="s">
        <v>27</v>
      </c>
      <c r="D39" s="1" t="s">
        <v>28</v>
      </c>
      <c r="E39" s="1" t="s">
        <v>29</v>
      </c>
    </row>
    <row r="40" spans="3:6" x14ac:dyDescent="0.25">
      <c r="C40" s="1" t="s">
        <v>30</v>
      </c>
      <c r="D40" s="1" t="s">
        <v>31</v>
      </c>
      <c r="E40" s="1"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62ADC-7AE0-4749-8562-568BAE8D893F}">
  <dimension ref="A1:J40"/>
  <sheetViews>
    <sheetView view="pageBreakPreview" topLeftCell="A4" zoomScaleNormal="100" zoomScaleSheetLayoutView="100" workbookViewId="0">
      <selection activeCell="F10" sqref="F10"/>
    </sheetView>
  </sheetViews>
  <sheetFormatPr defaultColWidth="9.140625" defaultRowHeight="15.75" x14ac:dyDescent="0.25"/>
  <cols>
    <col min="1" max="1" width="7" style="1" customWidth="1"/>
    <col min="2" max="2" width="24.7109375" style="1" customWidth="1"/>
    <col min="3" max="3" width="21.5703125" style="1" customWidth="1"/>
    <col min="4" max="4" width="23.28515625" style="1" customWidth="1"/>
    <col min="5" max="5" width="28.140625" style="1" customWidth="1"/>
    <col min="6" max="6" width="11.140625" style="1" customWidth="1"/>
    <col min="7" max="7" width="18.85546875" style="1" customWidth="1"/>
    <col min="8" max="8" width="30.5703125" style="1" customWidth="1"/>
    <col min="9" max="16384" width="9.140625" style="1"/>
  </cols>
  <sheetData>
    <row r="1" spans="1:10" ht="39.75" customHeight="1" x14ac:dyDescent="0.6">
      <c r="A1" s="27" t="s">
        <v>0</v>
      </c>
      <c r="B1" s="27"/>
      <c r="C1" s="27"/>
      <c r="D1" s="27"/>
      <c r="E1" s="27"/>
      <c r="F1" s="27"/>
      <c r="G1" s="27"/>
      <c r="H1" s="27"/>
    </row>
    <row r="2" spans="1:10" ht="23.25" customHeight="1" x14ac:dyDescent="0.35">
      <c r="A2" s="28" t="s">
        <v>1</v>
      </c>
      <c r="B2" s="28"/>
      <c r="C2" s="28"/>
      <c r="D2" s="28"/>
      <c r="E2" s="28"/>
      <c r="F2" s="28"/>
      <c r="G2" s="28"/>
      <c r="H2" s="28"/>
    </row>
    <row r="3" spans="1:10" ht="23.25" customHeight="1" x14ac:dyDescent="0.35">
      <c r="A3" s="28" t="s">
        <v>2</v>
      </c>
      <c r="B3" s="28"/>
      <c r="C3" s="28"/>
      <c r="D3" s="28"/>
      <c r="E3" s="28"/>
      <c r="F3" s="28"/>
      <c r="G3" s="28"/>
      <c r="H3" s="28"/>
    </row>
    <row r="4" spans="1:10" ht="12.75" customHeight="1" x14ac:dyDescent="0.6">
      <c r="A4" s="2"/>
      <c r="B4" s="2"/>
      <c r="C4" s="2"/>
      <c r="D4" s="3"/>
      <c r="E4" s="3"/>
      <c r="F4" s="3"/>
      <c r="G4" s="3"/>
      <c r="H4" s="3"/>
    </row>
    <row r="5" spans="1:10" ht="28.5" customHeight="1" x14ac:dyDescent="0.45">
      <c r="A5" s="29" t="s">
        <v>3</v>
      </c>
      <c r="B5" s="29"/>
      <c r="C5" s="29"/>
      <c r="D5" s="29"/>
      <c r="E5" s="29"/>
      <c r="F5" s="29"/>
      <c r="G5" s="29"/>
      <c r="H5" s="29"/>
    </row>
    <row r="6" spans="1:10" ht="21" customHeight="1" x14ac:dyDescent="0.6">
      <c r="A6" s="2" t="s">
        <v>4</v>
      </c>
      <c r="B6" s="2"/>
      <c r="C6" s="2"/>
      <c r="D6" s="3"/>
      <c r="E6" s="3"/>
      <c r="F6" s="3"/>
      <c r="G6" s="3"/>
      <c r="H6" s="3"/>
    </row>
    <row r="7" spans="1:10" ht="21" customHeight="1" x14ac:dyDescent="0.6">
      <c r="A7" s="2" t="s">
        <v>5</v>
      </c>
      <c r="B7" s="2"/>
      <c r="C7" s="2"/>
      <c r="D7" s="3"/>
      <c r="E7" s="3"/>
      <c r="F7" s="3"/>
      <c r="G7" s="3"/>
      <c r="H7" s="3"/>
    </row>
    <row r="8" spans="1:10" ht="21" customHeight="1" x14ac:dyDescent="0.6">
      <c r="A8" s="2" t="s">
        <v>6</v>
      </c>
      <c r="B8" s="2"/>
      <c r="C8" s="2"/>
      <c r="D8" s="3"/>
      <c r="E8" s="3"/>
      <c r="F8" s="3"/>
      <c r="G8" s="3"/>
      <c r="H8" s="3"/>
    </row>
    <row r="9" spans="1:10" s="6" customFormat="1" ht="40.5" x14ac:dyDescent="0.25">
      <c r="A9" s="4" t="s">
        <v>7</v>
      </c>
      <c r="B9" s="4" t="s">
        <v>8</v>
      </c>
      <c r="C9" s="5" t="s">
        <v>9</v>
      </c>
      <c r="D9" s="5" t="s">
        <v>10</v>
      </c>
      <c r="E9" s="5" t="s">
        <v>11</v>
      </c>
      <c r="F9" s="5" t="s">
        <v>12</v>
      </c>
      <c r="G9" s="5" t="s">
        <v>13</v>
      </c>
      <c r="H9" s="4" t="s">
        <v>14</v>
      </c>
    </row>
    <row r="10" spans="1:10" ht="24" x14ac:dyDescent="0.25">
      <c r="A10" s="7">
        <v>1</v>
      </c>
      <c r="B10" s="8">
        <v>66818</v>
      </c>
      <c r="C10" s="9">
        <v>905</v>
      </c>
      <c r="D10" s="10">
        <v>910</v>
      </c>
      <c r="E10" s="10">
        <f t="shared" ref="E10" si="0">D10-C10</f>
        <v>5</v>
      </c>
      <c r="F10" s="11">
        <v>2137</v>
      </c>
      <c r="G10" s="26">
        <f t="shared" ref="G10" si="1">F10*E10</f>
        <v>10685</v>
      </c>
      <c r="H10" s="25" t="s">
        <v>35</v>
      </c>
      <c r="J10" s="13"/>
    </row>
    <row r="11" spans="1:10" ht="23.25" x14ac:dyDescent="0.25">
      <c r="A11" s="12"/>
      <c r="B11" s="12"/>
      <c r="C11" s="14"/>
      <c r="D11" s="12"/>
      <c r="E11" s="15" t="s">
        <v>15</v>
      </c>
      <c r="F11" s="16"/>
      <c r="G11" s="26">
        <f>SUM(G10:G10)</f>
        <v>10685</v>
      </c>
      <c r="H11" s="14"/>
    </row>
    <row r="12" spans="1:10" ht="23.25" x14ac:dyDescent="0.25">
      <c r="A12" s="12"/>
      <c r="B12" s="12"/>
      <c r="C12" s="14"/>
      <c r="D12" s="12"/>
      <c r="E12" s="15" t="s">
        <v>16</v>
      </c>
      <c r="F12" s="16"/>
      <c r="G12" s="26"/>
      <c r="H12" s="14"/>
    </row>
    <row r="13" spans="1:10" ht="23.25" x14ac:dyDescent="0.25">
      <c r="A13" s="12"/>
      <c r="B13" s="12"/>
      <c r="C13" s="14"/>
      <c r="D13" s="12"/>
      <c r="E13" s="15" t="s">
        <v>17</v>
      </c>
      <c r="F13" s="16"/>
      <c r="G13" s="26">
        <f>G11</f>
        <v>10685</v>
      </c>
      <c r="H13" s="14"/>
    </row>
    <row r="14" spans="1:10" ht="23.25" x14ac:dyDescent="0.25">
      <c r="A14" s="12"/>
      <c r="B14" s="12"/>
      <c r="C14" s="14"/>
      <c r="D14" s="12"/>
      <c r="E14" s="15" t="s">
        <v>18</v>
      </c>
      <c r="F14" s="16"/>
      <c r="G14" s="26">
        <f>0.13*G13</f>
        <v>1389.05</v>
      </c>
      <c r="H14" s="14"/>
    </row>
    <row r="15" spans="1:10" ht="23.25" x14ac:dyDescent="0.25">
      <c r="A15" s="12"/>
      <c r="B15" s="12"/>
      <c r="C15" s="14"/>
      <c r="D15" s="12"/>
      <c r="E15" s="15" t="s">
        <v>19</v>
      </c>
      <c r="F15" s="16"/>
      <c r="G15" s="26">
        <f>SUM(G13:G14)</f>
        <v>12074.05</v>
      </c>
      <c r="H15" s="14"/>
    </row>
    <row r="16" spans="1:10" ht="23.25" x14ac:dyDescent="0.25">
      <c r="A16" s="17"/>
      <c r="B16" s="17"/>
      <c r="C16" s="18"/>
      <c r="D16" s="17"/>
      <c r="E16" s="19"/>
      <c r="G16" s="20"/>
      <c r="H16" s="18"/>
    </row>
    <row r="23" spans="2:8" ht="20.25" x14ac:dyDescent="0.3">
      <c r="B23" s="21" t="s">
        <v>20</v>
      </c>
      <c r="E23" s="21" t="s">
        <v>21</v>
      </c>
      <c r="H23" s="21" t="s">
        <v>21</v>
      </c>
    </row>
    <row r="24" spans="2:8" ht="20.25" x14ac:dyDescent="0.3">
      <c r="B24" s="22"/>
      <c r="E24" s="22"/>
      <c r="H24" s="22"/>
    </row>
    <row r="25" spans="2:8" ht="18.75" x14ac:dyDescent="0.3">
      <c r="B25" s="23" t="s">
        <v>22</v>
      </c>
      <c r="E25" s="23" t="s">
        <v>23</v>
      </c>
      <c r="H25" s="23" t="s">
        <v>23</v>
      </c>
    </row>
    <row r="32" spans="2:8" ht="20.25" x14ac:dyDescent="0.3">
      <c r="C32" s="21" t="s">
        <v>21</v>
      </c>
      <c r="F32" s="21" t="s">
        <v>24</v>
      </c>
    </row>
    <row r="33" spans="3:6" ht="20.25" x14ac:dyDescent="0.3">
      <c r="C33" s="22"/>
      <c r="F33" s="22"/>
    </row>
    <row r="34" spans="3:6" ht="18.75" x14ac:dyDescent="0.3">
      <c r="C34" s="23" t="s">
        <v>25</v>
      </c>
      <c r="D34" s="24"/>
      <c r="F34" s="23" t="s">
        <v>26</v>
      </c>
    </row>
    <row r="39" spans="3:6" x14ac:dyDescent="0.25">
      <c r="C39" s="1" t="s">
        <v>27</v>
      </c>
      <c r="D39" s="1" t="s">
        <v>28</v>
      </c>
      <c r="E39" s="1" t="s">
        <v>29</v>
      </c>
    </row>
    <row r="40" spans="3:6" x14ac:dyDescent="0.25">
      <c r="C40" s="1" t="s">
        <v>30</v>
      </c>
      <c r="D40" s="1" t="s">
        <v>31</v>
      </c>
      <c r="E40" s="1"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77FB0-EA9A-495F-AAAB-C38A5C70C249}">
  <dimension ref="A1:J40"/>
  <sheetViews>
    <sheetView view="pageBreakPreview" topLeftCell="A7" zoomScaleNormal="100" zoomScaleSheetLayoutView="100" workbookViewId="0">
      <selection activeCell="F10" sqref="F10"/>
    </sheetView>
  </sheetViews>
  <sheetFormatPr defaultColWidth="9.140625" defaultRowHeight="15.75" x14ac:dyDescent="0.25"/>
  <cols>
    <col min="1" max="1" width="7" style="1" customWidth="1"/>
    <col min="2" max="2" width="24.7109375" style="1" customWidth="1"/>
    <col min="3" max="3" width="21.5703125" style="1" customWidth="1"/>
    <col min="4" max="4" width="23.28515625" style="1" customWidth="1"/>
    <col min="5" max="5" width="28.140625" style="1" customWidth="1"/>
    <col min="6" max="6" width="11.140625" style="1" customWidth="1"/>
    <col min="7" max="7" width="18.85546875" style="1" customWidth="1"/>
    <col min="8" max="8" width="30.5703125" style="1" customWidth="1"/>
    <col min="9" max="16384" width="9.140625" style="1"/>
  </cols>
  <sheetData>
    <row r="1" spans="1:10" ht="39.75" customHeight="1" x14ac:dyDescent="0.6">
      <c r="A1" s="27" t="s">
        <v>0</v>
      </c>
      <c r="B1" s="27"/>
      <c r="C1" s="27"/>
      <c r="D1" s="27"/>
      <c r="E1" s="27"/>
      <c r="F1" s="27"/>
      <c r="G1" s="27"/>
      <c r="H1" s="27"/>
    </row>
    <row r="2" spans="1:10" ht="23.25" customHeight="1" x14ac:dyDescent="0.35">
      <c r="A2" s="28" t="s">
        <v>1</v>
      </c>
      <c r="B2" s="28"/>
      <c r="C2" s="28"/>
      <c r="D2" s="28"/>
      <c r="E2" s="28"/>
      <c r="F2" s="28"/>
      <c r="G2" s="28"/>
      <c r="H2" s="28"/>
    </row>
    <row r="3" spans="1:10" ht="23.25" customHeight="1" x14ac:dyDescent="0.35">
      <c r="A3" s="28" t="s">
        <v>2</v>
      </c>
      <c r="B3" s="28"/>
      <c r="C3" s="28"/>
      <c r="D3" s="28"/>
      <c r="E3" s="28"/>
      <c r="F3" s="28"/>
      <c r="G3" s="28"/>
      <c r="H3" s="28"/>
    </row>
    <row r="4" spans="1:10" ht="12.75" customHeight="1" x14ac:dyDescent="0.6">
      <c r="A4" s="2"/>
      <c r="B4" s="2"/>
      <c r="C4" s="2"/>
      <c r="D4" s="3"/>
      <c r="E4" s="3"/>
      <c r="F4" s="3"/>
      <c r="G4" s="3"/>
      <c r="H4" s="3"/>
    </row>
    <row r="5" spans="1:10" ht="28.5" customHeight="1" x14ac:dyDescent="0.45">
      <c r="A5" s="29" t="s">
        <v>3</v>
      </c>
      <c r="B5" s="29"/>
      <c r="C5" s="29"/>
      <c r="D5" s="29"/>
      <c r="E5" s="29"/>
      <c r="F5" s="29"/>
      <c r="G5" s="29"/>
      <c r="H5" s="29"/>
    </row>
    <row r="6" spans="1:10" ht="21" customHeight="1" x14ac:dyDescent="0.6">
      <c r="A6" s="2" t="s">
        <v>4</v>
      </c>
      <c r="B6" s="2"/>
      <c r="C6" s="2"/>
      <c r="D6" s="3"/>
      <c r="E6" s="3"/>
      <c r="F6" s="3"/>
      <c r="G6" s="3"/>
      <c r="H6" s="3"/>
    </row>
    <row r="7" spans="1:10" ht="21" customHeight="1" x14ac:dyDescent="0.6">
      <c r="A7" s="2" t="s">
        <v>5</v>
      </c>
      <c r="B7" s="2"/>
      <c r="C7" s="2"/>
      <c r="D7" s="3"/>
      <c r="E7" s="3"/>
      <c r="F7" s="3"/>
      <c r="G7" s="3"/>
      <c r="H7" s="3"/>
    </row>
    <row r="8" spans="1:10" ht="21" customHeight="1" x14ac:dyDescent="0.6">
      <c r="A8" s="2" t="s">
        <v>6</v>
      </c>
      <c r="B8" s="2"/>
      <c r="C8" s="2"/>
      <c r="D8" s="3"/>
      <c r="E8" s="3"/>
      <c r="F8" s="3"/>
      <c r="G8" s="3"/>
      <c r="H8" s="3"/>
    </row>
    <row r="9" spans="1:10" s="6" customFormat="1" ht="40.5" x14ac:dyDescent="0.25">
      <c r="A9" s="4" t="s">
        <v>7</v>
      </c>
      <c r="B9" s="4" t="s">
        <v>8</v>
      </c>
      <c r="C9" s="5" t="s">
        <v>9</v>
      </c>
      <c r="D9" s="5" t="s">
        <v>10</v>
      </c>
      <c r="E9" s="5" t="s">
        <v>11</v>
      </c>
      <c r="F9" s="5" t="s">
        <v>12</v>
      </c>
      <c r="G9" s="5" t="s">
        <v>13</v>
      </c>
      <c r="H9" s="4" t="s">
        <v>14</v>
      </c>
    </row>
    <row r="10" spans="1:10" ht="24" x14ac:dyDescent="0.25">
      <c r="A10" s="7">
        <v>1</v>
      </c>
      <c r="B10" s="8">
        <v>66819</v>
      </c>
      <c r="C10" s="9">
        <v>910</v>
      </c>
      <c r="D10" s="10">
        <v>916</v>
      </c>
      <c r="E10" s="10">
        <f t="shared" ref="E10" si="0">D10-C10</f>
        <v>6</v>
      </c>
      <c r="F10" s="11">
        <v>2137</v>
      </c>
      <c r="G10" s="26">
        <f t="shared" ref="G10" si="1">F10*E10</f>
        <v>12822</v>
      </c>
      <c r="H10" s="25" t="s">
        <v>36</v>
      </c>
      <c r="J10" s="13"/>
    </row>
    <row r="11" spans="1:10" ht="23.25" x14ac:dyDescent="0.25">
      <c r="A11" s="12"/>
      <c r="B11" s="12"/>
      <c r="C11" s="14"/>
      <c r="D11" s="12"/>
      <c r="E11" s="15" t="s">
        <v>15</v>
      </c>
      <c r="F11" s="16"/>
      <c r="G11" s="26">
        <f>SUM(G10:G10)</f>
        <v>12822</v>
      </c>
      <c r="H11" s="14"/>
    </row>
    <row r="12" spans="1:10" ht="23.25" x14ac:dyDescent="0.25">
      <c r="A12" s="12"/>
      <c r="B12" s="12"/>
      <c r="C12" s="14"/>
      <c r="D12" s="12"/>
      <c r="E12" s="15" t="s">
        <v>16</v>
      </c>
      <c r="F12" s="16"/>
      <c r="G12" s="26"/>
      <c r="H12" s="14"/>
    </row>
    <row r="13" spans="1:10" ht="23.25" x14ac:dyDescent="0.25">
      <c r="A13" s="12"/>
      <c r="B13" s="12"/>
      <c r="C13" s="14"/>
      <c r="D13" s="12"/>
      <c r="E13" s="15" t="s">
        <v>17</v>
      </c>
      <c r="F13" s="16"/>
      <c r="G13" s="26">
        <f>G11</f>
        <v>12822</v>
      </c>
      <c r="H13" s="14"/>
    </row>
    <row r="14" spans="1:10" ht="23.25" x14ac:dyDescent="0.25">
      <c r="A14" s="12"/>
      <c r="B14" s="12"/>
      <c r="C14" s="14"/>
      <c r="D14" s="12"/>
      <c r="E14" s="15" t="s">
        <v>18</v>
      </c>
      <c r="F14" s="16"/>
      <c r="G14" s="26">
        <f>0.13*G13</f>
        <v>1666.8600000000001</v>
      </c>
      <c r="H14" s="14"/>
    </row>
    <row r="15" spans="1:10" ht="23.25" x14ac:dyDescent="0.25">
      <c r="A15" s="12"/>
      <c r="B15" s="12"/>
      <c r="C15" s="14"/>
      <c r="D15" s="12"/>
      <c r="E15" s="15" t="s">
        <v>19</v>
      </c>
      <c r="F15" s="16"/>
      <c r="G15" s="26">
        <f>SUM(G13:G14)</f>
        <v>14488.86</v>
      </c>
      <c r="H15" s="14"/>
    </row>
    <row r="16" spans="1:10" ht="23.25" x14ac:dyDescent="0.25">
      <c r="A16" s="17"/>
      <c r="B16" s="17"/>
      <c r="C16" s="18"/>
      <c r="D16" s="17"/>
      <c r="E16" s="19"/>
      <c r="G16" s="20"/>
      <c r="H16" s="18"/>
    </row>
    <row r="23" spans="2:8" ht="20.25" x14ac:dyDescent="0.3">
      <c r="B23" s="21" t="s">
        <v>20</v>
      </c>
      <c r="E23" s="21" t="s">
        <v>21</v>
      </c>
      <c r="H23" s="21" t="s">
        <v>21</v>
      </c>
    </row>
    <row r="24" spans="2:8" ht="20.25" x14ac:dyDescent="0.3">
      <c r="B24" s="22"/>
      <c r="E24" s="22"/>
      <c r="H24" s="22"/>
    </row>
    <row r="25" spans="2:8" ht="18.75" x14ac:dyDescent="0.3">
      <c r="B25" s="23" t="s">
        <v>22</v>
      </c>
      <c r="E25" s="23" t="s">
        <v>23</v>
      </c>
      <c r="H25" s="23" t="s">
        <v>23</v>
      </c>
    </row>
    <row r="32" spans="2:8" ht="20.25" x14ac:dyDescent="0.3">
      <c r="C32" s="21" t="s">
        <v>21</v>
      </c>
      <c r="F32" s="21" t="s">
        <v>24</v>
      </c>
    </row>
    <row r="33" spans="3:6" ht="20.25" x14ac:dyDescent="0.3">
      <c r="C33" s="22"/>
      <c r="F33" s="22"/>
    </row>
    <row r="34" spans="3:6" ht="18.75" x14ac:dyDescent="0.3">
      <c r="C34" s="23" t="s">
        <v>25</v>
      </c>
      <c r="D34" s="24"/>
      <c r="F34" s="23" t="s">
        <v>26</v>
      </c>
    </row>
    <row r="39" spans="3:6" x14ac:dyDescent="0.25">
      <c r="C39" s="1" t="s">
        <v>27</v>
      </c>
      <c r="D39" s="1" t="s">
        <v>28</v>
      </c>
      <c r="E39" s="1" t="s">
        <v>29</v>
      </c>
    </row>
    <row r="40" spans="3:6" x14ac:dyDescent="0.25">
      <c r="C40" s="1" t="s">
        <v>30</v>
      </c>
      <c r="D40" s="1" t="s">
        <v>31</v>
      </c>
      <c r="E40" s="1"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AB048-F825-4DDF-9B9A-57FEA0872F88}">
  <dimension ref="A1:J40"/>
  <sheetViews>
    <sheetView view="pageBreakPreview" topLeftCell="A7" zoomScaleNormal="100" zoomScaleSheetLayoutView="100" workbookViewId="0">
      <selection activeCell="F10" sqref="F10"/>
    </sheetView>
  </sheetViews>
  <sheetFormatPr defaultColWidth="9.140625" defaultRowHeight="15.75" x14ac:dyDescent="0.25"/>
  <cols>
    <col min="1" max="1" width="7" style="1" customWidth="1"/>
    <col min="2" max="2" width="24.7109375" style="1" customWidth="1"/>
    <col min="3" max="3" width="21.5703125" style="1" customWidth="1"/>
    <col min="4" max="4" width="23.28515625" style="1" customWidth="1"/>
    <col min="5" max="5" width="28.140625" style="1" customWidth="1"/>
    <col min="6" max="6" width="11.140625" style="1" customWidth="1"/>
    <col min="7" max="7" width="18.85546875" style="1" customWidth="1"/>
    <col min="8" max="8" width="30.5703125" style="1" customWidth="1"/>
    <col min="9" max="16384" width="9.140625" style="1"/>
  </cols>
  <sheetData>
    <row r="1" spans="1:10" ht="39.75" customHeight="1" x14ac:dyDescent="0.6">
      <c r="A1" s="27" t="s">
        <v>0</v>
      </c>
      <c r="B1" s="27"/>
      <c r="C1" s="27"/>
      <c r="D1" s="27"/>
      <c r="E1" s="27"/>
      <c r="F1" s="27"/>
      <c r="G1" s="27"/>
      <c r="H1" s="27"/>
    </row>
    <row r="2" spans="1:10" ht="23.25" customHeight="1" x14ac:dyDescent="0.35">
      <c r="A2" s="28" t="s">
        <v>1</v>
      </c>
      <c r="B2" s="28"/>
      <c r="C2" s="28"/>
      <c r="D2" s="28"/>
      <c r="E2" s="28"/>
      <c r="F2" s="28"/>
      <c r="G2" s="28"/>
      <c r="H2" s="28"/>
    </row>
    <row r="3" spans="1:10" ht="23.25" customHeight="1" x14ac:dyDescent="0.35">
      <c r="A3" s="28" t="s">
        <v>2</v>
      </c>
      <c r="B3" s="28"/>
      <c r="C3" s="28"/>
      <c r="D3" s="28"/>
      <c r="E3" s="28"/>
      <c r="F3" s="28"/>
      <c r="G3" s="28"/>
      <c r="H3" s="28"/>
    </row>
    <row r="4" spans="1:10" ht="12.75" customHeight="1" x14ac:dyDescent="0.6">
      <c r="A4" s="2"/>
      <c r="B4" s="2"/>
      <c r="C4" s="2"/>
      <c r="D4" s="3"/>
      <c r="E4" s="3"/>
      <c r="F4" s="3"/>
      <c r="G4" s="3"/>
      <c r="H4" s="3"/>
    </row>
    <row r="5" spans="1:10" ht="28.5" customHeight="1" x14ac:dyDescent="0.45">
      <c r="A5" s="29" t="s">
        <v>3</v>
      </c>
      <c r="B5" s="29"/>
      <c r="C5" s="29"/>
      <c r="D5" s="29"/>
      <c r="E5" s="29"/>
      <c r="F5" s="29"/>
      <c r="G5" s="29"/>
      <c r="H5" s="29"/>
    </row>
    <row r="6" spans="1:10" ht="21" customHeight="1" x14ac:dyDescent="0.6">
      <c r="A6" s="2" t="s">
        <v>4</v>
      </c>
      <c r="B6" s="2"/>
      <c r="C6" s="2"/>
      <c r="D6" s="3"/>
      <c r="E6" s="3"/>
      <c r="F6" s="3"/>
      <c r="G6" s="3"/>
      <c r="H6" s="3"/>
    </row>
    <row r="7" spans="1:10" ht="21" customHeight="1" x14ac:dyDescent="0.6">
      <c r="A7" s="2" t="s">
        <v>5</v>
      </c>
      <c r="B7" s="2"/>
      <c r="C7" s="2"/>
      <c r="D7" s="3"/>
      <c r="E7" s="3"/>
      <c r="F7" s="3"/>
      <c r="G7" s="3"/>
      <c r="H7" s="3"/>
    </row>
    <row r="8" spans="1:10" ht="21" customHeight="1" x14ac:dyDescent="0.6">
      <c r="A8" s="2" t="s">
        <v>6</v>
      </c>
      <c r="B8" s="2"/>
      <c r="C8" s="2"/>
      <c r="D8" s="3"/>
      <c r="E8" s="3"/>
      <c r="F8" s="3"/>
      <c r="G8" s="3"/>
      <c r="H8" s="3"/>
    </row>
    <row r="9" spans="1:10" s="6" customFormat="1" ht="40.5" x14ac:dyDescent="0.25">
      <c r="A9" s="4" t="s">
        <v>7</v>
      </c>
      <c r="B9" s="4" t="s">
        <v>8</v>
      </c>
      <c r="C9" s="5" t="s">
        <v>9</v>
      </c>
      <c r="D9" s="5" t="s">
        <v>10</v>
      </c>
      <c r="E9" s="5" t="s">
        <v>11</v>
      </c>
      <c r="F9" s="5" t="s">
        <v>12</v>
      </c>
      <c r="G9" s="5" t="s">
        <v>13</v>
      </c>
      <c r="H9" s="4" t="s">
        <v>14</v>
      </c>
    </row>
    <row r="10" spans="1:10" ht="24" x14ac:dyDescent="0.25">
      <c r="A10" s="7">
        <v>1</v>
      </c>
      <c r="B10" s="8">
        <v>66820</v>
      </c>
      <c r="C10" s="9">
        <v>916</v>
      </c>
      <c r="D10" s="10">
        <v>925</v>
      </c>
      <c r="E10" s="10">
        <f t="shared" ref="E10" si="0">D10-C10</f>
        <v>9</v>
      </c>
      <c r="F10" s="11">
        <v>2137</v>
      </c>
      <c r="G10" s="26">
        <f t="shared" ref="G10" si="1">F10*E10</f>
        <v>19233</v>
      </c>
      <c r="H10" s="12" t="s">
        <v>37</v>
      </c>
      <c r="J10" s="13"/>
    </row>
    <row r="11" spans="1:10" ht="23.25" x14ac:dyDescent="0.25">
      <c r="A11" s="12"/>
      <c r="B11" s="12"/>
      <c r="C11" s="14"/>
      <c r="D11" s="12"/>
      <c r="E11" s="15" t="s">
        <v>15</v>
      </c>
      <c r="F11" s="16"/>
      <c r="G11" s="26">
        <f>SUM(G10:G10)</f>
        <v>19233</v>
      </c>
      <c r="H11" s="14"/>
    </row>
    <row r="12" spans="1:10" ht="23.25" x14ac:dyDescent="0.25">
      <c r="A12" s="12"/>
      <c r="B12" s="12"/>
      <c r="C12" s="14"/>
      <c r="D12" s="12"/>
      <c r="E12" s="15" t="s">
        <v>16</v>
      </c>
      <c r="F12" s="16"/>
      <c r="G12" s="26"/>
      <c r="H12" s="14"/>
    </row>
    <row r="13" spans="1:10" ht="23.25" x14ac:dyDescent="0.25">
      <c r="A13" s="12"/>
      <c r="B13" s="12"/>
      <c r="C13" s="14"/>
      <c r="D13" s="12"/>
      <c r="E13" s="15" t="s">
        <v>17</v>
      </c>
      <c r="F13" s="16"/>
      <c r="G13" s="26">
        <f>G11</f>
        <v>19233</v>
      </c>
      <c r="H13" s="14"/>
    </row>
    <row r="14" spans="1:10" ht="23.25" x14ac:dyDescent="0.25">
      <c r="A14" s="12"/>
      <c r="B14" s="12"/>
      <c r="C14" s="14"/>
      <c r="D14" s="12"/>
      <c r="E14" s="15" t="s">
        <v>18</v>
      </c>
      <c r="F14" s="16"/>
      <c r="G14" s="26">
        <f>0.13*G13</f>
        <v>2500.29</v>
      </c>
      <c r="H14" s="14"/>
    </row>
    <row r="15" spans="1:10" ht="23.25" x14ac:dyDescent="0.25">
      <c r="A15" s="12"/>
      <c r="B15" s="12"/>
      <c r="C15" s="14"/>
      <c r="D15" s="12"/>
      <c r="E15" s="15" t="s">
        <v>19</v>
      </c>
      <c r="F15" s="16"/>
      <c r="G15" s="26">
        <f>SUM(G13:G14)</f>
        <v>21733.29</v>
      </c>
      <c r="H15" s="14"/>
    </row>
    <row r="16" spans="1:10" ht="23.25" x14ac:dyDescent="0.25">
      <c r="A16" s="17"/>
      <c r="B16" s="17"/>
      <c r="C16" s="18"/>
      <c r="D16" s="17"/>
      <c r="E16" s="19"/>
      <c r="G16" s="20"/>
      <c r="H16" s="18"/>
    </row>
    <row r="23" spans="2:8" ht="20.25" x14ac:dyDescent="0.3">
      <c r="B23" s="21" t="s">
        <v>20</v>
      </c>
      <c r="E23" s="21" t="s">
        <v>21</v>
      </c>
      <c r="H23" s="21" t="s">
        <v>21</v>
      </c>
    </row>
    <row r="24" spans="2:8" ht="20.25" x14ac:dyDescent="0.3">
      <c r="B24" s="22"/>
      <c r="E24" s="22"/>
      <c r="H24" s="22"/>
    </row>
    <row r="25" spans="2:8" ht="18.75" x14ac:dyDescent="0.3">
      <c r="B25" s="23" t="s">
        <v>22</v>
      </c>
      <c r="E25" s="23" t="s">
        <v>23</v>
      </c>
      <c r="H25" s="23" t="s">
        <v>23</v>
      </c>
    </row>
    <row r="32" spans="2:8" ht="20.25" x14ac:dyDescent="0.3">
      <c r="C32" s="21" t="s">
        <v>21</v>
      </c>
      <c r="F32" s="21" t="s">
        <v>24</v>
      </c>
    </row>
    <row r="33" spans="3:6" ht="20.25" x14ac:dyDescent="0.3">
      <c r="C33" s="22"/>
      <c r="F33" s="22"/>
    </row>
    <row r="34" spans="3:6" ht="18.75" x14ac:dyDescent="0.3">
      <c r="C34" s="23" t="s">
        <v>25</v>
      </c>
      <c r="D34" s="24"/>
      <c r="F34" s="23" t="s">
        <v>26</v>
      </c>
    </row>
    <row r="39" spans="3:6" x14ac:dyDescent="0.25">
      <c r="C39" s="1" t="s">
        <v>27</v>
      </c>
      <c r="D39" s="1" t="s">
        <v>28</v>
      </c>
      <c r="E39" s="1" t="s">
        <v>29</v>
      </c>
    </row>
    <row r="40" spans="3:6" x14ac:dyDescent="0.25">
      <c r="C40" s="1" t="s">
        <v>30</v>
      </c>
      <c r="D40" s="1" t="s">
        <v>31</v>
      </c>
      <c r="E40" s="1"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BB723-8C47-47D1-8EEB-102CE326DDE7}">
  <dimension ref="A1:J40"/>
  <sheetViews>
    <sheetView view="pageBreakPreview" topLeftCell="A4" zoomScaleNormal="100" zoomScaleSheetLayoutView="100" workbookViewId="0">
      <selection activeCell="F10" sqref="F10"/>
    </sheetView>
  </sheetViews>
  <sheetFormatPr defaultColWidth="9.140625" defaultRowHeight="15.75" x14ac:dyDescent="0.25"/>
  <cols>
    <col min="1" max="1" width="7" style="1" customWidth="1"/>
    <col min="2" max="2" width="24.7109375" style="1" customWidth="1"/>
    <col min="3" max="3" width="21.5703125" style="1" customWidth="1"/>
    <col min="4" max="4" width="23.28515625" style="1" customWidth="1"/>
    <col min="5" max="5" width="28.140625" style="1" customWidth="1"/>
    <col min="6" max="6" width="11.140625" style="1" customWidth="1"/>
    <col min="7" max="7" width="18.85546875" style="1" customWidth="1"/>
    <col min="8" max="8" width="30.5703125" style="1" customWidth="1"/>
    <col min="9" max="16384" width="9.140625" style="1"/>
  </cols>
  <sheetData>
    <row r="1" spans="1:10" ht="39.75" customHeight="1" x14ac:dyDescent="0.6">
      <c r="A1" s="27" t="s">
        <v>0</v>
      </c>
      <c r="B1" s="27"/>
      <c r="C1" s="27"/>
      <c r="D1" s="27"/>
      <c r="E1" s="27"/>
      <c r="F1" s="27"/>
      <c r="G1" s="27"/>
      <c r="H1" s="27"/>
    </row>
    <row r="2" spans="1:10" ht="23.25" customHeight="1" x14ac:dyDescent="0.35">
      <c r="A2" s="28" t="s">
        <v>1</v>
      </c>
      <c r="B2" s="28"/>
      <c r="C2" s="28"/>
      <c r="D2" s="28"/>
      <c r="E2" s="28"/>
      <c r="F2" s="28"/>
      <c r="G2" s="28"/>
      <c r="H2" s="28"/>
    </row>
    <row r="3" spans="1:10" ht="23.25" customHeight="1" x14ac:dyDescent="0.35">
      <c r="A3" s="28" t="s">
        <v>2</v>
      </c>
      <c r="B3" s="28"/>
      <c r="C3" s="28"/>
      <c r="D3" s="28"/>
      <c r="E3" s="28"/>
      <c r="F3" s="28"/>
      <c r="G3" s="28"/>
      <c r="H3" s="28"/>
    </row>
    <row r="4" spans="1:10" ht="12.75" customHeight="1" x14ac:dyDescent="0.6">
      <c r="A4" s="2"/>
      <c r="B4" s="2"/>
      <c r="C4" s="2"/>
      <c r="D4" s="3"/>
      <c r="E4" s="3"/>
      <c r="F4" s="3"/>
      <c r="G4" s="3"/>
      <c r="H4" s="3"/>
    </row>
    <row r="5" spans="1:10" ht="28.5" customHeight="1" x14ac:dyDescent="0.45">
      <c r="A5" s="29" t="s">
        <v>3</v>
      </c>
      <c r="B5" s="29"/>
      <c r="C5" s="29"/>
      <c r="D5" s="29"/>
      <c r="E5" s="29"/>
      <c r="F5" s="29"/>
      <c r="G5" s="29"/>
      <c r="H5" s="29"/>
    </row>
    <row r="6" spans="1:10" ht="21" customHeight="1" x14ac:dyDescent="0.6">
      <c r="A6" s="2" t="s">
        <v>4</v>
      </c>
      <c r="B6" s="2"/>
      <c r="C6" s="2"/>
      <c r="D6" s="3"/>
      <c r="E6" s="3"/>
      <c r="F6" s="3"/>
      <c r="G6" s="3"/>
      <c r="H6" s="3"/>
    </row>
    <row r="7" spans="1:10" ht="21" customHeight="1" x14ac:dyDescent="0.6">
      <c r="A7" s="2" t="s">
        <v>5</v>
      </c>
      <c r="B7" s="2"/>
      <c r="C7" s="2"/>
      <c r="D7" s="3"/>
      <c r="E7" s="3"/>
      <c r="F7" s="3"/>
      <c r="G7" s="3"/>
      <c r="H7" s="3"/>
    </row>
    <row r="8" spans="1:10" ht="21" customHeight="1" x14ac:dyDescent="0.6">
      <c r="A8" s="2" t="s">
        <v>6</v>
      </c>
      <c r="B8" s="2"/>
      <c r="C8" s="2"/>
      <c r="D8" s="3"/>
      <c r="E8" s="3"/>
      <c r="F8" s="3"/>
      <c r="G8" s="3"/>
      <c r="H8" s="3"/>
    </row>
    <row r="9" spans="1:10" s="6" customFormat="1" ht="40.5" x14ac:dyDescent="0.25">
      <c r="A9" s="4" t="s">
        <v>7</v>
      </c>
      <c r="B9" s="4" t="s">
        <v>8</v>
      </c>
      <c r="C9" s="5" t="s">
        <v>9</v>
      </c>
      <c r="D9" s="5" t="s">
        <v>10</v>
      </c>
      <c r="E9" s="5" t="s">
        <v>11</v>
      </c>
      <c r="F9" s="5" t="s">
        <v>12</v>
      </c>
      <c r="G9" s="5" t="s">
        <v>13</v>
      </c>
      <c r="H9" s="4" t="s">
        <v>14</v>
      </c>
    </row>
    <row r="10" spans="1:10" ht="24" x14ac:dyDescent="0.25">
      <c r="A10" s="7">
        <v>1</v>
      </c>
      <c r="B10" s="8">
        <v>66821</v>
      </c>
      <c r="C10" s="9">
        <v>925</v>
      </c>
      <c r="D10" s="10">
        <v>932</v>
      </c>
      <c r="E10" s="10">
        <f t="shared" ref="E10" si="0">D10-C10</f>
        <v>7</v>
      </c>
      <c r="F10" s="11">
        <v>2137</v>
      </c>
      <c r="G10" s="26">
        <f t="shared" ref="G10" si="1">F10*E10</f>
        <v>14959</v>
      </c>
      <c r="H10" s="25" t="s">
        <v>38</v>
      </c>
      <c r="J10" s="13"/>
    </row>
    <row r="11" spans="1:10" ht="23.25" x14ac:dyDescent="0.25">
      <c r="A11" s="12"/>
      <c r="B11" s="12"/>
      <c r="C11" s="14"/>
      <c r="D11" s="12"/>
      <c r="E11" s="15" t="s">
        <v>15</v>
      </c>
      <c r="F11" s="16"/>
      <c r="G11" s="26">
        <f>SUM(G10:G10)</f>
        <v>14959</v>
      </c>
      <c r="H11" s="14"/>
    </row>
    <row r="12" spans="1:10" ht="23.25" x14ac:dyDescent="0.25">
      <c r="A12" s="12"/>
      <c r="B12" s="12"/>
      <c r="C12" s="14"/>
      <c r="D12" s="12"/>
      <c r="E12" s="15" t="s">
        <v>16</v>
      </c>
      <c r="F12" s="16"/>
      <c r="G12" s="26"/>
      <c r="H12" s="14"/>
    </row>
    <row r="13" spans="1:10" ht="23.25" x14ac:dyDescent="0.25">
      <c r="A13" s="12"/>
      <c r="B13" s="12"/>
      <c r="C13" s="14"/>
      <c r="D13" s="12"/>
      <c r="E13" s="15" t="s">
        <v>17</v>
      </c>
      <c r="F13" s="16"/>
      <c r="G13" s="26">
        <f>G11</f>
        <v>14959</v>
      </c>
      <c r="H13" s="14"/>
    </row>
    <row r="14" spans="1:10" ht="23.25" x14ac:dyDescent="0.25">
      <c r="A14" s="12"/>
      <c r="B14" s="12"/>
      <c r="C14" s="14"/>
      <c r="D14" s="12"/>
      <c r="E14" s="15" t="s">
        <v>18</v>
      </c>
      <c r="F14" s="16"/>
      <c r="G14" s="26">
        <f>0.13*G13</f>
        <v>1944.67</v>
      </c>
      <c r="H14" s="14"/>
    </row>
    <row r="15" spans="1:10" ht="23.25" x14ac:dyDescent="0.25">
      <c r="A15" s="12"/>
      <c r="B15" s="12"/>
      <c r="C15" s="14"/>
      <c r="D15" s="12"/>
      <c r="E15" s="15" t="s">
        <v>19</v>
      </c>
      <c r="F15" s="16"/>
      <c r="G15" s="26">
        <f>SUM(G13:G14)</f>
        <v>16903.669999999998</v>
      </c>
      <c r="H15" s="14"/>
    </row>
    <row r="16" spans="1:10" ht="23.25" x14ac:dyDescent="0.25">
      <c r="A16" s="17"/>
      <c r="B16" s="17"/>
      <c r="C16" s="18"/>
      <c r="D16" s="17"/>
      <c r="E16" s="19"/>
      <c r="G16" s="20"/>
      <c r="H16" s="18"/>
    </row>
    <row r="23" spans="2:8" ht="20.25" x14ac:dyDescent="0.3">
      <c r="B23" s="21" t="s">
        <v>20</v>
      </c>
      <c r="E23" s="21" t="s">
        <v>21</v>
      </c>
      <c r="H23" s="21" t="s">
        <v>21</v>
      </c>
    </row>
    <row r="24" spans="2:8" ht="20.25" x14ac:dyDescent="0.3">
      <c r="B24" s="22"/>
      <c r="E24" s="22"/>
      <c r="H24" s="22"/>
    </row>
    <row r="25" spans="2:8" ht="18.75" x14ac:dyDescent="0.3">
      <c r="B25" s="23" t="s">
        <v>22</v>
      </c>
      <c r="E25" s="23" t="s">
        <v>23</v>
      </c>
      <c r="H25" s="23" t="s">
        <v>23</v>
      </c>
    </row>
    <row r="32" spans="2:8" ht="20.25" x14ac:dyDescent="0.3">
      <c r="C32" s="21" t="s">
        <v>21</v>
      </c>
      <c r="F32" s="21" t="s">
        <v>24</v>
      </c>
    </row>
    <row r="33" spans="3:6" ht="20.25" x14ac:dyDescent="0.3">
      <c r="C33" s="22"/>
      <c r="F33" s="22"/>
    </row>
    <row r="34" spans="3:6" ht="18.75" x14ac:dyDescent="0.3">
      <c r="C34" s="23" t="s">
        <v>25</v>
      </c>
      <c r="D34" s="24"/>
      <c r="F34" s="23" t="s">
        <v>26</v>
      </c>
    </row>
    <row r="39" spans="3:6" x14ac:dyDescent="0.25">
      <c r="C39" s="1" t="s">
        <v>27</v>
      </c>
      <c r="D39" s="1" t="s">
        <v>28</v>
      </c>
      <c r="E39" s="1" t="s">
        <v>29</v>
      </c>
    </row>
    <row r="40" spans="3:6" x14ac:dyDescent="0.25">
      <c r="C40" s="1" t="s">
        <v>30</v>
      </c>
      <c r="D40" s="1" t="s">
        <v>31</v>
      </c>
      <c r="E40" s="1"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54705-98C1-4A1E-BEA6-14D5F402C819}">
  <dimension ref="A1:J40"/>
  <sheetViews>
    <sheetView view="pageBreakPreview" topLeftCell="A4" zoomScaleNormal="100" zoomScaleSheetLayoutView="100" workbookViewId="0">
      <selection activeCell="F10" sqref="F10"/>
    </sheetView>
  </sheetViews>
  <sheetFormatPr defaultColWidth="9.140625" defaultRowHeight="15.75" x14ac:dyDescent="0.25"/>
  <cols>
    <col min="1" max="1" width="7" style="1" customWidth="1"/>
    <col min="2" max="2" width="24.7109375" style="1" customWidth="1"/>
    <col min="3" max="3" width="21.5703125" style="1" customWidth="1"/>
    <col min="4" max="4" width="23.28515625" style="1" customWidth="1"/>
    <col min="5" max="5" width="28.140625" style="1" customWidth="1"/>
    <col min="6" max="6" width="11.140625" style="1" customWidth="1"/>
    <col min="7" max="7" width="18.85546875" style="1" customWidth="1"/>
    <col min="8" max="8" width="30.5703125" style="1" customWidth="1"/>
    <col min="9" max="16384" width="9.140625" style="1"/>
  </cols>
  <sheetData>
    <row r="1" spans="1:10" ht="39.75" customHeight="1" x14ac:dyDescent="0.6">
      <c r="A1" s="27" t="s">
        <v>0</v>
      </c>
      <c r="B1" s="27"/>
      <c r="C1" s="27"/>
      <c r="D1" s="27"/>
      <c r="E1" s="27"/>
      <c r="F1" s="27"/>
      <c r="G1" s="27"/>
      <c r="H1" s="27"/>
    </row>
    <row r="2" spans="1:10" ht="23.25" customHeight="1" x14ac:dyDescent="0.35">
      <c r="A2" s="28" t="s">
        <v>1</v>
      </c>
      <c r="B2" s="28"/>
      <c r="C2" s="28"/>
      <c r="D2" s="28"/>
      <c r="E2" s="28"/>
      <c r="F2" s="28"/>
      <c r="G2" s="28"/>
      <c r="H2" s="28"/>
    </row>
    <row r="3" spans="1:10" ht="23.25" customHeight="1" x14ac:dyDescent="0.35">
      <c r="A3" s="28" t="s">
        <v>2</v>
      </c>
      <c r="B3" s="28"/>
      <c r="C3" s="28"/>
      <c r="D3" s="28"/>
      <c r="E3" s="28"/>
      <c r="F3" s="28"/>
      <c r="G3" s="28"/>
      <c r="H3" s="28"/>
    </row>
    <row r="4" spans="1:10" ht="12.75" customHeight="1" x14ac:dyDescent="0.6">
      <c r="A4" s="2"/>
      <c r="B4" s="2"/>
      <c r="C4" s="2"/>
      <c r="D4" s="3"/>
      <c r="E4" s="3"/>
      <c r="F4" s="3"/>
      <c r="G4" s="3"/>
      <c r="H4" s="3"/>
    </row>
    <row r="5" spans="1:10" ht="28.5" customHeight="1" x14ac:dyDescent="0.45">
      <c r="A5" s="29" t="s">
        <v>3</v>
      </c>
      <c r="B5" s="29"/>
      <c r="C5" s="29"/>
      <c r="D5" s="29"/>
      <c r="E5" s="29"/>
      <c r="F5" s="29"/>
      <c r="G5" s="29"/>
      <c r="H5" s="29"/>
    </row>
    <row r="6" spans="1:10" ht="21" customHeight="1" x14ac:dyDescent="0.6">
      <c r="A6" s="2" t="s">
        <v>4</v>
      </c>
      <c r="B6" s="2"/>
      <c r="C6" s="2"/>
      <c r="D6" s="3"/>
      <c r="E6" s="3"/>
      <c r="F6" s="3"/>
      <c r="G6" s="3"/>
      <c r="H6" s="3"/>
    </row>
    <row r="7" spans="1:10" ht="21" customHeight="1" x14ac:dyDescent="0.6">
      <c r="A7" s="2" t="s">
        <v>5</v>
      </c>
      <c r="B7" s="2"/>
      <c r="C7" s="2"/>
      <c r="D7" s="3"/>
      <c r="E7" s="3"/>
      <c r="F7" s="3"/>
      <c r="G7" s="3"/>
      <c r="H7" s="3"/>
    </row>
    <row r="8" spans="1:10" ht="21" customHeight="1" x14ac:dyDescent="0.6">
      <c r="A8" s="2" t="s">
        <v>6</v>
      </c>
      <c r="B8" s="2"/>
      <c r="C8" s="2"/>
      <c r="D8" s="3"/>
      <c r="E8" s="3"/>
      <c r="F8" s="3"/>
      <c r="G8" s="3"/>
      <c r="H8" s="3"/>
    </row>
    <row r="9" spans="1:10" s="6" customFormat="1" ht="40.5" x14ac:dyDescent="0.25">
      <c r="A9" s="4" t="s">
        <v>7</v>
      </c>
      <c r="B9" s="4" t="s">
        <v>8</v>
      </c>
      <c r="C9" s="5" t="s">
        <v>9</v>
      </c>
      <c r="D9" s="5" t="s">
        <v>10</v>
      </c>
      <c r="E9" s="5" t="s">
        <v>11</v>
      </c>
      <c r="F9" s="5" t="s">
        <v>12</v>
      </c>
      <c r="G9" s="5" t="s">
        <v>13</v>
      </c>
      <c r="H9" s="4" t="s">
        <v>14</v>
      </c>
    </row>
    <row r="10" spans="1:10" ht="24" x14ac:dyDescent="0.25">
      <c r="A10" s="7">
        <v>1</v>
      </c>
      <c r="B10" s="8">
        <v>66822</v>
      </c>
      <c r="C10" s="9">
        <v>932</v>
      </c>
      <c r="D10" s="10">
        <v>940</v>
      </c>
      <c r="E10" s="10">
        <f t="shared" ref="E10" si="0">D10-C10</f>
        <v>8</v>
      </c>
      <c r="F10" s="11">
        <v>2137</v>
      </c>
      <c r="G10" s="26">
        <f t="shared" ref="G10" si="1">F10*E10</f>
        <v>17096</v>
      </c>
      <c r="H10" s="25" t="s">
        <v>38</v>
      </c>
      <c r="J10" s="13"/>
    </row>
    <row r="11" spans="1:10" ht="23.25" x14ac:dyDescent="0.25">
      <c r="A11" s="12"/>
      <c r="B11" s="12"/>
      <c r="C11" s="14"/>
      <c r="D11" s="12"/>
      <c r="E11" s="15" t="s">
        <v>15</v>
      </c>
      <c r="F11" s="16"/>
      <c r="G11" s="26">
        <f>SUM(G10:G10)</f>
        <v>17096</v>
      </c>
      <c r="H11" s="14"/>
    </row>
    <row r="12" spans="1:10" ht="23.25" x14ac:dyDescent="0.25">
      <c r="A12" s="12"/>
      <c r="B12" s="12"/>
      <c r="C12" s="14"/>
      <c r="D12" s="12"/>
      <c r="E12" s="15" t="s">
        <v>16</v>
      </c>
      <c r="F12" s="16"/>
      <c r="G12" s="26"/>
      <c r="H12" s="14"/>
    </row>
    <row r="13" spans="1:10" ht="23.25" x14ac:dyDescent="0.25">
      <c r="A13" s="12"/>
      <c r="B13" s="12"/>
      <c r="C13" s="14"/>
      <c r="D13" s="12"/>
      <c r="E13" s="15" t="s">
        <v>17</v>
      </c>
      <c r="F13" s="16"/>
      <c r="G13" s="26">
        <f>G11</f>
        <v>17096</v>
      </c>
      <c r="H13" s="14"/>
    </row>
    <row r="14" spans="1:10" ht="23.25" x14ac:dyDescent="0.25">
      <c r="A14" s="12"/>
      <c r="B14" s="12"/>
      <c r="C14" s="14"/>
      <c r="D14" s="12"/>
      <c r="E14" s="15" t="s">
        <v>18</v>
      </c>
      <c r="F14" s="16"/>
      <c r="G14" s="26">
        <f>0.13*G13</f>
        <v>2222.48</v>
      </c>
      <c r="H14" s="14"/>
    </row>
    <row r="15" spans="1:10" ht="23.25" x14ac:dyDescent="0.25">
      <c r="A15" s="12"/>
      <c r="B15" s="12"/>
      <c r="C15" s="14"/>
      <c r="D15" s="12"/>
      <c r="E15" s="15" t="s">
        <v>19</v>
      </c>
      <c r="F15" s="16"/>
      <c r="G15" s="26">
        <f>SUM(G13:G14)</f>
        <v>19318.48</v>
      </c>
      <c r="H15" s="14"/>
    </row>
    <row r="16" spans="1:10" ht="23.25" x14ac:dyDescent="0.25">
      <c r="A16" s="17"/>
      <c r="B16" s="17"/>
      <c r="C16" s="18"/>
      <c r="D16" s="17"/>
      <c r="E16" s="19"/>
      <c r="G16" s="20"/>
      <c r="H16" s="18"/>
    </row>
    <row r="23" spans="2:8" ht="20.25" x14ac:dyDescent="0.3">
      <c r="B23" s="21" t="s">
        <v>20</v>
      </c>
      <c r="E23" s="21" t="s">
        <v>21</v>
      </c>
      <c r="H23" s="21" t="s">
        <v>21</v>
      </c>
    </row>
    <row r="24" spans="2:8" ht="20.25" x14ac:dyDescent="0.3">
      <c r="B24" s="22"/>
      <c r="E24" s="22"/>
      <c r="H24" s="22"/>
    </row>
    <row r="25" spans="2:8" ht="18.75" x14ac:dyDescent="0.3">
      <c r="B25" s="23" t="s">
        <v>22</v>
      </c>
      <c r="E25" s="23" t="s">
        <v>23</v>
      </c>
      <c r="H25" s="23" t="s">
        <v>23</v>
      </c>
    </row>
    <row r="32" spans="2:8" ht="20.25" x14ac:dyDescent="0.3">
      <c r="C32" s="21" t="s">
        <v>21</v>
      </c>
      <c r="F32" s="21" t="s">
        <v>24</v>
      </c>
    </row>
    <row r="33" spans="3:6" ht="20.25" x14ac:dyDescent="0.3">
      <c r="C33" s="22"/>
      <c r="F33" s="22"/>
    </row>
    <row r="34" spans="3:6" ht="18.75" x14ac:dyDescent="0.3">
      <c r="C34" s="23" t="s">
        <v>25</v>
      </c>
      <c r="D34" s="24"/>
      <c r="F34" s="23" t="s">
        <v>26</v>
      </c>
    </row>
    <row r="39" spans="3:6" x14ac:dyDescent="0.25">
      <c r="C39" s="1" t="s">
        <v>27</v>
      </c>
      <c r="D39" s="1" t="s">
        <v>28</v>
      </c>
      <c r="E39" s="1" t="s">
        <v>29</v>
      </c>
    </row>
    <row r="40" spans="3:6" x14ac:dyDescent="0.25">
      <c r="C40" s="1" t="s">
        <v>30</v>
      </c>
      <c r="D40" s="1" t="s">
        <v>31</v>
      </c>
      <c r="E40" s="1"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48657-6D3A-44D9-B567-F0257C0D2C36}">
  <dimension ref="A1:J40"/>
  <sheetViews>
    <sheetView view="pageBreakPreview" topLeftCell="A4" zoomScaleNormal="100" zoomScaleSheetLayoutView="100" workbookViewId="0">
      <selection activeCell="F10" sqref="F10"/>
    </sheetView>
  </sheetViews>
  <sheetFormatPr defaultColWidth="9.140625" defaultRowHeight="15.75" x14ac:dyDescent="0.25"/>
  <cols>
    <col min="1" max="1" width="7" style="1" customWidth="1"/>
    <col min="2" max="2" width="24.7109375" style="1" customWidth="1"/>
    <col min="3" max="3" width="21.5703125" style="1" customWidth="1"/>
    <col min="4" max="4" width="23.28515625" style="1" customWidth="1"/>
    <col min="5" max="5" width="28.140625" style="1" customWidth="1"/>
    <col min="6" max="6" width="11.140625" style="1" customWidth="1"/>
    <col min="7" max="7" width="18.85546875" style="1" customWidth="1"/>
    <col min="8" max="8" width="30.5703125" style="1" customWidth="1"/>
    <col min="9" max="16384" width="9.140625" style="1"/>
  </cols>
  <sheetData>
    <row r="1" spans="1:10" ht="39.75" customHeight="1" x14ac:dyDescent="0.6">
      <c r="A1" s="27" t="s">
        <v>0</v>
      </c>
      <c r="B1" s="27"/>
      <c r="C1" s="27"/>
      <c r="D1" s="27"/>
      <c r="E1" s="27"/>
      <c r="F1" s="27"/>
      <c r="G1" s="27"/>
      <c r="H1" s="27"/>
    </row>
    <row r="2" spans="1:10" ht="23.25" customHeight="1" x14ac:dyDescent="0.35">
      <c r="A2" s="28" t="s">
        <v>1</v>
      </c>
      <c r="B2" s="28"/>
      <c r="C2" s="28"/>
      <c r="D2" s="28"/>
      <c r="E2" s="28"/>
      <c r="F2" s="28"/>
      <c r="G2" s="28"/>
      <c r="H2" s="28"/>
    </row>
    <row r="3" spans="1:10" ht="23.25" customHeight="1" x14ac:dyDescent="0.35">
      <c r="A3" s="28" t="s">
        <v>2</v>
      </c>
      <c r="B3" s="28"/>
      <c r="C3" s="28"/>
      <c r="D3" s="28"/>
      <c r="E3" s="28"/>
      <c r="F3" s="28"/>
      <c r="G3" s="28"/>
      <c r="H3" s="28"/>
    </row>
    <row r="4" spans="1:10" ht="12.75" customHeight="1" x14ac:dyDescent="0.6">
      <c r="A4" s="2"/>
      <c r="B4" s="2"/>
      <c r="C4" s="2"/>
      <c r="D4" s="3"/>
      <c r="E4" s="3"/>
      <c r="F4" s="3"/>
      <c r="G4" s="3"/>
      <c r="H4" s="3"/>
    </row>
    <row r="5" spans="1:10" ht="28.5" customHeight="1" x14ac:dyDescent="0.45">
      <c r="A5" s="29" t="s">
        <v>3</v>
      </c>
      <c r="B5" s="29"/>
      <c r="C5" s="29"/>
      <c r="D5" s="29"/>
      <c r="E5" s="29"/>
      <c r="F5" s="29"/>
      <c r="G5" s="29"/>
      <c r="H5" s="29"/>
    </row>
    <row r="6" spans="1:10" ht="21" customHeight="1" x14ac:dyDescent="0.6">
      <c r="A6" s="2" t="s">
        <v>4</v>
      </c>
      <c r="B6" s="2"/>
      <c r="C6" s="2"/>
      <c r="D6" s="3"/>
      <c r="E6" s="3"/>
      <c r="F6" s="3"/>
      <c r="G6" s="3"/>
      <c r="H6" s="3"/>
    </row>
    <row r="7" spans="1:10" ht="21" customHeight="1" x14ac:dyDescent="0.6">
      <c r="A7" s="2" t="s">
        <v>5</v>
      </c>
      <c r="B7" s="2"/>
      <c r="C7" s="2"/>
      <c r="D7" s="3"/>
      <c r="E7" s="3"/>
      <c r="F7" s="3"/>
      <c r="G7" s="3"/>
      <c r="H7" s="3"/>
    </row>
    <row r="8" spans="1:10" ht="21" customHeight="1" x14ac:dyDescent="0.6">
      <c r="A8" s="2" t="s">
        <v>6</v>
      </c>
      <c r="B8" s="2"/>
      <c r="C8" s="2"/>
      <c r="D8" s="3"/>
      <c r="E8" s="3"/>
      <c r="F8" s="3"/>
      <c r="G8" s="3"/>
      <c r="H8" s="3"/>
    </row>
    <row r="9" spans="1:10" s="6" customFormat="1" ht="40.5" x14ac:dyDescent="0.25">
      <c r="A9" s="4" t="s">
        <v>7</v>
      </c>
      <c r="B9" s="4" t="s">
        <v>8</v>
      </c>
      <c r="C9" s="5" t="s">
        <v>9</v>
      </c>
      <c r="D9" s="5" t="s">
        <v>10</v>
      </c>
      <c r="E9" s="5" t="s">
        <v>11</v>
      </c>
      <c r="F9" s="5" t="s">
        <v>12</v>
      </c>
      <c r="G9" s="5" t="s">
        <v>13</v>
      </c>
      <c r="H9" s="4" t="s">
        <v>14</v>
      </c>
    </row>
    <row r="10" spans="1:10" ht="24" x14ac:dyDescent="0.25">
      <c r="A10" s="7">
        <v>1</v>
      </c>
      <c r="B10" s="8">
        <v>66825</v>
      </c>
      <c r="C10" s="9">
        <v>940</v>
      </c>
      <c r="D10" s="10">
        <v>950</v>
      </c>
      <c r="E10" s="10">
        <f t="shared" ref="E10" si="0">D10-C10</f>
        <v>10</v>
      </c>
      <c r="F10" s="11">
        <v>2137</v>
      </c>
      <c r="G10" s="26">
        <f t="shared" ref="G10" si="1">F10*E10</f>
        <v>21370</v>
      </c>
      <c r="H10" s="25" t="s">
        <v>38</v>
      </c>
      <c r="J10" s="13"/>
    </row>
    <row r="11" spans="1:10" ht="23.25" x14ac:dyDescent="0.25">
      <c r="A11" s="12"/>
      <c r="B11" s="12"/>
      <c r="C11" s="14"/>
      <c r="D11" s="12"/>
      <c r="E11" s="15" t="s">
        <v>15</v>
      </c>
      <c r="F11" s="16"/>
      <c r="G11" s="26">
        <f>SUM(G10:G10)</f>
        <v>21370</v>
      </c>
      <c r="H11" s="14"/>
    </row>
    <row r="12" spans="1:10" ht="23.25" x14ac:dyDescent="0.25">
      <c r="A12" s="12"/>
      <c r="B12" s="12"/>
      <c r="C12" s="14"/>
      <c r="D12" s="12"/>
      <c r="E12" s="15" t="s">
        <v>16</v>
      </c>
      <c r="F12" s="16"/>
      <c r="G12" s="26"/>
      <c r="H12" s="14"/>
    </row>
    <row r="13" spans="1:10" ht="23.25" x14ac:dyDescent="0.25">
      <c r="A13" s="12"/>
      <c r="B13" s="12"/>
      <c r="C13" s="14"/>
      <c r="D13" s="12"/>
      <c r="E13" s="15" t="s">
        <v>17</v>
      </c>
      <c r="F13" s="16"/>
      <c r="G13" s="26">
        <f>G11</f>
        <v>21370</v>
      </c>
      <c r="H13" s="14"/>
    </row>
    <row r="14" spans="1:10" ht="23.25" x14ac:dyDescent="0.25">
      <c r="A14" s="12"/>
      <c r="B14" s="12"/>
      <c r="C14" s="14"/>
      <c r="D14" s="12"/>
      <c r="E14" s="15" t="s">
        <v>18</v>
      </c>
      <c r="F14" s="16"/>
      <c r="G14" s="26">
        <f>0.13*G13</f>
        <v>2778.1</v>
      </c>
      <c r="H14" s="14"/>
    </row>
    <row r="15" spans="1:10" ht="23.25" x14ac:dyDescent="0.25">
      <c r="A15" s="12"/>
      <c r="B15" s="12"/>
      <c r="C15" s="14"/>
      <c r="D15" s="12"/>
      <c r="E15" s="15" t="s">
        <v>19</v>
      </c>
      <c r="F15" s="16"/>
      <c r="G15" s="26">
        <f>SUM(G13:G14)</f>
        <v>24148.1</v>
      </c>
      <c r="H15" s="14"/>
    </row>
    <row r="16" spans="1:10" ht="23.25" x14ac:dyDescent="0.25">
      <c r="A16" s="17"/>
      <c r="B16" s="17"/>
      <c r="C16" s="18"/>
      <c r="D16" s="17"/>
      <c r="E16" s="19"/>
      <c r="G16" s="20"/>
      <c r="H16" s="18"/>
    </row>
    <row r="23" spans="2:8" ht="20.25" x14ac:dyDescent="0.3">
      <c r="B23" s="21" t="s">
        <v>20</v>
      </c>
      <c r="E23" s="21" t="s">
        <v>21</v>
      </c>
      <c r="H23" s="21" t="s">
        <v>21</v>
      </c>
    </row>
    <row r="24" spans="2:8" ht="20.25" x14ac:dyDescent="0.3">
      <c r="B24" s="22"/>
      <c r="E24" s="22"/>
      <c r="H24" s="22"/>
    </row>
    <row r="25" spans="2:8" ht="18.75" x14ac:dyDescent="0.3">
      <c r="B25" s="23" t="s">
        <v>22</v>
      </c>
      <c r="E25" s="23" t="s">
        <v>23</v>
      </c>
      <c r="H25" s="23" t="s">
        <v>23</v>
      </c>
    </row>
    <row r="32" spans="2:8" ht="20.25" x14ac:dyDescent="0.3">
      <c r="C32" s="21" t="s">
        <v>21</v>
      </c>
      <c r="F32" s="21" t="s">
        <v>24</v>
      </c>
    </row>
    <row r="33" spans="3:6" ht="20.25" x14ac:dyDescent="0.3">
      <c r="C33" s="22"/>
      <c r="F33" s="22"/>
    </row>
    <row r="34" spans="3:6" ht="18.75" x14ac:dyDescent="0.3">
      <c r="C34" s="23" t="s">
        <v>25</v>
      </c>
      <c r="D34" s="24"/>
      <c r="F34" s="23" t="s">
        <v>26</v>
      </c>
    </row>
    <row r="39" spans="3:6" x14ac:dyDescent="0.25">
      <c r="C39" s="1" t="s">
        <v>27</v>
      </c>
      <c r="D39" s="1" t="s">
        <v>28</v>
      </c>
      <c r="E39" s="1" t="s">
        <v>29</v>
      </c>
    </row>
    <row r="40" spans="3:6" x14ac:dyDescent="0.25">
      <c r="C40" s="1" t="s">
        <v>30</v>
      </c>
      <c r="D40" s="1" t="s">
        <v>31</v>
      </c>
      <c r="E40" s="1"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83046-70B1-49F4-99B5-BB6C723D25EB}">
  <dimension ref="A1:J40"/>
  <sheetViews>
    <sheetView view="pageBreakPreview" topLeftCell="A4" zoomScaleNormal="100" zoomScaleSheetLayoutView="100" workbookViewId="0">
      <selection activeCell="F10" sqref="F10"/>
    </sheetView>
  </sheetViews>
  <sheetFormatPr defaultColWidth="9.140625" defaultRowHeight="15.75" x14ac:dyDescent="0.25"/>
  <cols>
    <col min="1" max="1" width="7" style="1" customWidth="1"/>
    <col min="2" max="2" width="24.7109375" style="1" customWidth="1"/>
    <col min="3" max="3" width="21.5703125" style="1" customWidth="1"/>
    <col min="4" max="4" width="23.28515625" style="1" customWidth="1"/>
    <col min="5" max="5" width="28.140625" style="1" customWidth="1"/>
    <col min="6" max="6" width="11.140625" style="1" customWidth="1"/>
    <col min="7" max="7" width="18.85546875" style="1" customWidth="1"/>
    <col min="8" max="8" width="30.5703125" style="1" customWidth="1"/>
    <col min="9" max="16384" width="9.140625" style="1"/>
  </cols>
  <sheetData>
    <row r="1" spans="1:10" ht="39.75" customHeight="1" x14ac:dyDescent="0.6">
      <c r="A1" s="27" t="s">
        <v>0</v>
      </c>
      <c r="B1" s="27"/>
      <c r="C1" s="27"/>
      <c r="D1" s="27"/>
      <c r="E1" s="27"/>
      <c r="F1" s="27"/>
      <c r="G1" s="27"/>
      <c r="H1" s="27"/>
    </row>
    <row r="2" spans="1:10" ht="23.25" customHeight="1" x14ac:dyDescent="0.35">
      <c r="A2" s="28" t="s">
        <v>1</v>
      </c>
      <c r="B2" s="28"/>
      <c r="C2" s="28"/>
      <c r="D2" s="28"/>
      <c r="E2" s="28"/>
      <c r="F2" s="28"/>
      <c r="G2" s="28"/>
      <c r="H2" s="28"/>
    </row>
    <row r="3" spans="1:10" ht="23.25" customHeight="1" x14ac:dyDescent="0.35">
      <c r="A3" s="28" t="s">
        <v>2</v>
      </c>
      <c r="B3" s="28"/>
      <c r="C3" s="28"/>
      <c r="D3" s="28"/>
      <c r="E3" s="28"/>
      <c r="F3" s="28"/>
      <c r="G3" s="28"/>
      <c r="H3" s="28"/>
    </row>
    <row r="4" spans="1:10" ht="12.75" customHeight="1" x14ac:dyDescent="0.6">
      <c r="A4" s="2"/>
      <c r="B4" s="2"/>
      <c r="C4" s="2"/>
      <c r="D4" s="3"/>
      <c r="E4" s="3"/>
      <c r="F4" s="3"/>
      <c r="G4" s="3"/>
      <c r="H4" s="3"/>
    </row>
    <row r="5" spans="1:10" ht="28.5" customHeight="1" x14ac:dyDescent="0.45">
      <c r="A5" s="29" t="s">
        <v>3</v>
      </c>
      <c r="B5" s="29"/>
      <c r="C5" s="29"/>
      <c r="D5" s="29"/>
      <c r="E5" s="29"/>
      <c r="F5" s="29"/>
      <c r="G5" s="29"/>
      <c r="H5" s="29"/>
    </row>
    <row r="6" spans="1:10" ht="21" customHeight="1" x14ac:dyDescent="0.6">
      <c r="A6" s="2" t="s">
        <v>4</v>
      </c>
      <c r="B6" s="2"/>
      <c r="C6" s="2"/>
      <c r="D6" s="3"/>
      <c r="E6" s="3"/>
      <c r="F6" s="3"/>
      <c r="G6" s="3"/>
      <c r="H6" s="3"/>
    </row>
    <row r="7" spans="1:10" ht="21" customHeight="1" x14ac:dyDescent="0.6">
      <c r="A7" s="2" t="s">
        <v>5</v>
      </c>
      <c r="B7" s="2"/>
      <c r="C7" s="2"/>
      <c r="D7" s="3"/>
      <c r="E7" s="3"/>
      <c r="F7" s="3"/>
      <c r="G7" s="3"/>
      <c r="H7" s="3"/>
    </row>
    <row r="8" spans="1:10" ht="21" customHeight="1" x14ac:dyDescent="0.6">
      <c r="A8" s="2" t="s">
        <v>6</v>
      </c>
      <c r="B8" s="2"/>
      <c r="C8" s="2"/>
      <c r="D8" s="3"/>
      <c r="E8" s="3"/>
      <c r="F8" s="3"/>
      <c r="G8" s="3"/>
      <c r="H8" s="3"/>
    </row>
    <row r="9" spans="1:10" s="6" customFormat="1" ht="40.5" x14ac:dyDescent="0.25">
      <c r="A9" s="4" t="s">
        <v>7</v>
      </c>
      <c r="B9" s="4" t="s">
        <v>8</v>
      </c>
      <c r="C9" s="5" t="s">
        <v>9</v>
      </c>
      <c r="D9" s="5" t="s">
        <v>10</v>
      </c>
      <c r="E9" s="5" t="s">
        <v>11</v>
      </c>
      <c r="F9" s="5" t="s">
        <v>12</v>
      </c>
      <c r="G9" s="5" t="s">
        <v>13</v>
      </c>
      <c r="H9" s="4" t="s">
        <v>14</v>
      </c>
    </row>
    <row r="10" spans="1:10" ht="24" x14ac:dyDescent="0.25">
      <c r="A10" s="7">
        <v>1</v>
      </c>
      <c r="B10" s="8">
        <v>66826</v>
      </c>
      <c r="C10" s="9">
        <v>950</v>
      </c>
      <c r="D10" s="10">
        <v>959</v>
      </c>
      <c r="E10" s="10">
        <f t="shared" ref="E10" si="0">D10-C10</f>
        <v>9</v>
      </c>
      <c r="F10" s="11">
        <v>2137</v>
      </c>
      <c r="G10" s="26">
        <f t="shared" ref="G10" si="1">F10*E10</f>
        <v>19233</v>
      </c>
      <c r="H10" s="25" t="s">
        <v>38</v>
      </c>
      <c r="J10" s="13"/>
    </row>
    <row r="11" spans="1:10" ht="23.25" x14ac:dyDescent="0.25">
      <c r="A11" s="12"/>
      <c r="B11" s="12"/>
      <c r="C11" s="14"/>
      <c r="D11" s="12"/>
      <c r="E11" s="15" t="s">
        <v>15</v>
      </c>
      <c r="F11" s="16"/>
      <c r="G11" s="26">
        <f>SUM(G10:G10)</f>
        <v>19233</v>
      </c>
      <c r="H11" s="14"/>
    </row>
    <row r="12" spans="1:10" ht="23.25" x14ac:dyDescent="0.25">
      <c r="A12" s="12"/>
      <c r="B12" s="12"/>
      <c r="C12" s="14"/>
      <c r="D12" s="12"/>
      <c r="E12" s="15" t="s">
        <v>16</v>
      </c>
      <c r="F12" s="16"/>
      <c r="G12" s="26"/>
      <c r="H12" s="14"/>
    </row>
    <row r="13" spans="1:10" ht="23.25" x14ac:dyDescent="0.25">
      <c r="A13" s="12"/>
      <c r="B13" s="12"/>
      <c r="C13" s="14"/>
      <c r="D13" s="12"/>
      <c r="E13" s="15" t="s">
        <v>17</v>
      </c>
      <c r="F13" s="16"/>
      <c r="G13" s="26">
        <f>G11</f>
        <v>19233</v>
      </c>
      <c r="H13" s="14"/>
    </row>
    <row r="14" spans="1:10" ht="23.25" x14ac:dyDescent="0.25">
      <c r="A14" s="12"/>
      <c r="B14" s="12"/>
      <c r="C14" s="14"/>
      <c r="D14" s="12"/>
      <c r="E14" s="15" t="s">
        <v>18</v>
      </c>
      <c r="F14" s="16"/>
      <c r="G14" s="26">
        <f>0.13*G13</f>
        <v>2500.29</v>
      </c>
      <c r="H14" s="14"/>
    </row>
    <row r="15" spans="1:10" ht="23.25" x14ac:dyDescent="0.25">
      <c r="A15" s="12"/>
      <c r="B15" s="12"/>
      <c r="C15" s="14"/>
      <c r="D15" s="12"/>
      <c r="E15" s="15" t="s">
        <v>19</v>
      </c>
      <c r="F15" s="16"/>
      <c r="G15" s="26">
        <f>SUM(G13:G14)</f>
        <v>21733.29</v>
      </c>
      <c r="H15" s="14"/>
    </row>
    <row r="16" spans="1:10" ht="23.25" x14ac:dyDescent="0.25">
      <c r="A16" s="17"/>
      <c r="B16" s="17"/>
      <c r="C16" s="18"/>
      <c r="D16" s="17"/>
      <c r="E16" s="19"/>
      <c r="G16" s="20"/>
      <c r="H16" s="18"/>
    </row>
    <row r="23" spans="2:8" ht="20.25" x14ac:dyDescent="0.3">
      <c r="B23" s="21" t="s">
        <v>20</v>
      </c>
      <c r="E23" s="21" t="s">
        <v>21</v>
      </c>
      <c r="H23" s="21" t="s">
        <v>21</v>
      </c>
    </row>
    <row r="24" spans="2:8" ht="20.25" x14ac:dyDescent="0.3">
      <c r="B24" s="22"/>
      <c r="E24" s="22"/>
      <c r="H24" s="22"/>
    </row>
    <row r="25" spans="2:8" ht="18.75" x14ac:dyDescent="0.3">
      <c r="B25" s="23" t="s">
        <v>22</v>
      </c>
      <c r="E25" s="23" t="s">
        <v>23</v>
      </c>
      <c r="H25" s="23" t="s">
        <v>23</v>
      </c>
    </row>
    <row r="32" spans="2:8" ht="20.25" x14ac:dyDescent="0.3">
      <c r="C32" s="21" t="s">
        <v>21</v>
      </c>
      <c r="F32" s="21" t="s">
        <v>24</v>
      </c>
    </row>
    <row r="33" spans="3:6" ht="20.25" x14ac:dyDescent="0.3">
      <c r="C33" s="22"/>
      <c r="F33" s="22"/>
    </row>
    <row r="34" spans="3:6" ht="18.75" x14ac:dyDescent="0.3">
      <c r="C34" s="23" t="s">
        <v>25</v>
      </c>
      <c r="D34" s="24"/>
      <c r="F34" s="23" t="s">
        <v>26</v>
      </c>
    </row>
    <row r="39" spans="3:6" x14ac:dyDescent="0.25">
      <c r="C39" s="1" t="s">
        <v>27</v>
      </c>
      <c r="D39" s="1" t="s">
        <v>28</v>
      </c>
      <c r="E39" s="1" t="s">
        <v>29</v>
      </c>
    </row>
    <row r="40" spans="3:6" x14ac:dyDescent="0.25">
      <c r="C40" s="1" t="s">
        <v>30</v>
      </c>
      <c r="D40" s="1" t="s">
        <v>31</v>
      </c>
      <c r="E40" s="1"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31C29-DFEE-4320-82EE-737FFCB6A943}">
  <dimension ref="A1:J40"/>
  <sheetViews>
    <sheetView view="pageBreakPreview" topLeftCell="A4" zoomScaleNormal="100" zoomScaleSheetLayoutView="100" workbookViewId="0">
      <selection activeCell="F10" sqref="F10"/>
    </sheetView>
  </sheetViews>
  <sheetFormatPr defaultColWidth="9.140625" defaultRowHeight="15.75" x14ac:dyDescent="0.25"/>
  <cols>
    <col min="1" max="1" width="7" style="1" customWidth="1"/>
    <col min="2" max="2" width="24.7109375" style="1" customWidth="1"/>
    <col min="3" max="3" width="21.5703125" style="1" customWidth="1"/>
    <col min="4" max="4" width="23.28515625" style="1" customWidth="1"/>
    <col min="5" max="5" width="28.140625" style="1" customWidth="1"/>
    <col min="6" max="6" width="11.140625" style="1" customWidth="1"/>
    <col min="7" max="7" width="18.85546875" style="1" customWidth="1"/>
    <col min="8" max="8" width="30.5703125" style="1" customWidth="1"/>
    <col min="9" max="16384" width="9.140625" style="1"/>
  </cols>
  <sheetData>
    <row r="1" spans="1:10" ht="39.75" customHeight="1" x14ac:dyDescent="0.6">
      <c r="A1" s="27" t="s">
        <v>0</v>
      </c>
      <c r="B1" s="27"/>
      <c r="C1" s="27"/>
      <c r="D1" s="27"/>
      <c r="E1" s="27"/>
      <c r="F1" s="27"/>
      <c r="G1" s="27"/>
      <c r="H1" s="27"/>
    </row>
    <row r="2" spans="1:10" ht="23.25" customHeight="1" x14ac:dyDescent="0.35">
      <c r="A2" s="28" t="s">
        <v>1</v>
      </c>
      <c r="B2" s="28"/>
      <c r="C2" s="28"/>
      <c r="D2" s="28"/>
      <c r="E2" s="28"/>
      <c r="F2" s="28"/>
      <c r="G2" s="28"/>
      <c r="H2" s="28"/>
    </row>
    <row r="3" spans="1:10" ht="23.25" customHeight="1" x14ac:dyDescent="0.35">
      <c r="A3" s="28" t="s">
        <v>2</v>
      </c>
      <c r="B3" s="28"/>
      <c r="C3" s="28"/>
      <c r="D3" s="28"/>
      <c r="E3" s="28"/>
      <c r="F3" s="28"/>
      <c r="G3" s="28"/>
      <c r="H3" s="28"/>
    </row>
    <row r="4" spans="1:10" ht="12.75" customHeight="1" x14ac:dyDescent="0.6">
      <c r="A4" s="2"/>
      <c r="B4" s="2"/>
      <c r="C4" s="2"/>
      <c r="D4" s="3"/>
      <c r="E4" s="3"/>
      <c r="F4" s="3"/>
      <c r="G4" s="3"/>
      <c r="H4" s="3"/>
    </row>
    <row r="5" spans="1:10" ht="28.5" customHeight="1" x14ac:dyDescent="0.45">
      <c r="A5" s="29" t="s">
        <v>3</v>
      </c>
      <c r="B5" s="29"/>
      <c r="C5" s="29"/>
      <c r="D5" s="29"/>
      <c r="E5" s="29"/>
      <c r="F5" s="29"/>
      <c r="G5" s="29"/>
      <c r="H5" s="29"/>
    </row>
    <row r="6" spans="1:10" ht="21" customHeight="1" x14ac:dyDescent="0.6">
      <c r="A6" s="2" t="s">
        <v>4</v>
      </c>
      <c r="B6" s="2"/>
      <c r="C6" s="2"/>
      <c r="D6" s="3"/>
      <c r="E6" s="3"/>
      <c r="F6" s="3"/>
      <c r="G6" s="3"/>
      <c r="H6" s="3"/>
    </row>
    <row r="7" spans="1:10" ht="21" customHeight="1" x14ac:dyDescent="0.6">
      <c r="A7" s="2" t="s">
        <v>5</v>
      </c>
      <c r="B7" s="2"/>
      <c r="C7" s="2"/>
      <c r="D7" s="3"/>
      <c r="E7" s="3"/>
      <c r="F7" s="3"/>
      <c r="G7" s="3"/>
      <c r="H7" s="3"/>
    </row>
    <row r="8" spans="1:10" ht="21" customHeight="1" x14ac:dyDescent="0.6">
      <c r="A8" s="2" t="s">
        <v>6</v>
      </c>
      <c r="B8" s="2"/>
      <c r="C8" s="2"/>
      <c r="D8" s="3"/>
      <c r="E8" s="3"/>
      <c r="F8" s="3"/>
      <c r="G8" s="3"/>
      <c r="H8" s="3"/>
    </row>
    <row r="9" spans="1:10" s="6" customFormat="1" ht="40.5" x14ac:dyDescent="0.25">
      <c r="A9" s="4" t="s">
        <v>7</v>
      </c>
      <c r="B9" s="4" t="s">
        <v>8</v>
      </c>
      <c r="C9" s="5" t="s">
        <v>9</v>
      </c>
      <c r="D9" s="5" t="s">
        <v>10</v>
      </c>
      <c r="E9" s="5" t="s">
        <v>11</v>
      </c>
      <c r="F9" s="5" t="s">
        <v>12</v>
      </c>
      <c r="G9" s="5" t="s">
        <v>13</v>
      </c>
      <c r="H9" s="4" t="s">
        <v>14</v>
      </c>
    </row>
    <row r="10" spans="1:10" ht="24" x14ac:dyDescent="0.25">
      <c r="A10" s="7">
        <v>1</v>
      </c>
      <c r="B10" s="8">
        <v>66827</v>
      </c>
      <c r="C10" s="9">
        <v>959</v>
      </c>
      <c r="D10" s="10">
        <v>969</v>
      </c>
      <c r="E10" s="10">
        <f t="shared" ref="E10" si="0">D10-C10</f>
        <v>10</v>
      </c>
      <c r="F10" s="11">
        <v>2137</v>
      </c>
      <c r="G10" s="26">
        <f t="shared" ref="G10" si="1">F10*E10</f>
        <v>21370</v>
      </c>
      <c r="H10" s="25" t="s">
        <v>38</v>
      </c>
      <c r="J10" s="13"/>
    </row>
    <row r="11" spans="1:10" ht="23.25" x14ac:dyDescent="0.25">
      <c r="A11" s="12"/>
      <c r="B11" s="12"/>
      <c r="C11" s="14"/>
      <c r="D11" s="12"/>
      <c r="E11" s="15" t="s">
        <v>15</v>
      </c>
      <c r="F11" s="16"/>
      <c r="G11" s="26">
        <f>SUM(G10:G10)</f>
        <v>21370</v>
      </c>
      <c r="H11" s="14"/>
    </row>
    <row r="12" spans="1:10" ht="23.25" x14ac:dyDescent="0.25">
      <c r="A12" s="12"/>
      <c r="B12" s="12"/>
      <c r="C12" s="14"/>
      <c r="D12" s="12"/>
      <c r="E12" s="15" t="s">
        <v>16</v>
      </c>
      <c r="F12" s="16"/>
      <c r="G12" s="26"/>
      <c r="H12" s="14"/>
    </row>
    <row r="13" spans="1:10" ht="23.25" x14ac:dyDescent="0.25">
      <c r="A13" s="12"/>
      <c r="B13" s="12"/>
      <c r="C13" s="14"/>
      <c r="D13" s="12"/>
      <c r="E13" s="15" t="s">
        <v>17</v>
      </c>
      <c r="F13" s="16"/>
      <c r="G13" s="26">
        <f>G11</f>
        <v>21370</v>
      </c>
      <c r="H13" s="14"/>
    </row>
    <row r="14" spans="1:10" ht="23.25" x14ac:dyDescent="0.25">
      <c r="A14" s="12"/>
      <c r="B14" s="12"/>
      <c r="C14" s="14"/>
      <c r="D14" s="12"/>
      <c r="E14" s="15" t="s">
        <v>18</v>
      </c>
      <c r="F14" s="16"/>
      <c r="G14" s="26">
        <f>0.13*G13</f>
        <v>2778.1</v>
      </c>
      <c r="H14" s="14"/>
    </row>
    <row r="15" spans="1:10" ht="23.25" x14ac:dyDescent="0.25">
      <c r="A15" s="12"/>
      <c r="B15" s="12"/>
      <c r="C15" s="14"/>
      <c r="D15" s="12"/>
      <c r="E15" s="15" t="s">
        <v>19</v>
      </c>
      <c r="F15" s="16"/>
      <c r="G15" s="26">
        <f>SUM(G13:G14)</f>
        <v>24148.1</v>
      </c>
      <c r="H15" s="14"/>
    </row>
    <row r="16" spans="1:10" ht="23.25" x14ac:dyDescent="0.25">
      <c r="A16" s="17"/>
      <c r="B16" s="17"/>
      <c r="C16" s="18"/>
      <c r="D16" s="17"/>
      <c r="E16" s="19"/>
      <c r="G16" s="20"/>
      <c r="H16" s="18"/>
    </row>
    <row r="23" spans="2:8" ht="20.25" x14ac:dyDescent="0.3">
      <c r="B23" s="21" t="s">
        <v>20</v>
      </c>
      <c r="E23" s="21" t="s">
        <v>21</v>
      </c>
      <c r="H23" s="21" t="s">
        <v>21</v>
      </c>
    </row>
    <row r="24" spans="2:8" ht="20.25" x14ac:dyDescent="0.3">
      <c r="B24" s="22"/>
      <c r="E24" s="22"/>
      <c r="H24" s="22"/>
    </row>
    <row r="25" spans="2:8" ht="18.75" x14ac:dyDescent="0.3">
      <c r="B25" s="23" t="s">
        <v>22</v>
      </c>
      <c r="E25" s="23" t="s">
        <v>23</v>
      </c>
      <c r="H25" s="23" t="s">
        <v>23</v>
      </c>
    </row>
    <row r="32" spans="2:8" ht="20.25" x14ac:dyDescent="0.3">
      <c r="C32" s="21" t="s">
        <v>21</v>
      </c>
      <c r="F32" s="21" t="s">
        <v>24</v>
      </c>
    </row>
    <row r="33" spans="3:6" ht="20.25" x14ac:dyDescent="0.3">
      <c r="C33" s="22"/>
      <c r="F33" s="22"/>
    </row>
    <row r="34" spans="3:6" ht="18.75" x14ac:dyDescent="0.3">
      <c r="C34" s="23" t="s">
        <v>25</v>
      </c>
      <c r="D34" s="24"/>
      <c r="F34" s="23" t="s">
        <v>26</v>
      </c>
    </row>
    <row r="39" spans="3:6" x14ac:dyDescent="0.25">
      <c r="C39" s="1" t="s">
        <v>27</v>
      </c>
      <c r="D39" s="1" t="s">
        <v>28</v>
      </c>
      <c r="E39" s="1" t="s">
        <v>29</v>
      </c>
    </row>
    <row r="40" spans="3:6" x14ac:dyDescent="0.25">
      <c r="C40" s="1" t="s">
        <v>30</v>
      </c>
      <c r="D40" s="1" t="s">
        <v>31</v>
      </c>
      <c r="E40" s="1"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AAE22-36F8-4E6A-BAB2-7336204D75CB}">
  <dimension ref="A1:J40"/>
  <sheetViews>
    <sheetView view="pageBreakPreview" topLeftCell="A7" zoomScaleNormal="100" zoomScaleSheetLayoutView="100" workbookViewId="0">
      <selection activeCell="F10" sqref="F10"/>
    </sheetView>
  </sheetViews>
  <sheetFormatPr defaultColWidth="9.140625" defaultRowHeight="15.75" x14ac:dyDescent="0.25"/>
  <cols>
    <col min="1" max="1" width="7" style="1" customWidth="1"/>
    <col min="2" max="2" width="24.7109375" style="1" customWidth="1"/>
    <col min="3" max="3" width="21.5703125" style="1" customWidth="1"/>
    <col min="4" max="4" width="23.28515625" style="1" customWidth="1"/>
    <col min="5" max="5" width="28.140625" style="1" customWidth="1"/>
    <col min="6" max="6" width="11.140625" style="1" customWidth="1"/>
    <col min="7" max="7" width="18.85546875" style="1" customWidth="1"/>
    <col min="8" max="8" width="30.5703125" style="1" customWidth="1"/>
    <col min="9" max="16384" width="9.140625" style="1"/>
  </cols>
  <sheetData>
    <row r="1" spans="1:10" ht="39.75" customHeight="1" x14ac:dyDescent="0.6">
      <c r="A1" s="27" t="s">
        <v>0</v>
      </c>
      <c r="B1" s="27"/>
      <c r="C1" s="27"/>
      <c r="D1" s="27"/>
      <c r="E1" s="27"/>
      <c r="F1" s="27"/>
      <c r="G1" s="27"/>
      <c r="H1" s="27"/>
    </row>
    <row r="2" spans="1:10" ht="23.25" customHeight="1" x14ac:dyDescent="0.35">
      <c r="A2" s="28" t="s">
        <v>1</v>
      </c>
      <c r="B2" s="28"/>
      <c r="C2" s="28"/>
      <c r="D2" s="28"/>
      <c r="E2" s="28"/>
      <c r="F2" s="28"/>
      <c r="G2" s="28"/>
      <c r="H2" s="28"/>
    </row>
    <row r="3" spans="1:10" ht="23.25" customHeight="1" x14ac:dyDescent="0.35">
      <c r="A3" s="28" t="s">
        <v>2</v>
      </c>
      <c r="B3" s="28"/>
      <c r="C3" s="28"/>
      <c r="D3" s="28"/>
      <c r="E3" s="28"/>
      <c r="F3" s="28"/>
      <c r="G3" s="28"/>
      <c r="H3" s="28"/>
    </row>
    <row r="4" spans="1:10" ht="12.75" customHeight="1" x14ac:dyDescent="0.6">
      <c r="A4" s="2"/>
      <c r="B4" s="2"/>
      <c r="C4" s="2"/>
      <c r="D4" s="3"/>
      <c r="E4" s="3"/>
      <c r="F4" s="3"/>
      <c r="G4" s="3"/>
      <c r="H4" s="3"/>
    </row>
    <row r="5" spans="1:10" ht="28.5" customHeight="1" x14ac:dyDescent="0.45">
      <c r="A5" s="29" t="s">
        <v>3</v>
      </c>
      <c r="B5" s="29"/>
      <c r="C5" s="29"/>
      <c r="D5" s="29"/>
      <c r="E5" s="29"/>
      <c r="F5" s="29"/>
      <c r="G5" s="29"/>
      <c r="H5" s="29"/>
    </row>
    <row r="6" spans="1:10" ht="21" customHeight="1" x14ac:dyDescent="0.6">
      <c r="A6" s="2" t="s">
        <v>4</v>
      </c>
      <c r="B6" s="2"/>
      <c r="C6" s="2"/>
      <c r="D6" s="3"/>
      <c r="E6" s="3"/>
      <c r="F6" s="3"/>
      <c r="G6" s="3"/>
      <c r="H6" s="3"/>
    </row>
    <row r="7" spans="1:10" ht="21" customHeight="1" x14ac:dyDescent="0.6">
      <c r="A7" s="2" t="s">
        <v>5</v>
      </c>
      <c r="B7" s="2"/>
      <c r="C7" s="2"/>
      <c r="D7" s="3"/>
      <c r="E7" s="3"/>
      <c r="F7" s="3"/>
      <c r="G7" s="3"/>
      <c r="H7" s="3"/>
    </row>
    <row r="8" spans="1:10" ht="21" customHeight="1" x14ac:dyDescent="0.6">
      <c r="A8" s="2" t="s">
        <v>6</v>
      </c>
      <c r="B8" s="2"/>
      <c r="C8" s="2"/>
      <c r="D8" s="3"/>
      <c r="E8" s="3"/>
      <c r="F8" s="3"/>
      <c r="G8" s="3"/>
      <c r="H8" s="3"/>
    </row>
    <row r="9" spans="1:10" s="6" customFormat="1" ht="40.5" x14ac:dyDescent="0.25">
      <c r="A9" s="4" t="s">
        <v>7</v>
      </c>
      <c r="B9" s="4" t="s">
        <v>8</v>
      </c>
      <c r="C9" s="5" t="s">
        <v>9</v>
      </c>
      <c r="D9" s="5" t="s">
        <v>10</v>
      </c>
      <c r="E9" s="5" t="s">
        <v>11</v>
      </c>
      <c r="F9" s="5" t="s">
        <v>12</v>
      </c>
      <c r="G9" s="5" t="s">
        <v>13</v>
      </c>
      <c r="H9" s="4" t="s">
        <v>14</v>
      </c>
    </row>
    <row r="10" spans="1:10" ht="24" x14ac:dyDescent="0.25">
      <c r="A10" s="7">
        <v>1</v>
      </c>
      <c r="B10" s="8">
        <v>66852</v>
      </c>
      <c r="C10" s="9">
        <v>1042</v>
      </c>
      <c r="D10" s="10">
        <v>1050</v>
      </c>
      <c r="E10" s="10">
        <f t="shared" ref="E10" si="0">D10-C10</f>
        <v>8</v>
      </c>
      <c r="F10" s="11">
        <v>2137</v>
      </c>
      <c r="G10" s="26">
        <f t="shared" ref="G10" si="1">F10*E10</f>
        <v>17096</v>
      </c>
      <c r="H10" s="25" t="s">
        <v>39</v>
      </c>
      <c r="J10" s="13"/>
    </row>
    <row r="11" spans="1:10" ht="23.25" x14ac:dyDescent="0.25">
      <c r="A11" s="12"/>
      <c r="B11" s="12"/>
      <c r="C11" s="14"/>
      <c r="D11" s="12"/>
      <c r="E11" s="15" t="s">
        <v>15</v>
      </c>
      <c r="F11" s="16"/>
      <c r="G11" s="26">
        <f>SUM(G10:G10)</f>
        <v>17096</v>
      </c>
      <c r="H11" s="14"/>
    </row>
    <row r="12" spans="1:10" ht="23.25" x14ac:dyDescent="0.25">
      <c r="A12" s="12"/>
      <c r="B12" s="12"/>
      <c r="C12" s="14"/>
      <c r="D12" s="12"/>
      <c r="E12" s="15" t="s">
        <v>16</v>
      </c>
      <c r="F12" s="16"/>
      <c r="G12" s="26"/>
      <c r="H12" s="14"/>
    </row>
    <row r="13" spans="1:10" ht="23.25" x14ac:dyDescent="0.25">
      <c r="A13" s="12"/>
      <c r="B13" s="12"/>
      <c r="C13" s="14"/>
      <c r="D13" s="12"/>
      <c r="E13" s="15" t="s">
        <v>17</v>
      </c>
      <c r="F13" s="16"/>
      <c r="G13" s="26">
        <f>G11</f>
        <v>17096</v>
      </c>
      <c r="H13" s="14"/>
    </row>
    <row r="14" spans="1:10" ht="23.25" x14ac:dyDescent="0.25">
      <c r="A14" s="12"/>
      <c r="B14" s="12"/>
      <c r="C14" s="14"/>
      <c r="D14" s="12"/>
      <c r="E14" s="15" t="s">
        <v>18</v>
      </c>
      <c r="F14" s="16"/>
      <c r="G14" s="26">
        <f>0.13*G13</f>
        <v>2222.48</v>
      </c>
      <c r="H14" s="14"/>
    </row>
    <row r="15" spans="1:10" ht="23.25" x14ac:dyDescent="0.25">
      <c r="A15" s="12"/>
      <c r="B15" s="12"/>
      <c r="C15" s="14"/>
      <c r="D15" s="12"/>
      <c r="E15" s="15" t="s">
        <v>19</v>
      </c>
      <c r="F15" s="16"/>
      <c r="G15" s="26">
        <f>SUM(G13:G14)</f>
        <v>19318.48</v>
      </c>
      <c r="H15" s="14"/>
    </row>
    <row r="16" spans="1:10" ht="23.25" x14ac:dyDescent="0.25">
      <c r="A16" s="17"/>
      <c r="B16" s="17"/>
      <c r="C16" s="18"/>
      <c r="D16" s="17"/>
      <c r="E16" s="19"/>
      <c r="G16" s="20"/>
      <c r="H16" s="18"/>
    </row>
    <row r="23" spans="2:8" ht="20.25" x14ac:dyDescent="0.3">
      <c r="B23" s="21" t="s">
        <v>20</v>
      </c>
      <c r="E23" s="21" t="s">
        <v>21</v>
      </c>
      <c r="H23" s="21" t="s">
        <v>21</v>
      </c>
    </row>
    <row r="24" spans="2:8" ht="20.25" x14ac:dyDescent="0.3">
      <c r="B24" s="22"/>
      <c r="E24" s="22"/>
      <c r="H24" s="22"/>
    </row>
    <row r="25" spans="2:8" ht="18.75" x14ac:dyDescent="0.3">
      <c r="B25" s="23" t="s">
        <v>22</v>
      </c>
      <c r="E25" s="23" t="s">
        <v>23</v>
      </c>
      <c r="H25" s="23" t="s">
        <v>23</v>
      </c>
    </row>
    <row r="32" spans="2:8" ht="20.25" x14ac:dyDescent="0.3">
      <c r="C32" s="21" t="s">
        <v>21</v>
      </c>
      <c r="F32" s="21" t="s">
        <v>24</v>
      </c>
    </row>
    <row r="33" spans="3:6" ht="20.25" x14ac:dyDescent="0.3">
      <c r="C33" s="22"/>
      <c r="F33" s="22"/>
    </row>
    <row r="34" spans="3:6" ht="18.75" x14ac:dyDescent="0.3">
      <c r="C34" s="23" t="s">
        <v>25</v>
      </c>
      <c r="D34" s="24"/>
      <c r="F34" s="23" t="s">
        <v>26</v>
      </c>
    </row>
    <row r="39" spans="3:6" x14ac:dyDescent="0.25">
      <c r="C39" s="1" t="s">
        <v>27</v>
      </c>
      <c r="D39" s="1" t="s">
        <v>28</v>
      </c>
      <c r="E39" s="1" t="s">
        <v>29</v>
      </c>
    </row>
    <row r="40" spans="3:6" x14ac:dyDescent="0.25">
      <c r="C40" s="1" t="s">
        <v>30</v>
      </c>
      <c r="D40" s="1" t="s">
        <v>31</v>
      </c>
      <c r="E40" s="1"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887AE-7DDF-4338-83E3-6036A8F9A945}">
  <dimension ref="A1:J40"/>
  <sheetViews>
    <sheetView view="pageBreakPreview" topLeftCell="A7" zoomScaleNormal="100" zoomScaleSheetLayoutView="100" workbookViewId="0">
      <selection activeCell="F10" sqref="F10"/>
    </sheetView>
  </sheetViews>
  <sheetFormatPr defaultColWidth="9.140625" defaultRowHeight="15.75" x14ac:dyDescent="0.25"/>
  <cols>
    <col min="1" max="1" width="7" style="1" customWidth="1"/>
    <col min="2" max="2" width="24.7109375" style="1" customWidth="1"/>
    <col min="3" max="3" width="21.5703125" style="1" customWidth="1"/>
    <col min="4" max="4" width="23.28515625" style="1" customWidth="1"/>
    <col min="5" max="5" width="28.140625" style="1" customWidth="1"/>
    <col min="6" max="6" width="11.140625" style="1" customWidth="1"/>
    <col min="7" max="7" width="18.85546875" style="1" customWidth="1"/>
    <col min="8" max="8" width="30.5703125" style="1" customWidth="1"/>
    <col min="9" max="16384" width="9.140625" style="1"/>
  </cols>
  <sheetData>
    <row r="1" spans="1:10" ht="39.75" customHeight="1" x14ac:dyDescent="0.6">
      <c r="A1" s="27" t="s">
        <v>0</v>
      </c>
      <c r="B1" s="27"/>
      <c r="C1" s="27"/>
      <c r="D1" s="27"/>
      <c r="E1" s="27"/>
      <c r="F1" s="27"/>
      <c r="G1" s="27"/>
      <c r="H1" s="27"/>
    </row>
    <row r="2" spans="1:10" ht="23.25" customHeight="1" x14ac:dyDescent="0.35">
      <c r="A2" s="28" t="s">
        <v>1</v>
      </c>
      <c r="B2" s="28"/>
      <c r="C2" s="28"/>
      <c r="D2" s="28"/>
      <c r="E2" s="28"/>
      <c r="F2" s="28"/>
      <c r="G2" s="28"/>
      <c r="H2" s="28"/>
    </row>
    <row r="3" spans="1:10" ht="23.25" customHeight="1" x14ac:dyDescent="0.35">
      <c r="A3" s="28" t="s">
        <v>2</v>
      </c>
      <c r="B3" s="28"/>
      <c r="C3" s="28"/>
      <c r="D3" s="28"/>
      <c r="E3" s="28"/>
      <c r="F3" s="28"/>
      <c r="G3" s="28"/>
      <c r="H3" s="28"/>
    </row>
    <row r="4" spans="1:10" ht="12.75" customHeight="1" x14ac:dyDescent="0.6">
      <c r="A4" s="2"/>
      <c r="B4" s="2"/>
      <c r="C4" s="2"/>
      <c r="D4" s="3"/>
      <c r="E4" s="3"/>
      <c r="F4" s="3"/>
      <c r="G4" s="3"/>
      <c r="H4" s="3"/>
    </row>
    <row r="5" spans="1:10" ht="28.5" customHeight="1" x14ac:dyDescent="0.45">
      <c r="A5" s="29" t="s">
        <v>3</v>
      </c>
      <c r="B5" s="29"/>
      <c r="C5" s="29"/>
      <c r="D5" s="29"/>
      <c r="E5" s="29"/>
      <c r="F5" s="29"/>
      <c r="G5" s="29"/>
      <c r="H5" s="29"/>
    </row>
    <row r="6" spans="1:10" ht="21" customHeight="1" x14ac:dyDescent="0.6">
      <c r="A6" s="2" t="s">
        <v>4</v>
      </c>
      <c r="B6" s="2"/>
      <c r="C6" s="2"/>
      <c r="D6" s="3"/>
      <c r="E6" s="3"/>
      <c r="F6" s="3"/>
      <c r="G6" s="3"/>
      <c r="H6" s="3"/>
    </row>
    <row r="7" spans="1:10" ht="21" customHeight="1" x14ac:dyDescent="0.6">
      <c r="A7" s="2" t="s">
        <v>5</v>
      </c>
      <c r="B7" s="2"/>
      <c r="C7" s="2"/>
      <c r="D7" s="3"/>
      <c r="E7" s="3"/>
      <c r="F7" s="3"/>
      <c r="G7" s="3"/>
      <c r="H7" s="3"/>
    </row>
    <row r="8" spans="1:10" ht="21" customHeight="1" x14ac:dyDescent="0.6">
      <c r="A8" s="2" t="s">
        <v>6</v>
      </c>
      <c r="B8" s="2"/>
      <c r="C8" s="2"/>
      <c r="D8" s="3"/>
      <c r="E8" s="3"/>
      <c r="F8" s="3"/>
      <c r="G8" s="3"/>
      <c r="H8" s="3"/>
    </row>
    <row r="9" spans="1:10" s="6" customFormat="1" ht="40.5" x14ac:dyDescent="0.25">
      <c r="A9" s="4" t="s">
        <v>7</v>
      </c>
      <c r="B9" s="4" t="s">
        <v>8</v>
      </c>
      <c r="C9" s="5" t="s">
        <v>9</v>
      </c>
      <c r="D9" s="5" t="s">
        <v>10</v>
      </c>
      <c r="E9" s="5" t="s">
        <v>11</v>
      </c>
      <c r="F9" s="5" t="s">
        <v>12</v>
      </c>
      <c r="G9" s="5" t="s">
        <v>13</v>
      </c>
      <c r="H9" s="4" t="s">
        <v>14</v>
      </c>
    </row>
    <row r="10" spans="1:10" ht="24" x14ac:dyDescent="0.25">
      <c r="A10" s="7">
        <v>1</v>
      </c>
      <c r="B10" s="8">
        <v>66858</v>
      </c>
      <c r="C10" s="9">
        <v>1064</v>
      </c>
      <c r="D10" s="10">
        <v>1068</v>
      </c>
      <c r="E10" s="10">
        <f t="shared" ref="E10" si="0">D10-C10</f>
        <v>4</v>
      </c>
      <c r="F10" s="11">
        <v>2137</v>
      </c>
      <c r="G10" s="26">
        <f t="shared" ref="G10" si="1">F10*E10</f>
        <v>8548</v>
      </c>
      <c r="H10" s="25" t="s">
        <v>40</v>
      </c>
      <c r="J10" s="13"/>
    </row>
    <row r="11" spans="1:10" ht="23.25" x14ac:dyDescent="0.25">
      <c r="A11" s="12"/>
      <c r="B11" s="12"/>
      <c r="C11" s="14"/>
      <c r="D11" s="12"/>
      <c r="E11" s="15" t="s">
        <v>15</v>
      </c>
      <c r="F11" s="16"/>
      <c r="G11" s="26">
        <f>SUM(G10:G10)</f>
        <v>8548</v>
      </c>
      <c r="H11" s="14"/>
    </row>
    <row r="12" spans="1:10" ht="23.25" x14ac:dyDescent="0.25">
      <c r="A12" s="12"/>
      <c r="B12" s="12"/>
      <c r="C12" s="14"/>
      <c r="D12" s="12"/>
      <c r="E12" s="15" t="s">
        <v>16</v>
      </c>
      <c r="F12" s="16"/>
      <c r="G12" s="26"/>
      <c r="H12" s="14"/>
    </row>
    <row r="13" spans="1:10" ht="23.25" x14ac:dyDescent="0.25">
      <c r="A13" s="12"/>
      <c r="B13" s="12"/>
      <c r="C13" s="14"/>
      <c r="D13" s="12"/>
      <c r="E13" s="15" t="s">
        <v>17</v>
      </c>
      <c r="F13" s="16"/>
      <c r="G13" s="26">
        <f>G11</f>
        <v>8548</v>
      </c>
      <c r="H13" s="14"/>
    </row>
    <row r="14" spans="1:10" ht="23.25" x14ac:dyDescent="0.25">
      <c r="A14" s="12"/>
      <c r="B14" s="12"/>
      <c r="C14" s="14"/>
      <c r="D14" s="12"/>
      <c r="E14" s="15" t="s">
        <v>18</v>
      </c>
      <c r="F14" s="16"/>
      <c r="G14" s="26">
        <f>0.13*G13</f>
        <v>1111.24</v>
      </c>
      <c r="H14" s="14"/>
    </row>
    <row r="15" spans="1:10" ht="23.25" x14ac:dyDescent="0.25">
      <c r="A15" s="12"/>
      <c r="B15" s="12"/>
      <c r="C15" s="14"/>
      <c r="D15" s="12"/>
      <c r="E15" s="15" t="s">
        <v>19</v>
      </c>
      <c r="F15" s="16"/>
      <c r="G15" s="26">
        <f>SUM(G13:G14)</f>
        <v>9659.24</v>
      </c>
      <c r="H15" s="14"/>
    </row>
    <row r="16" spans="1:10" ht="23.25" x14ac:dyDescent="0.25">
      <c r="A16" s="17"/>
      <c r="B16" s="17"/>
      <c r="C16" s="18"/>
      <c r="D16" s="17"/>
      <c r="E16" s="19"/>
      <c r="G16" s="20"/>
      <c r="H16" s="18"/>
    </row>
    <row r="23" spans="2:8" ht="20.25" x14ac:dyDescent="0.3">
      <c r="B23" s="21" t="s">
        <v>20</v>
      </c>
      <c r="E23" s="21" t="s">
        <v>21</v>
      </c>
      <c r="H23" s="21" t="s">
        <v>21</v>
      </c>
    </row>
    <row r="24" spans="2:8" ht="20.25" x14ac:dyDescent="0.3">
      <c r="B24" s="22"/>
      <c r="E24" s="22"/>
      <c r="H24" s="22"/>
    </row>
    <row r="25" spans="2:8" ht="18.75" x14ac:dyDescent="0.3">
      <c r="B25" s="23" t="s">
        <v>22</v>
      </c>
      <c r="E25" s="23" t="s">
        <v>23</v>
      </c>
      <c r="H25" s="23" t="s">
        <v>23</v>
      </c>
    </row>
    <row r="32" spans="2:8" ht="20.25" x14ac:dyDescent="0.3">
      <c r="C32" s="21" t="s">
        <v>21</v>
      </c>
      <c r="F32" s="21" t="s">
        <v>24</v>
      </c>
    </row>
    <row r="33" spans="3:6" ht="20.25" x14ac:dyDescent="0.3">
      <c r="C33" s="22"/>
      <c r="F33" s="22"/>
    </row>
    <row r="34" spans="3:6" ht="18.75" x14ac:dyDescent="0.3">
      <c r="C34" s="23" t="s">
        <v>25</v>
      </c>
      <c r="D34" s="24"/>
      <c r="F34" s="23" t="s">
        <v>26</v>
      </c>
    </row>
    <row r="39" spans="3:6" x14ac:dyDescent="0.25">
      <c r="C39" s="1" t="s">
        <v>27</v>
      </c>
      <c r="D39" s="1" t="s">
        <v>28</v>
      </c>
      <c r="E39" s="1" t="s">
        <v>29</v>
      </c>
    </row>
    <row r="40" spans="3:6" x14ac:dyDescent="0.25">
      <c r="C40" s="1" t="s">
        <v>30</v>
      </c>
      <c r="D40" s="1" t="s">
        <v>31</v>
      </c>
      <c r="E40" s="1"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45014-04A7-483B-83CA-200108EBDE97}">
  <dimension ref="A1:J40"/>
  <sheetViews>
    <sheetView view="pageBreakPreview" topLeftCell="A7" zoomScaleNormal="100" zoomScaleSheetLayoutView="100" workbookViewId="0">
      <selection activeCell="F10" sqref="F10"/>
    </sheetView>
  </sheetViews>
  <sheetFormatPr defaultColWidth="9.140625" defaultRowHeight="15.75" x14ac:dyDescent="0.25"/>
  <cols>
    <col min="1" max="1" width="7" style="1" customWidth="1"/>
    <col min="2" max="2" width="24.7109375" style="1" customWidth="1"/>
    <col min="3" max="3" width="21.5703125" style="1" customWidth="1"/>
    <col min="4" max="4" width="23.28515625" style="1" customWidth="1"/>
    <col min="5" max="5" width="28.140625" style="1" customWidth="1"/>
    <col min="6" max="6" width="11.140625" style="1" customWidth="1"/>
    <col min="7" max="7" width="18.85546875" style="1" customWidth="1"/>
    <col min="8" max="8" width="30.5703125" style="1" customWidth="1"/>
    <col min="9" max="16384" width="9.140625" style="1"/>
  </cols>
  <sheetData>
    <row r="1" spans="1:10" ht="39.75" customHeight="1" x14ac:dyDescent="0.6">
      <c r="A1" s="27" t="s">
        <v>0</v>
      </c>
      <c r="B1" s="27"/>
      <c r="C1" s="27"/>
      <c r="D1" s="27"/>
      <c r="E1" s="27"/>
      <c r="F1" s="27"/>
      <c r="G1" s="27"/>
      <c r="H1" s="27"/>
    </row>
    <row r="2" spans="1:10" ht="23.25" customHeight="1" x14ac:dyDescent="0.35">
      <c r="A2" s="28" t="s">
        <v>1</v>
      </c>
      <c r="B2" s="28"/>
      <c r="C2" s="28"/>
      <c r="D2" s="28"/>
      <c r="E2" s="28"/>
      <c r="F2" s="28"/>
      <c r="G2" s="28"/>
      <c r="H2" s="28"/>
    </row>
    <row r="3" spans="1:10" ht="23.25" customHeight="1" x14ac:dyDescent="0.35">
      <c r="A3" s="28" t="s">
        <v>2</v>
      </c>
      <c r="B3" s="28"/>
      <c r="C3" s="28"/>
      <c r="D3" s="28"/>
      <c r="E3" s="28"/>
      <c r="F3" s="28"/>
      <c r="G3" s="28"/>
      <c r="H3" s="28"/>
    </row>
    <row r="4" spans="1:10" ht="12.75" customHeight="1" x14ac:dyDescent="0.6">
      <c r="A4" s="2"/>
      <c r="B4" s="2"/>
      <c r="C4" s="2"/>
      <c r="D4" s="3"/>
      <c r="E4" s="3"/>
      <c r="F4" s="3"/>
      <c r="G4" s="3"/>
      <c r="H4" s="3"/>
    </row>
    <row r="5" spans="1:10" ht="28.5" customHeight="1" x14ac:dyDescent="0.45">
      <c r="A5" s="29" t="s">
        <v>3</v>
      </c>
      <c r="B5" s="29"/>
      <c r="C5" s="29"/>
      <c r="D5" s="29"/>
      <c r="E5" s="29"/>
      <c r="F5" s="29"/>
      <c r="G5" s="29"/>
      <c r="H5" s="29"/>
    </row>
    <row r="6" spans="1:10" ht="21" customHeight="1" x14ac:dyDescent="0.6">
      <c r="A6" s="2" t="s">
        <v>4</v>
      </c>
      <c r="B6" s="2"/>
      <c r="C6" s="2"/>
      <c r="D6" s="3"/>
      <c r="E6" s="3"/>
      <c r="F6" s="3"/>
      <c r="G6" s="3"/>
      <c r="H6" s="3"/>
    </row>
    <row r="7" spans="1:10" ht="21" customHeight="1" x14ac:dyDescent="0.6">
      <c r="A7" s="2" t="s">
        <v>5</v>
      </c>
      <c r="B7" s="2"/>
      <c r="C7" s="2"/>
      <c r="D7" s="3"/>
      <c r="E7" s="3"/>
      <c r="F7" s="3"/>
      <c r="G7" s="3"/>
      <c r="H7" s="3"/>
    </row>
    <row r="8" spans="1:10" ht="21" customHeight="1" x14ac:dyDescent="0.6">
      <c r="A8" s="2" t="s">
        <v>6</v>
      </c>
      <c r="B8" s="2"/>
      <c r="C8" s="2"/>
      <c r="D8" s="3"/>
      <c r="E8" s="3"/>
      <c r="F8" s="3"/>
      <c r="G8" s="3"/>
      <c r="H8" s="3"/>
    </row>
    <row r="9" spans="1:10" s="6" customFormat="1" ht="40.5" x14ac:dyDescent="0.25">
      <c r="A9" s="4" t="s">
        <v>7</v>
      </c>
      <c r="B9" s="4" t="s">
        <v>8</v>
      </c>
      <c r="C9" s="5" t="s">
        <v>9</v>
      </c>
      <c r="D9" s="5" t="s">
        <v>10</v>
      </c>
      <c r="E9" s="5" t="s">
        <v>11</v>
      </c>
      <c r="F9" s="5" t="s">
        <v>12</v>
      </c>
      <c r="G9" s="5" t="s">
        <v>13</v>
      </c>
      <c r="H9" s="4" t="s">
        <v>14</v>
      </c>
    </row>
    <row r="10" spans="1:10" ht="24" x14ac:dyDescent="0.25">
      <c r="A10" s="7">
        <v>1</v>
      </c>
      <c r="B10" s="8">
        <v>66862</v>
      </c>
      <c r="C10" s="9">
        <v>1068</v>
      </c>
      <c r="D10" s="10">
        <v>1074</v>
      </c>
      <c r="E10" s="10">
        <f t="shared" ref="E10" si="0">D10-C10</f>
        <v>6</v>
      </c>
      <c r="F10" s="11">
        <v>2137</v>
      </c>
      <c r="G10" s="26">
        <f t="shared" ref="G10" si="1">F10*E10</f>
        <v>12822</v>
      </c>
      <c r="H10" s="25" t="s">
        <v>40</v>
      </c>
      <c r="J10" s="13"/>
    </row>
    <row r="11" spans="1:10" ht="23.25" x14ac:dyDescent="0.25">
      <c r="A11" s="12"/>
      <c r="B11" s="12"/>
      <c r="C11" s="14"/>
      <c r="D11" s="12"/>
      <c r="E11" s="15" t="s">
        <v>15</v>
      </c>
      <c r="F11" s="16"/>
      <c r="G11" s="26">
        <f>SUM(G10:G10)</f>
        <v>12822</v>
      </c>
      <c r="H11" s="14"/>
    </row>
    <row r="12" spans="1:10" ht="23.25" x14ac:dyDescent="0.25">
      <c r="A12" s="12"/>
      <c r="B12" s="12"/>
      <c r="C12" s="14"/>
      <c r="D12" s="12"/>
      <c r="E12" s="15" t="s">
        <v>16</v>
      </c>
      <c r="F12" s="16"/>
      <c r="G12" s="26"/>
      <c r="H12" s="14"/>
    </row>
    <row r="13" spans="1:10" ht="23.25" x14ac:dyDescent="0.25">
      <c r="A13" s="12"/>
      <c r="B13" s="12"/>
      <c r="C13" s="14"/>
      <c r="D13" s="12"/>
      <c r="E13" s="15" t="s">
        <v>17</v>
      </c>
      <c r="F13" s="16"/>
      <c r="G13" s="26">
        <f>G11</f>
        <v>12822</v>
      </c>
      <c r="H13" s="14"/>
    </row>
    <row r="14" spans="1:10" ht="23.25" x14ac:dyDescent="0.25">
      <c r="A14" s="12"/>
      <c r="B14" s="12"/>
      <c r="C14" s="14"/>
      <c r="D14" s="12"/>
      <c r="E14" s="15" t="s">
        <v>18</v>
      </c>
      <c r="F14" s="16"/>
      <c r="G14" s="26">
        <f>0.13*G13</f>
        <v>1666.8600000000001</v>
      </c>
      <c r="H14" s="14"/>
    </row>
    <row r="15" spans="1:10" ht="23.25" x14ac:dyDescent="0.25">
      <c r="A15" s="12"/>
      <c r="B15" s="12"/>
      <c r="C15" s="14"/>
      <c r="D15" s="12"/>
      <c r="E15" s="15" t="s">
        <v>19</v>
      </c>
      <c r="F15" s="16"/>
      <c r="G15" s="26">
        <f>SUM(G13:G14)</f>
        <v>14488.86</v>
      </c>
      <c r="H15" s="14"/>
    </row>
    <row r="16" spans="1:10" ht="23.25" x14ac:dyDescent="0.25">
      <c r="A16" s="17"/>
      <c r="B16" s="17"/>
      <c r="C16" s="18"/>
      <c r="D16" s="17"/>
      <c r="E16" s="19"/>
      <c r="G16" s="20"/>
      <c r="H16" s="18"/>
    </row>
    <row r="23" spans="2:8" ht="20.25" x14ac:dyDescent="0.3">
      <c r="B23" s="21" t="s">
        <v>20</v>
      </c>
      <c r="E23" s="21" t="s">
        <v>21</v>
      </c>
      <c r="H23" s="21" t="s">
        <v>21</v>
      </c>
    </row>
    <row r="24" spans="2:8" ht="20.25" x14ac:dyDescent="0.3">
      <c r="B24" s="22"/>
      <c r="E24" s="22"/>
      <c r="H24" s="22"/>
    </row>
    <row r="25" spans="2:8" ht="18.75" x14ac:dyDescent="0.3">
      <c r="B25" s="23" t="s">
        <v>22</v>
      </c>
      <c r="E25" s="23" t="s">
        <v>23</v>
      </c>
      <c r="H25" s="23" t="s">
        <v>23</v>
      </c>
    </row>
    <row r="32" spans="2:8" ht="20.25" x14ac:dyDescent="0.3">
      <c r="C32" s="21" t="s">
        <v>21</v>
      </c>
      <c r="F32" s="21" t="s">
        <v>24</v>
      </c>
    </row>
    <row r="33" spans="3:6" ht="20.25" x14ac:dyDescent="0.3">
      <c r="C33" s="22"/>
      <c r="F33" s="22"/>
    </row>
    <row r="34" spans="3:6" ht="18.75" x14ac:dyDescent="0.3">
      <c r="C34" s="23" t="s">
        <v>25</v>
      </c>
      <c r="D34" s="24"/>
      <c r="F34" s="23" t="s">
        <v>26</v>
      </c>
    </row>
    <row r="39" spans="3:6" x14ac:dyDescent="0.25">
      <c r="C39" s="1" t="s">
        <v>27</v>
      </c>
      <c r="D39" s="1" t="s">
        <v>28</v>
      </c>
      <c r="E39" s="1" t="s">
        <v>29</v>
      </c>
    </row>
    <row r="40" spans="3:6" x14ac:dyDescent="0.25">
      <c r="C40" s="1" t="s">
        <v>30</v>
      </c>
      <c r="D40" s="1" t="s">
        <v>31</v>
      </c>
      <c r="E40" s="1"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D95C7-DE71-4DCA-AA71-7BFD2D726C63}">
  <dimension ref="A1:J40"/>
  <sheetViews>
    <sheetView view="pageBreakPreview" topLeftCell="A7" zoomScaleNormal="100" zoomScaleSheetLayoutView="100" workbookViewId="0">
      <selection activeCell="F10" sqref="F10"/>
    </sheetView>
  </sheetViews>
  <sheetFormatPr defaultColWidth="9.140625" defaultRowHeight="15.75" x14ac:dyDescent="0.25"/>
  <cols>
    <col min="1" max="1" width="7" style="1" customWidth="1"/>
    <col min="2" max="2" width="24.7109375" style="1" customWidth="1"/>
    <col min="3" max="3" width="21.5703125" style="1" customWidth="1"/>
    <col min="4" max="4" width="23.28515625" style="1" customWidth="1"/>
    <col min="5" max="5" width="28.140625" style="1" customWidth="1"/>
    <col min="6" max="6" width="11.140625" style="1" customWidth="1"/>
    <col min="7" max="7" width="18.85546875" style="1" customWidth="1"/>
    <col min="8" max="8" width="30.5703125" style="1" customWidth="1"/>
    <col min="9" max="16384" width="9.140625" style="1"/>
  </cols>
  <sheetData>
    <row r="1" spans="1:10" ht="39.75" customHeight="1" x14ac:dyDescent="0.6">
      <c r="A1" s="27" t="s">
        <v>0</v>
      </c>
      <c r="B1" s="27"/>
      <c r="C1" s="27"/>
      <c r="D1" s="27"/>
      <c r="E1" s="27"/>
      <c r="F1" s="27"/>
      <c r="G1" s="27"/>
      <c r="H1" s="27"/>
    </row>
    <row r="2" spans="1:10" ht="23.25" customHeight="1" x14ac:dyDescent="0.35">
      <c r="A2" s="28" t="s">
        <v>1</v>
      </c>
      <c r="B2" s="28"/>
      <c r="C2" s="28"/>
      <c r="D2" s="28"/>
      <c r="E2" s="28"/>
      <c r="F2" s="28"/>
      <c r="G2" s="28"/>
      <c r="H2" s="28"/>
    </row>
    <row r="3" spans="1:10" ht="23.25" customHeight="1" x14ac:dyDescent="0.35">
      <c r="A3" s="28" t="s">
        <v>2</v>
      </c>
      <c r="B3" s="28"/>
      <c r="C3" s="28"/>
      <c r="D3" s="28"/>
      <c r="E3" s="28"/>
      <c r="F3" s="28"/>
      <c r="G3" s="28"/>
      <c r="H3" s="28"/>
    </row>
    <row r="4" spans="1:10" ht="12.75" customHeight="1" x14ac:dyDescent="0.6">
      <c r="A4" s="2"/>
      <c r="B4" s="2"/>
      <c r="C4" s="2"/>
      <c r="D4" s="3"/>
      <c r="E4" s="3"/>
      <c r="F4" s="3"/>
      <c r="G4" s="3"/>
      <c r="H4" s="3"/>
    </row>
    <row r="5" spans="1:10" ht="28.5" customHeight="1" x14ac:dyDescent="0.45">
      <c r="A5" s="29" t="s">
        <v>3</v>
      </c>
      <c r="B5" s="29"/>
      <c r="C5" s="29"/>
      <c r="D5" s="29"/>
      <c r="E5" s="29"/>
      <c r="F5" s="29"/>
      <c r="G5" s="29"/>
      <c r="H5" s="29"/>
    </row>
    <row r="6" spans="1:10" ht="21" customHeight="1" x14ac:dyDescent="0.6">
      <c r="A6" s="2" t="s">
        <v>4</v>
      </c>
      <c r="B6" s="2"/>
      <c r="C6" s="2"/>
      <c r="D6" s="3"/>
      <c r="E6" s="3"/>
      <c r="F6" s="3"/>
      <c r="G6" s="3"/>
      <c r="H6" s="3"/>
    </row>
    <row r="7" spans="1:10" ht="21" customHeight="1" x14ac:dyDescent="0.6">
      <c r="A7" s="2" t="s">
        <v>5</v>
      </c>
      <c r="B7" s="2"/>
      <c r="C7" s="2"/>
      <c r="D7" s="3"/>
      <c r="E7" s="3"/>
      <c r="F7" s="3"/>
      <c r="G7" s="3"/>
      <c r="H7" s="3"/>
    </row>
    <row r="8" spans="1:10" ht="21" customHeight="1" x14ac:dyDescent="0.6">
      <c r="A8" s="2" t="s">
        <v>6</v>
      </c>
      <c r="B8" s="2"/>
      <c r="C8" s="2"/>
      <c r="D8" s="3"/>
      <c r="E8" s="3"/>
      <c r="F8" s="3"/>
      <c r="G8" s="3"/>
      <c r="H8" s="3"/>
    </row>
    <row r="9" spans="1:10" s="6" customFormat="1" ht="40.5" x14ac:dyDescent="0.25">
      <c r="A9" s="4" t="s">
        <v>7</v>
      </c>
      <c r="B9" s="4" t="s">
        <v>8</v>
      </c>
      <c r="C9" s="5" t="s">
        <v>9</v>
      </c>
      <c r="D9" s="5" t="s">
        <v>10</v>
      </c>
      <c r="E9" s="5" t="s">
        <v>11</v>
      </c>
      <c r="F9" s="5" t="s">
        <v>12</v>
      </c>
      <c r="G9" s="5" t="s">
        <v>13</v>
      </c>
      <c r="H9" s="4" t="s">
        <v>14</v>
      </c>
    </row>
    <row r="10" spans="1:10" ht="24" x14ac:dyDescent="0.25">
      <c r="A10" s="7">
        <v>1</v>
      </c>
      <c r="B10" s="8">
        <v>66863</v>
      </c>
      <c r="C10" s="9">
        <v>1074</v>
      </c>
      <c r="D10" s="10">
        <v>1082</v>
      </c>
      <c r="E10" s="10">
        <f t="shared" ref="E10" si="0">D10-C10</f>
        <v>8</v>
      </c>
      <c r="F10" s="11">
        <v>2137</v>
      </c>
      <c r="G10" s="26">
        <f t="shared" ref="G10" si="1">F10*E10</f>
        <v>17096</v>
      </c>
      <c r="H10" s="25" t="s">
        <v>42</v>
      </c>
      <c r="J10" s="13"/>
    </row>
    <row r="11" spans="1:10" ht="23.25" x14ac:dyDescent="0.25">
      <c r="A11" s="12"/>
      <c r="B11" s="12"/>
      <c r="C11" s="14"/>
      <c r="D11" s="12"/>
      <c r="E11" s="15" t="s">
        <v>15</v>
      </c>
      <c r="F11" s="16"/>
      <c r="G11" s="26">
        <f>SUM(G10:G10)</f>
        <v>17096</v>
      </c>
      <c r="H11" s="14"/>
    </row>
    <row r="12" spans="1:10" ht="23.25" x14ac:dyDescent="0.25">
      <c r="A12" s="12"/>
      <c r="B12" s="12"/>
      <c r="C12" s="14"/>
      <c r="D12" s="12"/>
      <c r="E12" s="15" t="s">
        <v>16</v>
      </c>
      <c r="F12" s="16"/>
      <c r="G12" s="26"/>
      <c r="H12" s="14"/>
    </row>
    <row r="13" spans="1:10" ht="23.25" x14ac:dyDescent="0.25">
      <c r="A13" s="12"/>
      <c r="B13" s="12"/>
      <c r="C13" s="14"/>
      <c r="D13" s="12"/>
      <c r="E13" s="15" t="s">
        <v>17</v>
      </c>
      <c r="F13" s="16"/>
      <c r="G13" s="26">
        <f>G11</f>
        <v>17096</v>
      </c>
      <c r="H13" s="14"/>
    </row>
    <row r="14" spans="1:10" ht="23.25" x14ac:dyDescent="0.25">
      <c r="A14" s="12"/>
      <c r="B14" s="12"/>
      <c r="C14" s="14"/>
      <c r="D14" s="12"/>
      <c r="E14" s="15" t="s">
        <v>18</v>
      </c>
      <c r="F14" s="16"/>
      <c r="G14" s="26">
        <f>0.13*G13</f>
        <v>2222.48</v>
      </c>
      <c r="H14" s="14"/>
    </row>
    <row r="15" spans="1:10" ht="23.25" x14ac:dyDescent="0.25">
      <c r="A15" s="12"/>
      <c r="B15" s="12"/>
      <c r="C15" s="14"/>
      <c r="D15" s="12"/>
      <c r="E15" s="15" t="s">
        <v>19</v>
      </c>
      <c r="F15" s="16"/>
      <c r="G15" s="26">
        <f>SUM(G13:G14)</f>
        <v>19318.48</v>
      </c>
      <c r="H15" s="14"/>
    </row>
    <row r="16" spans="1:10" ht="23.25" x14ac:dyDescent="0.25">
      <c r="A16" s="17"/>
      <c r="B16" s="17"/>
      <c r="C16" s="18"/>
      <c r="D16" s="17"/>
      <c r="E16" s="19"/>
      <c r="G16" s="20"/>
      <c r="H16" s="18"/>
    </row>
    <row r="23" spans="2:8" ht="20.25" x14ac:dyDescent="0.3">
      <c r="B23" s="21" t="s">
        <v>20</v>
      </c>
      <c r="E23" s="21" t="s">
        <v>21</v>
      </c>
      <c r="H23" s="21" t="s">
        <v>21</v>
      </c>
    </row>
    <row r="24" spans="2:8" ht="20.25" x14ac:dyDescent="0.3">
      <c r="B24" s="22"/>
      <c r="E24" s="22"/>
      <c r="H24" s="22"/>
    </row>
    <row r="25" spans="2:8" ht="18.75" x14ac:dyDescent="0.3">
      <c r="B25" s="23" t="s">
        <v>22</v>
      </c>
      <c r="E25" s="23" t="s">
        <v>23</v>
      </c>
      <c r="H25" s="23" t="s">
        <v>23</v>
      </c>
    </row>
    <row r="32" spans="2:8" ht="20.25" x14ac:dyDescent="0.3">
      <c r="C32" s="21" t="s">
        <v>21</v>
      </c>
      <c r="F32" s="21" t="s">
        <v>24</v>
      </c>
    </row>
    <row r="33" spans="3:6" ht="20.25" x14ac:dyDescent="0.3">
      <c r="C33" s="22"/>
      <c r="F33" s="22"/>
    </row>
    <row r="34" spans="3:6" ht="18.75" x14ac:dyDescent="0.3">
      <c r="C34" s="23" t="s">
        <v>25</v>
      </c>
      <c r="D34" s="24"/>
      <c r="F34" s="23" t="s">
        <v>26</v>
      </c>
    </row>
    <row r="39" spans="3:6" x14ac:dyDescent="0.25">
      <c r="C39" s="1" t="s">
        <v>27</v>
      </c>
      <c r="D39" s="1" t="s">
        <v>28</v>
      </c>
      <c r="E39" s="1" t="s">
        <v>29</v>
      </c>
    </row>
    <row r="40" spans="3:6" x14ac:dyDescent="0.25">
      <c r="C40" s="1" t="s">
        <v>30</v>
      </c>
      <c r="D40" s="1" t="s">
        <v>31</v>
      </c>
      <c r="E40" s="1"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827A2-1B1A-4D84-8421-470CE6726845}">
  <dimension ref="A1:J40"/>
  <sheetViews>
    <sheetView view="pageBreakPreview" topLeftCell="A7" zoomScaleNormal="100" zoomScaleSheetLayoutView="100" workbookViewId="0">
      <selection activeCell="F10" sqref="F10"/>
    </sheetView>
  </sheetViews>
  <sheetFormatPr defaultColWidth="9.140625" defaultRowHeight="15.75" x14ac:dyDescent="0.25"/>
  <cols>
    <col min="1" max="1" width="7" style="1" customWidth="1"/>
    <col min="2" max="2" width="24.7109375" style="1" customWidth="1"/>
    <col min="3" max="3" width="21.5703125" style="1" customWidth="1"/>
    <col min="4" max="4" width="23.28515625" style="1" customWidth="1"/>
    <col min="5" max="5" width="28.140625" style="1" customWidth="1"/>
    <col min="6" max="6" width="11.140625" style="1" customWidth="1"/>
    <col min="7" max="7" width="18.85546875" style="1" customWidth="1"/>
    <col min="8" max="8" width="30.5703125" style="1" customWidth="1"/>
    <col min="9" max="16384" width="9.140625" style="1"/>
  </cols>
  <sheetData>
    <row r="1" spans="1:10" ht="39.75" customHeight="1" x14ac:dyDescent="0.6">
      <c r="A1" s="27" t="s">
        <v>0</v>
      </c>
      <c r="B1" s="27"/>
      <c r="C1" s="27"/>
      <c r="D1" s="27"/>
      <c r="E1" s="27"/>
      <c r="F1" s="27"/>
      <c r="G1" s="27"/>
      <c r="H1" s="27"/>
    </row>
    <row r="2" spans="1:10" ht="23.25" customHeight="1" x14ac:dyDescent="0.35">
      <c r="A2" s="28" t="s">
        <v>1</v>
      </c>
      <c r="B2" s="28"/>
      <c r="C2" s="28"/>
      <c r="D2" s="28"/>
      <c r="E2" s="28"/>
      <c r="F2" s="28"/>
      <c r="G2" s="28"/>
      <c r="H2" s="28"/>
    </row>
    <row r="3" spans="1:10" ht="23.25" customHeight="1" x14ac:dyDescent="0.35">
      <c r="A3" s="28" t="s">
        <v>2</v>
      </c>
      <c r="B3" s="28"/>
      <c r="C3" s="28"/>
      <c r="D3" s="28"/>
      <c r="E3" s="28"/>
      <c r="F3" s="28"/>
      <c r="G3" s="28"/>
      <c r="H3" s="28"/>
    </row>
    <row r="4" spans="1:10" ht="12.75" customHeight="1" x14ac:dyDescent="0.6">
      <c r="A4" s="2"/>
      <c r="B4" s="2"/>
      <c r="C4" s="2"/>
      <c r="D4" s="3"/>
      <c r="E4" s="3"/>
      <c r="F4" s="3"/>
      <c r="G4" s="3"/>
      <c r="H4" s="3"/>
    </row>
    <row r="5" spans="1:10" ht="28.5" customHeight="1" x14ac:dyDescent="0.45">
      <c r="A5" s="29" t="s">
        <v>3</v>
      </c>
      <c r="B5" s="29"/>
      <c r="C5" s="29"/>
      <c r="D5" s="29"/>
      <c r="E5" s="29"/>
      <c r="F5" s="29"/>
      <c r="G5" s="29"/>
      <c r="H5" s="29"/>
    </row>
    <row r="6" spans="1:10" ht="21" customHeight="1" x14ac:dyDescent="0.6">
      <c r="A6" s="2" t="s">
        <v>4</v>
      </c>
      <c r="B6" s="2"/>
      <c r="C6" s="2"/>
      <c r="D6" s="3"/>
      <c r="E6" s="3"/>
      <c r="F6" s="3"/>
      <c r="G6" s="3"/>
      <c r="H6" s="3"/>
    </row>
    <row r="7" spans="1:10" ht="21" customHeight="1" x14ac:dyDescent="0.6">
      <c r="A7" s="2" t="s">
        <v>5</v>
      </c>
      <c r="B7" s="2"/>
      <c r="C7" s="2"/>
      <c r="D7" s="3"/>
      <c r="E7" s="3"/>
      <c r="F7" s="3"/>
      <c r="G7" s="3"/>
      <c r="H7" s="3"/>
    </row>
    <row r="8" spans="1:10" ht="21" customHeight="1" x14ac:dyDescent="0.6">
      <c r="A8" s="2" t="s">
        <v>6</v>
      </c>
      <c r="B8" s="2"/>
      <c r="C8" s="2"/>
      <c r="D8" s="3"/>
      <c r="E8" s="3"/>
      <c r="F8" s="3"/>
      <c r="G8" s="3"/>
      <c r="H8" s="3"/>
    </row>
    <row r="9" spans="1:10" s="6" customFormat="1" ht="40.5" x14ac:dyDescent="0.25">
      <c r="A9" s="4" t="s">
        <v>7</v>
      </c>
      <c r="B9" s="4" t="s">
        <v>8</v>
      </c>
      <c r="C9" s="5" t="s">
        <v>9</v>
      </c>
      <c r="D9" s="5" t="s">
        <v>10</v>
      </c>
      <c r="E9" s="5" t="s">
        <v>11</v>
      </c>
      <c r="F9" s="5" t="s">
        <v>12</v>
      </c>
      <c r="G9" s="5" t="s">
        <v>13</v>
      </c>
      <c r="H9" s="4" t="s">
        <v>14</v>
      </c>
    </row>
    <row r="10" spans="1:10" ht="24" x14ac:dyDescent="0.25">
      <c r="A10" s="7">
        <v>1</v>
      </c>
      <c r="B10" s="8">
        <v>66864</v>
      </c>
      <c r="C10" s="9">
        <v>1082</v>
      </c>
      <c r="D10" s="10">
        <v>1089</v>
      </c>
      <c r="E10" s="10">
        <f t="shared" ref="E10" si="0">D10-C10</f>
        <v>7</v>
      </c>
      <c r="F10" s="11">
        <v>2137</v>
      </c>
      <c r="G10" s="26">
        <f t="shared" ref="G10" si="1">F10*E10</f>
        <v>14959</v>
      </c>
      <c r="H10" s="25" t="s">
        <v>43</v>
      </c>
      <c r="J10" s="13"/>
    </row>
    <row r="11" spans="1:10" ht="23.25" x14ac:dyDescent="0.25">
      <c r="A11" s="12"/>
      <c r="B11" s="12"/>
      <c r="C11" s="14"/>
      <c r="D11" s="12"/>
      <c r="E11" s="15" t="s">
        <v>15</v>
      </c>
      <c r="F11" s="16"/>
      <c r="G11" s="26">
        <f>SUM(G10:G10)</f>
        <v>14959</v>
      </c>
      <c r="H11" s="14"/>
    </row>
    <row r="12" spans="1:10" ht="23.25" x14ac:dyDescent="0.25">
      <c r="A12" s="12"/>
      <c r="B12" s="12"/>
      <c r="C12" s="14"/>
      <c r="D12" s="12"/>
      <c r="E12" s="15" t="s">
        <v>16</v>
      </c>
      <c r="F12" s="16"/>
      <c r="G12" s="26"/>
      <c r="H12" s="14"/>
    </row>
    <row r="13" spans="1:10" ht="23.25" x14ac:dyDescent="0.25">
      <c r="A13" s="12"/>
      <c r="B13" s="12"/>
      <c r="C13" s="14"/>
      <c r="D13" s="12"/>
      <c r="E13" s="15" t="s">
        <v>17</v>
      </c>
      <c r="F13" s="16"/>
      <c r="G13" s="26">
        <f>G11</f>
        <v>14959</v>
      </c>
      <c r="H13" s="14"/>
    </row>
    <row r="14" spans="1:10" ht="23.25" x14ac:dyDescent="0.25">
      <c r="A14" s="12"/>
      <c r="B14" s="12"/>
      <c r="C14" s="14"/>
      <c r="D14" s="12"/>
      <c r="E14" s="15" t="s">
        <v>18</v>
      </c>
      <c r="F14" s="16"/>
      <c r="G14" s="26">
        <f>0.13*G13</f>
        <v>1944.67</v>
      </c>
      <c r="H14" s="14"/>
    </row>
    <row r="15" spans="1:10" ht="23.25" x14ac:dyDescent="0.25">
      <c r="A15" s="12"/>
      <c r="B15" s="12"/>
      <c r="C15" s="14"/>
      <c r="D15" s="12"/>
      <c r="E15" s="15" t="s">
        <v>19</v>
      </c>
      <c r="F15" s="16"/>
      <c r="G15" s="26">
        <f>SUM(G13:G14)</f>
        <v>16903.669999999998</v>
      </c>
      <c r="H15" s="14"/>
    </row>
    <row r="16" spans="1:10" ht="23.25" x14ac:dyDescent="0.25">
      <c r="A16" s="17"/>
      <c r="B16" s="17"/>
      <c r="C16" s="18"/>
      <c r="D16" s="17"/>
      <c r="E16" s="19"/>
      <c r="G16" s="20"/>
      <c r="H16" s="18"/>
    </row>
    <row r="23" spans="2:8" ht="20.25" x14ac:dyDescent="0.3">
      <c r="B23" s="21" t="s">
        <v>20</v>
      </c>
      <c r="E23" s="21" t="s">
        <v>21</v>
      </c>
      <c r="H23" s="21" t="s">
        <v>21</v>
      </c>
    </row>
    <row r="24" spans="2:8" ht="20.25" x14ac:dyDescent="0.3">
      <c r="B24" s="22"/>
      <c r="E24" s="22"/>
      <c r="H24" s="22"/>
    </row>
    <row r="25" spans="2:8" ht="18.75" x14ac:dyDescent="0.3">
      <c r="B25" s="23" t="s">
        <v>22</v>
      </c>
      <c r="E25" s="23" t="s">
        <v>23</v>
      </c>
      <c r="H25" s="23" t="s">
        <v>23</v>
      </c>
    </row>
    <row r="32" spans="2:8" ht="20.25" x14ac:dyDescent="0.3">
      <c r="C32" s="21" t="s">
        <v>21</v>
      </c>
      <c r="F32" s="21" t="s">
        <v>24</v>
      </c>
    </row>
    <row r="33" spans="3:6" ht="20.25" x14ac:dyDescent="0.3">
      <c r="C33" s="22"/>
      <c r="F33" s="22"/>
    </row>
    <row r="34" spans="3:6" ht="18.75" x14ac:dyDescent="0.3">
      <c r="C34" s="23" t="s">
        <v>25</v>
      </c>
      <c r="D34" s="24"/>
      <c r="F34" s="23" t="s">
        <v>26</v>
      </c>
    </row>
    <row r="39" spans="3:6" x14ac:dyDescent="0.25">
      <c r="C39" s="1" t="s">
        <v>27</v>
      </c>
      <c r="D39" s="1" t="s">
        <v>28</v>
      </c>
      <c r="E39" s="1" t="s">
        <v>29</v>
      </c>
    </row>
    <row r="40" spans="3:6" x14ac:dyDescent="0.25">
      <c r="C40" s="1" t="s">
        <v>30</v>
      </c>
      <c r="D40" s="1" t="s">
        <v>31</v>
      </c>
      <c r="E40" s="1"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BA852-6A02-4058-BB90-9FD7B7804834}">
  <dimension ref="A1:J40"/>
  <sheetViews>
    <sheetView view="pageBreakPreview" topLeftCell="A7" zoomScaleNormal="100" zoomScaleSheetLayoutView="100" workbookViewId="0">
      <selection activeCell="F10" sqref="F10"/>
    </sheetView>
  </sheetViews>
  <sheetFormatPr defaultColWidth="9.140625" defaultRowHeight="15.75" x14ac:dyDescent="0.25"/>
  <cols>
    <col min="1" max="1" width="7" style="1" customWidth="1"/>
    <col min="2" max="2" width="24.7109375" style="1" customWidth="1"/>
    <col min="3" max="3" width="21.5703125" style="1" customWidth="1"/>
    <col min="4" max="4" width="23.28515625" style="1" customWidth="1"/>
    <col min="5" max="5" width="28.140625" style="1" customWidth="1"/>
    <col min="6" max="6" width="11.140625" style="1" customWidth="1"/>
    <col min="7" max="7" width="18.85546875" style="1" customWidth="1"/>
    <col min="8" max="8" width="32" style="1" customWidth="1"/>
    <col min="9" max="16384" width="9.140625" style="1"/>
  </cols>
  <sheetData>
    <row r="1" spans="1:10" ht="39.75" customHeight="1" x14ac:dyDescent="0.6">
      <c r="A1" s="27" t="s">
        <v>0</v>
      </c>
      <c r="B1" s="27"/>
      <c r="C1" s="27"/>
      <c r="D1" s="27"/>
      <c r="E1" s="27"/>
      <c r="F1" s="27"/>
      <c r="G1" s="27"/>
      <c r="H1" s="27"/>
    </row>
    <row r="2" spans="1:10" ht="23.25" customHeight="1" x14ac:dyDescent="0.35">
      <c r="A2" s="28" t="s">
        <v>1</v>
      </c>
      <c r="B2" s="28"/>
      <c r="C2" s="28"/>
      <c r="D2" s="28"/>
      <c r="E2" s="28"/>
      <c r="F2" s="28"/>
      <c r="G2" s="28"/>
      <c r="H2" s="28"/>
    </row>
    <row r="3" spans="1:10" ht="23.25" customHeight="1" x14ac:dyDescent="0.35">
      <c r="A3" s="28" t="s">
        <v>2</v>
      </c>
      <c r="B3" s="28"/>
      <c r="C3" s="28"/>
      <c r="D3" s="28"/>
      <c r="E3" s="28"/>
      <c r="F3" s="28"/>
      <c r="G3" s="28"/>
      <c r="H3" s="28"/>
    </row>
    <row r="4" spans="1:10" ht="12.75" customHeight="1" x14ac:dyDescent="0.6">
      <c r="A4" s="2"/>
      <c r="B4" s="2"/>
      <c r="C4" s="2"/>
      <c r="D4" s="3"/>
      <c r="E4" s="3"/>
      <c r="F4" s="3"/>
      <c r="G4" s="3"/>
      <c r="H4" s="3"/>
    </row>
    <row r="5" spans="1:10" ht="28.5" customHeight="1" x14ac:dyDescent="0.45">
      <c r="A5" s="29" t="s">
        <v>3</v>
      </c>
      <c r="B5" s="29"/>
      <c r="C5" s="29"/>
      <c r="D5" s="29"/>
      <c r="E5" s="29"/>
      <c r="F5" s="29"/>
      <c r="G5" s="29"/>
      <c r="H5" s="29"/>
    </row>
    <row r="6" spans="1:10" ht="21" customHeight="1" x14ac:dyDescent="0.6">
      <c r="A6" s="2" t="s">
        <v>4</v>
      </c>
      <c r="B6" s="2"/>
      <c r="C6" s="2"/>
      <c r="D6" s="3"/>
      <c r="E6" s="3"/>
      <c r="F6" s="3"/>
      <c r="G6" s="3"/>
      <c r="H6" s="3"/>
    </row>
    <row r="7" spans="1:10" ht="21" customHeight="1" x14ac:dyDescent="0.6">
      <c r="A7" s="2" t="s">
        <v>5</v>
      </c>
      <c r="B7" s="2"/>
      <c r="C7" s="2"/>
      <c r="D7" s="3"/>
      <c r="E7" s="3"/>
      <c r="F7" s="3"/>
      <c r="G7" s="3"/>
      <c r="H7" s="3"/>
    </row>
    <row r="8" spans="1:10" ht="21" customHeight="1" x14ac:dyDescent="0.6">
      <c r="A8" s="2" t="s">
        <v>6</v>
      </c>
      <c r="B8" s="2"/>
      <c r="C8" s="2"/>
      <c r="D8" s="3"/>
      <c r="E8" s="3"/>
      <c r="F8" s="3"/>
      <c r="G8" s="3"/>
      <c r="H8" s="3"/>
    </row>
    <row r="9" spans="1:10" s="6" customFormat="1" ht="40.5" x14ac:dyDescent="0.25">
      <c r="A9" s="4" t="s">
        <v>7</v>
      </c>
      <c r="B9" s="4" t="s">
        <v>8</v>
      </c>
      <c r="C9" s="5" t="s">
        <v>9</v>
      </c>
      <c r="D9" s="5" t="s">
        <v>10</v>
      </c>
      <c r="E9" s="5" t="s">
        <v>11</v>
      </c>
      <c r="F9" s="5" t="s">
        <v>12</v>
      </c>
      <c r="G9" s="5" t="s">
        <v>13</v>
      </c>
      <c r="H9" s="4" t="s">
        <v>14</v>
      </c>
    </row>
    <row r="10" spans="1:10" ht="24" x14ac:dyDescent="0.25">
      <c r="A10" s="7">
        <v>1</v>
      </c>
      <c r="B10" s="8">
        <v>66866</v>
      </c>
      <c r="C10" s="9">
        <v>1089</v>
      </c>
      <c r="D10" s="10">
        <v>1098</v>
      </c>
      <c r="E10" s="10">
        <f t="shared" ref="E10" si="0">D10-C10</f>
        <v>9</v>
      </c>
      <c r="F10" s="11">
        <v>2137</v>
      </c>
      <c r="G10" s="26">
        <f t="shared" ref="G10" si="1">F10*E10</f>
        <v>19233</v>
      </c>
      <c r="H10" s="25" t="s">
        <v>44</v>
      </c>
      <c r="J10" s="13"/>
    </row>
    <row r="11" spans="1:10" ht="23.25" x14ac:dyDescent="0.25">
      <c r="A11" s="12"/>
      <c r="B11" s="12"/>
      <c r="C11" s="14"/>
      <c r="D11" s="12"/>
      <c r="E11" s="15" t="s">
        <v>15</v>
      </c>
      <c r="F11" s="16"/>
      <c r="G11" s="26">
        <f>SUM(G10:G10)</f>
        <v>19233</v>
      </c>
      <c r="H11" s="14"/>
    </row>
    <row r="12" spans="1:10" ht="23.25" x14ac:dyDescent="0.25">
      <c r="A12" s="12"/>
      <c r="B12" s="12"/>
      <c r="C12" s="14"/>
      <c r="D12" s="12"/>
      <c r="E12" s="15" t="s">
        <v>16</v>
      </c>
      <c r="F12" s="16"/>
      <c r="G12" s="26"/>
      <c r="H12" s="14"/>
    </row>
    <row r="13" spans="1:10" ht="23.25" x14ac:dyDescent="0.25">
      <c r="A13" s="12"/>
      <c r="B13" s="12"/>
      <c r="C13" s="14"/>
      <c r="D13" s="12"/>
      <c r="E13" s="15" t="s">
        <v>17</v>
      </c>
      <c r="F13" s="16"/>
      <c r="G13" s="26">
        <f>G11</f>
        <v>19233</v>
      </c>
      <c r="H13" s="14"/>
    </row>
    <row r="14" spans="1:10" ht="23.25" x14ac:dyDescent="0.25">
      <c r="A14" s="12"/>
      <c r="B14" s="12"/>
      <c r="C14" s="14"/>
      <c r="D14" s="12"/>
      <c r="E14" s="15" t="s">
        <v>18</v>
      </c>
      <c r="F14" s="16"/>
      <c r="G14" s="26">
        <f>0.13*G13</f>
        <v>2500.29</v>
      </c>
      <c r="H14" s="14"/>
    </row>
    <row r="15" spans="1:10" ht="23.25" x14ac:dyDescent="0.25">
      <c r="A15" s="12"/>
      <c r="B15" s="12"/>
      <c r="C15" s="14"/>
      <c r="D15" s="12"/>
      <c r="E15" s="15" t="s">
        <v>19</v>
      </c>
      <c r="F15" s="16"/>
      <c r="G15" s="26">
        <f>SUM(G13:G14)</f>
        <v>21733.29</v>
      </c>
      <c r="H15" s="14"/>
    </row>
    <row r="16" spans="1:10" ht="23.25" x14ac:dyDescent="0.25">
      <c r="A16" s="17"/>
      <c r="B16" s="17"/>
      <c r="C16" s="18"/>
      <c r="D16" s="17"/>
      <c r="E16" s="19"/>
      <c r="G16" s="20"/>
      <c r="H16" s="18"/>
    </row>
    <row r="23" spans="2:8" ht="20.25" x14ac:dyDescent="0.3">
      <c r="B23" s="21" t="s">
        <v>20</v>
      </c>
      <c r="E23" s="21" t="s">
        <v>21</v>
      </c>
      <c r="H23" s="21" t="s">
        <v>21</v>
      </c>
    </row>
    <row r="24" spans="2:8" ht="20.25" x14ac:dyDescent="0.3">
      <c r="B24" s="22"/>
      <c r="E24" s="22"/>
      <c r="H24" s="22"/>
    </row>
    <row r="25" spans="2:8" ht="18.75" x14ac:dyDescent="0.3">
      <c r="B25" s="23" t="s">
        <v>22</v>
      </c>
      <c r="E25" s="23" t="s">
        <v>23</v>
      </c>
      <c r="H25" s="23" t="s">
        <v>23</v>
      </c>
    </row>
    <row r="32" spans="2:8" ht="20.25" x14ac:dyDescent="0.3">
      <c r="C32" s="21" t="s">
        <v>21</v>
      </c>
      <c r="F32" s="21" t="s">
        <v>24</v>
      </c>
    </row>
    <row r="33" spans="3:6" ht="20.25" x14ac:dyDescent="0.3">
      <c r="C33" s="22"/>
      <c r="F33" s="22"/>
    </row>
    <row r="34" spans="3:6" ht="18.75" x14ac:dyDescent="0.3">
      <c r="C34" s="23" t="s">
        <v>25</v>
      </c>
      <c r="D34" s="24"/>
      <c r="F34" s="23" t="s">
        <v>26</v>
      </c>
    </row>
    <row r="39" spans="3:6" x14ac:dyDescent="0.25">
      <c r="C39" s="1" t="s">
        <v>27</v>
      </c>
      <c r="D39" s="1" t="s">
        <v>28</v>
      </c>
      <c r="E39" s="1" t="s">
        <v>29</v>
      </c>
    </row>
    <row r="40" spans="3:6" x14ac:dyDescent="0.25">
      <c r="C40" s="1" t="s">
        <v>30</v>
      </c>
      <c r="D40" s="1" t="s">
        <v>31</v>
      </c>
      <c r="E40" s="1"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2E5A1-9C0A-4452-B1BC-112D32AF8431}">
  <dimension ref="A1:J40"/>
  <sheetViews>
    <sheetView view="pageBreakPreview" topLeftCell="A7" zoomScaleNormal="100" zoomScaleSheetLayoutView="100" workbookViewId="0">
      <selection activeCell="F10" sqref="F10"/>
    </sheetView>
  </sheetViews>
  <sheetFormatPr defaultColWidth="9.140625" defaultRowHeight="15.75" x14ac:dyDescent="0.25"/>
  <cols>
    <col min="1" max="1" width="7" style="1" customWidth="1"/>
    <col min="2" max="2" width="24.7109375" style="1" customWidth="1"/>
    <col min="3" max="3" width="21.5703125" style="1" customWidth="1"/>
    <col min="4" max="4" width="23.28515625" style="1" customWidth="1"/>
    <col min="5" max="5" width="28.140625" style="1" customWidth="1"/>
    <col min="6" max="6" width="11.140625" style="1" customWidth="1"/>
    <col min="7" max="7" width="18.85546875" style="1" customWidth="1"/>
    <col min="8" max="8" width="32" style="1" customWidth="1"/>
    <col min="9" max="16384" width="9.140625" style="1"/>
  </cols>
  <sheetData>
    <row r="1" spans="1:10" ht="39.75" customHeight="1" x14ac:dyDescent="0.6">
      <c r="A1" s="27" t="s">
        <v>0</v>
      </c>
      <c r="B1" s="27"/>
      <c r="C1" s="27"/>
      <c r="D1" s="27"/>
      <c r="E1" s="27"/>
      <c r="F1" s="27"/>
      <c r="G1" s="27"/>
      <c r="H1" s="27"/>
    </row>
    <row r="2" spans="1:10" ht="23.25" customHeight="1" x14ac:dyDescent="0.35">
      <c r="A2" s="28" t="s">
        <v>1</v>
      </c>
      <c r="B2" s="28"/>
      <c r="C2" s="28"/>
      <c r="D2" s="28"/>
      <c r="E2" s="28"/>
      <c r="F2" s="28"/>
      <c r="G2" s="28"/>
      <c r="H2" s="28"/>
    </row>
    <row r="3" spans="1:10" ht="23.25" customHeight="1" x14ac:dyDescent="0.35">
      <c r="A3" s="28" t="s">
        <v>2</v>
      </c>
      <c r="B3" s="28"/>
      <c r="C3" s="28"/>
      <c r="D3" s="28"/>
      <c r="E3" s="28"/>
      <c r="F3" s="28"/>
      <c r="G3" s="28"/>
      <c r="H3" s="28"/>
    </row>
    <row r="4" spans="1:10" ht="12.75" customHeight="1" x14ac:dyDescent="0.6">
      <c r="A4" s="2"/>
      <c r="B4" s="2"/>
      <c r="C4" s="2"/>
      <c r="D4" s="3"/>
      <c r="E4" s="3"/>
      <c r="F4" s="3"/>
      <c r="G4" s="3"/>
      <c r="H4" s="3"/>
    </row>
    <row r="5" spans="1:10" ht="28.5" customHeight="1" x14ac:dyDescent="0.45">
      <c r="A5" s="29" t="s">
        <v>3</v>
      </c>
      <c r="B5" s="29"/>
      <c r="C5" s="29"/>
      <c r="D5" s="29"/>
      <c r="E5" s="29"/>
      <c r="F5" s="29"/>
      <c r="G5" s="29"/>
      <c r="H5" s="29"/>
    </row>
    <row r="6" spans="1:10" ht="21" customHeight="1" x14ac:dyDescent="0.6">
      <c r="A6" s="2" t="s">
        <v>4</v>
      </c>
      <c r="B6" s="2"/>
      <c r="C6" s="2"/>
      <c r="D6" s="3"/>
      <c r="E6" s="3"/>
      <c r="F6" s="3"/>
      <c r="G6" s="3"/>
      <c r="H6" s="3"/>
    </row>
    <row r="7" spans="1:10" ht="21" customHeight="1" x14ac:dyDescent="0.6">
      <c r="A7" s="2" t="s">
        <v>5</v>
      </c>
      <c r="B7" s="2"/>
      <c r="C7" s="2"/>
      <c r="D7" s="3"/>
      <c r="E7" s="3"/>
      <c r="F7" s="3"/>
      <c r="G7" s="3"/>
      <c r="H7" s="3"/>
    </row>
    <row r="8" spans="1:10" ht="21" customHeight="1" x14ac:dyDescent="0.6">
      <c r="A8" s="2" t="s">
        <v>6</v>
      </c>
      <c r="B8" s="2"/>
      <c r="C8" s="2"/>
      <c r="D8" s="3"/>
      <c r="E8" s="3"/>
      <c r="F8" s="3"/>
      <c r="G8" s="3"/>
      <c r="H8" s="3"/>
    </row>
    <row r="9" spans="1:10" s="6" customFormat="1" ht="40.5" x14ac:dyDescent="0.25">
      <c r="A9" s="4" t="s">
        <v>7</v>
      </c>
      <c r="B9" s="4" t="s">
        <v>8</v>
      </c>
      <c r="C9" s="5" t="s">
        <v>9</v>
      </c>
      <c r="D9" s="5" t="s">
        <v>10</v>
      </c>
      <c r="E9" s="5" t="s">
        <v>11</v>
      </c>
      <c r="F9" s="5" t="s">
        <v>12</v>
      </c>
      <c r="G9" s="5" t="s">
        <v>13</v>
      </c>
      <c r="H9" s="4" t="s">
        <v>14</v>
      </c>
    </row>
    <row r="10" spans="1:10" ht="24" x14ac:dyDescent="0.25">
      <c r="A10" s="7">
        <v>1</v>
      </c>
      <c r="B10" s="8">
        <v>66880</v>
      </c>
      <c r="C10" s="9">
        <v>1159</v>
      </c>
      <c r="D10" s="10">
        <v>1162</v>
      </c>
      <c r="E10" s="10">
        <f t="shared" ref="E10" si="0">D10-C10</f>
        <v>3</v>
      </c>
      <c r="F10" s="11">
        <v>2137</v>
      </c>
      <c r="G10" s="26">
        <f t="shared" ref="G10" si="1">F10*E10</f>
        <v>6411</v>
      </c>
      <c r="H10" s="25" t="s">
        <v>45</v>
      </c>
      <c r="J10" s="13"/>
    </row>
    <row r="11" spans="1:10" ht="23.25" x14ac:dyDescent="0.25">
      <c r="A11" s="12"/>
      <c r="B11" s="12"/>
      <c r="C11" s="14"/>
      <c r="D11" s="12"/>
      <c r="E11" s="15" t="s">
        <v>15</v>
      </c>
      <c r="F11" s="16"/>
      <c r="G11" s="26">
        <f>SUM(G10:G10)</f>
        <v>6411</v>
      </c>
      <c r="H11" s="14"/>
    </row>
    <row r="12" spans="1:10" ht="23.25" x14ac:dyDescent="0.25">
      <c r="A12" s="12"/>
      <c r="B12" s="12"/>
      <c r="C12" s="14"/>
      <c r="D12" s="12"/>
      <c r="E12" s="15" t="s">
        <v>16</v>
      </c>
      <c r="F12" s="16"/>
      <c r="G12" s="26"/>
      <c r="H12" s="14"/>
    </row>
    <row r="13" spans="1:10" ht="23.25" x14ac:dyDescent="0.25">
      <c r="A13" s="12"/>
      <c r="B13" s="12"/>
      <c r="C13" s="14"/>
      <c r="D13" s="12"/>
      <c r="E13" s="15" t="s">
        <v>17</v>
      </c>
      <c r="F13" s="16"/>
      <c r="G13" s="26">
        <f>G11</f>
        <v>6411</v>
      </c>
      <c r="H13" s="14"/>
    </row>
    <row r="14" spans="1:10" ht="23.25" x14ac:dyDescent="0.25">
      <c r="A14" s="12"/>
      <c r="B14" s="12"/>
      <c r="C14" s="14"/>
      <c r="D14" s="12"/>
      <c r="E14" s="15" t="s">
        <v>18</v>
      </c>
      <c r="F14" s="16"/>
      <c r="G14" s="26">
        <f>0.13*G13</f>
        <v>833.43000000000006</v>
      </c>
      <c r="H14" s="14"/>
    </row>
    <row r="15" spans="1:10" ht="23.25" x14ac:dyDescent="0.25">
      <c r="A15" s="12"/>
      <c r="B15" s="12"/>
      <c r="C15" s="14"/>
      <c r="D15" s="12"/>
      <c r="E15" s="15" t="s">
        <v>19</v>
      </c>
      <c r="F15" s="16"/>
      <c r="G15" s="26">
        <f>SUM(G13:G14)</f>
        <v>7244.43</v>
      </c>
      <c r="H15" s="14"/>
    </row>
    <row r="16" spans="1:10" ht="23.25" x14ac:dyDescent="0.25">
      <c r="A16" s="17"/>
      <c r="B16" s="17"/>
      <c r="C16" s="18"/>
      <c r="D16" s="17"/>
      <c r="E16" s="19"/>
      <c r="G16" s="20"/>
      <c r="H16" s="18"/>
    </row>
    <row r="23" spans="2:8" ht="20.25" x14ac:dyDescent="0.3">
      <c r="B23" s="21" t="s">
        <v>20</v>
      </c>
      <c r="E23" s="21" t="s">
        <v>21</v>
      </c>
      <c r="H23" s="21" t="s">
        <v>21</v>
      </c>
    </row>
    <row r="24" spans="2:8" ht="20.25" x14ac:dyDescent="0.3">
      <c r="B24" s="22"/>
      <c r="E24" s="22"/>
      <c r="H24" s="22"/>
    </row>
    <row r="25" spans="2:8" ht="18.75" x14ac:dyDescent="0.3">
      <c r="B25" s="23" t="s">
        <v>22</v>
      </c>
      <c r="E25" s="23" t="s">
        <v>23</v>
      </c>
      <c r="H25" s="23" t="s">
        <v>23</v>
      </c>
    </row>
    <row r="32" spans="2:8" ht="20.25" x14ac:dyDescent="0.3">
      <c r="C32" s="21" t="s">
        <v>21</v>
      </c>
      <c r="F32" s="21" t="s">
        <v>24</v>
      </c>
    </row>
    <row r="33" spans="3:6" ht="20.25" x14ac:dyDescent="0.3">
      <c r="C33" s="22"/>
      <c r="F33" s="22"/>
    </row>
    <row r="34" spans="3:6" ht="18.75" x14ac:dyDescent="0.3">
      <c r="C34" s="23" t="s">
        <v>25</v>
      </c>
      <c r="D34" s="24"/>
      <c r="F34" s="23" t="s">
        <v>26</v>
      </c>
    </row>
    <row r="39" spans="3:6" x14ac:dyDescent="0.25">
      <c r="C39" s="1" t="s">
        <v>27</v>
      </c>
      <c r="D39" s="1" t="s">
        <v>28</v>
      </c>
      <c r="E39" s="1" t="s">
        <v>29</v>
      </c>
    </row>
    <row r="40" spans="3:6" x14ac:dyDescent="0.25">
      <c r="C40" s="1" t="s">
        <v>30</v>
      </c>
      <c r="D40" s="1" t="s">
        <v>31</v>
      </c>
      <c r="E40" s="1"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2782B-2236-40B9-9F8D-1BF325C02B21}">
  <dimension ref="A1:J40"/>
  <sheetViews>
    <sheetView view="pageBreakPreview" topLeftCell="A7" zoomScaleNormal="100" zoomScaleSheetLayoutView="100" workbookViewId="0">
      <selection activeCell="F10" sqref="F10"/>
    </sheetView>
  </sheetViews>
  <sheetFormatPr defaultColWidth="9.140625" defaultRowHeight="15.75" x14ac:dyDescent="0.25"/>
  <cols>
    <col min="1" max="1" width="7" style="1" customWidth="1"/>
    <col min="2" max="2" width="24.7109375" style="1" customWidth="1"/>
    <col min="3" max="3" width="21.5703125" style="1" customWidth="1"/>
    <col min="4" max="4" width="23.28515625" style="1" customWidth="1"/>
    <col min="5" max="5" width="28.140625" style="1" customWidth="1"/>
    <col min="6" max="6" width="11.140625" style="1" customWidth="1"/>
    <col min="7" max="7" width="18.85546875" style="1" customWidth="1"/>
    <col min="8" max="8" width="32" style="1" customWidth="1"/>
    <col min="9" max="16384" width="9.140625" style="1"/>
  </cols>
  <sheetData>
    <row r="1" spans="1:10" ht="39.75" customHeight="1" x14ac:dyDescent="0.6">
      <c r="A1" s="27" t="s">
        <v>0</v>
      </c>
      <c r="B1" s="27"/>
      <c r="C1" s="27"/>
      <c r="D1" s="27"/>
      <c r="E1" s="27"/>
      <c r="F1" s="27"/>
      <c r="G1" s="27"/>
      <c r="H1" s="27"/>
    </row>
    <row r="2" spans="1:10" ht="23.25" customHeight="1" x14ac:dyDescent="0.35">
      <c r="A2" s="28" t="s">
        <v>1</v>
      </c>
      <c r="B2" s="28"/>
      <c r="C2" s="28"/>
      <c r="D2" s="28"/>
      <c r="E2" s="28"/>
      <c r="F2" s="28"/>
      <c r="G2" s="28"/>
      <c r="H2" s="28"/>
    </row>
    <row r="3" spans="1:10" ht="23.25" customHeight="1" x14ac:dyDescent="0.35">
      <c r="A3" s="28" t="s">
        <v>2</v>
      </c>
      <c r="B3" s="28"/>
      <c r="C3" s="28"/>
      <c r="D3" s="28"/>
      <c r="E3" s="28"/>
      <c r="F3" s="28"/>
      <c r="G3" s="28"/>
      <c r="H3" s="28"/>
    </row>
    <row r="4" spans="1:10" ht="12.75" customHeight="1" x14ac:dyDescent="0.6">
      <c r="A4" s="2"/>
      <c r="B4" s="2"/>
      <c r="C4" s="2"/>
      <c r="D4" s="3"/>
      <c r="E4" s="3"/>
      <c r="F4" s="3"/>
      <c r="G4" s="3"/>
      <c r="H4" s="3"/>
    </row>
    <row r="5" spans="1:10" ht="28.5" customHeight="1" x14ac:dyDescent="0.45">
      <c r="A5" s="29" t="s">
        <v>3</v>
      </c>
      <c r="B5" s="29"/>
      <c r="C5" s="29"/>
      <c r="D5" s="29"/>
      <c r="E5" s="29"/>
      <c r="F5" s="29"/>
      <c r="G5" s="29"/>
      <c r="H5" s="29"/>
    </row>
    <row r="6" spans="1:10" ht="21" customHeight="1" x14ac:dyDescent="0.6">
      <c r="A6" s="2" t="s">
        <v>4</v>
      </c>
      <c r="B6" s="2"/>
      <c r="C6" s="2"/>
      <c r="D6" s="3"/>
      <c r="E6" s="3"/>
      <c r="F6" s="3"/>
      <c r="G6" s="3"/>
      <c r="H6" s="3"/>
    </row>
    <row r="7" spans="1:10" ht="21" customHeight="1" x14ac:dyDescent="0.6">
      <c r="A7" s="2" t="s">
        <v>5</v>
      </c>
      <c r="B7" s="2"/>
      <c r="C7" s="2"/>
      <c r="D7" s="3"/>
      <c r="E7" s="3"/>
      <c r="F7" s="3"/>
      <c r="G7" s="3"/>
      <c r="H7" s="3"/>
    </row>
    <row r="8" spans="1:10" ht="21" customHeight="1" x14ac:dyDescent="0.6">
      <c r="A8" s="2" t="s">
        <v>6</v>
      </c>
      <c r="B8" s="2"/>
      <c r="C8" s="2"/>
      <c r="D8" s="3"/>
      <c r="E8" s="3"/>
      <c r="F8" s="3"/>
      <c r="G8" s="3"/>
      <c r="H8" s="3"/>
    </row>
    <row r="9" spans="1:10" s="6" customFormat="1" ht="40.5" x14ac:dyDescent="0.25">
      <c r="A9" s="4" t="s">
        <v>7</v>
      </c>
      <c r="B9" s="4" t="s">
        <v>8</v>
      </c>
      <c r="C9" s="5" t="s">
        <v>9</v>
      </c>
      <c r="D9" s="5" t="s">
        <v>10</v>
      </c>
      <c r="E9" s="5" t="s">
        <v>11</v>
      </c>
      <c r="F9" s="5" t="s">
        <v>12</v>
      </c>
      <c r="G9" s="5" t="s">
        <v>13</v>
      </c>
      <c r="H9" s="4" t="s">
        <v>14</v>
      </c>
    </row>
    <row r="10" spans="1:10" ht="24" x14ac:dyDescent="0.25">
      <c r="A10" s="7">
        <v>1</v>
      </c>
      <c r="B10" s="8">
        <v>66883</v>
      </c>
      <c r="C10" s="9">
        <v>1165</v>
      </c>
      <c r="D10" s="10">
        <v>1171</v>
      </c>
      <c r="E10" s="10">
        <f t="shared" ref="E10" si="0">D10-C10</f>
        <v>6</v>
      </c>
      <c r="F10" s="11">
        <v>2137</v>
      </c>
      <c r="G10" s="26">
        <f t="shared" ref="G10" si="1">F10*E10</f>
        <v>12822</v>
      </c>
      <c r="H10" s="25" t="s">
        <v>46</v>
      </c>
      <c r="J10" s="13"/>
    </row>
    <row r="11" spans="1:10" ht="23.25" x14ac:dyDescent="0.25">
      <c r="A11" s="12"/>
      <c r="B11" s="12"/>
      <c r="C11" s="14"/>
      <c r="D11" s="12"/>
      <c r="E11" s="15" t="s">
        <v>15</v>
      </c>
      <c r="F11" s="16"/>
      <c r="G11" s="26">
        <f>SUM(G10:G10)</f>
        <v>12822</v>
      </c>
      <c r="H11" s="14"/>
    </row>
    <row r="12" spans="1:10" ht="23.25" x14ac:dyDescent="0.25">
      <c r="A12" s="12"/>
      <c r="B12" s="12"/>
      <c r="C12" s="14"/>
      <c r="D12" s="12"/>
      <c r="E12" s="15" t="s">
        <v>16</v>
      </c>
      <c r="F12" s="16"/>
      <c r="G12" s="26"/>
      <c r="H12" s="14"/>
    </row>
    <row r="13" spans="1:10" ht="23.25" x14ac:dyDescent="0.25">
      <c r="A13" s="12"/>
      <c r="B13" s="12"/>
      <c r="C13" s="14"/>
      <c r="D13" s="12"/>
      <c r="E13" s="15" t="s">
        <v>17</v>
      </c>
      <c r="F13" s="16"/>
      <c r="G13" s="26">
        <f>G11</f>
        <v>12822</v>
      </c>
      <c r="H13" s="14"/>
    </row>
    <row r="14" spans="1:10" ht="23.25" x14ac:dyDescent="0.25">
      <c r="A14" s="12"/>
      <c r="B14" s="12"/>
      <c r="C14" s="14"/>
      <c r="D14" s="12"/>
      <c r="E14" s="15" t="s">
        <v>18</v>
      </c>
      <c r="F14" s="16"/>
      <c r="G14" s="26">
        <f>0.13*G13</f>
        <v>1666.8600000000001</v>
      </c>
      <c r="H14" s="14"/>
    </row>
    <row r="15" spans="1:10" ht="23.25" x14ac:dyDescent="0.25">
      <c r="A15" s="12"/>
      <c r="B15" s="12"/>
      <c r="C15" s="14"/>
      <c r="D15" s="12"/>
      <c r="E15" s="15" t="s">
        <v>19</v>
      </c>
      <c r="F15" s="16"/>
      <c r="G15" s="26">
        <f>SUM(G13:G14)</f>
        <v>14488.86</v>
      </c>
      <c r="H15" s="14"/>
    </row>
    <row r="16" spans="1:10" ht="23.25" x14ac:dyDescent="0.25">
      <c r="A16" s="17"/>
      <c r="B16" s="17"/>
      <c r="C16" s="18"/>
      <c r="D16" s="17"/>
      <c r="E16" s="19"/>
      <c r="G16" s="20"/>
      <c r="H16" s="18"/>
    </row>
    <row r="23" spans="2:8" ht="20.25" x14ac:dyDescent="0.3">
      <c r="B23" s="21" t="s">
        <v>20</v>
      </c>
      <c r="E23" s="21" t="s">
        <v>21</v>
      </c>
      <c r="H23" s="21" t="s">
        <v>21</v>
      </c>
    </row>
    <row r="24" spans="2:8" ht="20.25" x14ac:dyDescent="0.3">
      <c r="B24" s="22"/>
      <c r="E24" s="22"/>
      <c r="H24" s="22"/>
    </row>
    <row r="25" spans="2:8" ht="18.75" x14ac:dyDescent="0.3">
      <c r="B25" s="23" t="s">
        <v>22</v>
      </c>
      <c r="E25" s="23" t="s">
        <v>23</v>
      </c>
      <c r="H25" s="23" t="s">
        <v>23</v>
      </c>
    </row>
    <row r="32" spans="2:8" ht="20.25" x14ac:dyDescent="0.3">
      <c r="C32" s="21" t="s">
        <v>21</v>
      </c>
      <c r="F32" s="21" t="s">
        <v>24</v>
      </c>
    </row>
    <row r="33" spans="3:6" ht="20.25" x14ac:dyDescent="0.3">
      <c r="C33" s="22"/>
      <c r="F33" s="22"/>
    </row>
    <row r="34" spans="3:6" ht="18.75" x14ac:dyDescent="0.3">
      <c r="C34" s="23" t="s">
        <v>25</v>
      </c>
      <c r="D34" s="24"/>
      <c r="F34" s="23" t="s">
        <v>26</v>
      </c>
    </row>
    <row r="39" spans="3:6" x14ac:dyDescent="0.25">
      <c r="C39" s="1" t="s">
        <v>27</v>
      </c>
      <c r="D39" s="1" t="s">
        <v>28</v>
      </c>
      <c r="E39" s="1" t="s">
        <v>29</v>
      </c>
    </row>
    <row r="40" spans="3:6" x14ac:dyDescent="0.25">
      <c r="C40" s="1" t="s">
        <v>30</v>
      </c>
      <c r="D40" s="1" t="s">
        <v>31</v>
      </c>
      <c r="E40" s="1"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B0C92-5FF3-4DBF-B38A-23566FED618C}">
  <dimension ref="A1:J40"/>
  <sheetViews>
    <sheetView view="pageBreakPreview" topLeftCell="A7" zoomScaleNormal="100" zoomScaleSheetLayoutView="100" workbookViewId="0">
      <selection activeCell="F10" sqref="F10"/>
    </sheetView>
  </sheetViews>
  <sheetFormatPr defaultColWidth="9.140625" defaultRowHeight="15.75" x14ac:dyDescent="0.25"/>
  <cols>
    <col min="1" max="1" width="7" style="1" customWidth="1"/>
    <col min="2" max="2" width="24.7109375" style="1" customWidth="1"/>
    <col min="3" max="3" width="21.5703125" style="1" customWidth="1"/>
    <col min="4" max="4" width="23.28515625" style="1" customWidth="1"/>
    <col min="5" max="5" width="28.140625" style="1" customWidth="1"/>
    <col min="6" max="6" width="11.140625" style="1" customWidth="1"/>
    <col min="7" max="7" width="18.85546875" style="1" customWidth="1"/>
    <col min="8" max="8" width="32" style="1" customWidth="1"/>
    <col min="9" max="16384" width="9.140625" style="1"/>
  </cols>
  <sheetData>
    <row r="1" spans="1:10" ht="39.75" customHeight="1" x14ac:dyDescent="0.6">
      <c r="A1" s="27" t="s">
        <v>0</v>
      </c>
      <c r="B1" s="27"/>
      <c r="C1" s="27"/>
      <c r="D1" s="27"/>
      <c r="E1" s="27"/>
      <c r="F1" s="27"/>
      <c r="G1" s="27"/>
      <c r="H1" s="27"/>
    </row>
    <row r="2" spans="1:10" ht="23.25" customHeight="1" x14ac:dyDescent="0.35">
      <c r="A2" s="28" t="s">
        <v>1</v>
      </c>
      <c r="B2" s="28"/>
      <c r="C2" s="28"/>
      <c r="D2" s="28"/>
      <c r="E2" s="28"/>
      <c r="F2" s="28"/>
      <c r="G2" s="28"/>
      <c r="H2" s="28"/>
    </row>
    <row r="3" spans="1:10" ht="23.25" customHeight="1" x14ac:dyDescent="0.35">
      <c r="A3" s="28" t="s">
        <v>2</v>
      </c>
      <c r="B3" s="28"/>
      <c r="C3" s="28"/>
      <c r="D3" s="28"/>
      <c r="E3" s="28"/>
      <c r="F3" s="28"/>
      <c r="G3" s="28"/>
      <c r="H3" s="28"/>
    </row>
    <row r="4" spans="1:10" ht="12.75" customHeight="1" x14ac:dyDescent="0.6">
      <c r="A4" s="2"/>
      <c r="B4" s="2"/>
      <c r="C4" s="2"/>
      <c r="D4" s="3"/>
      <c r="E4" s="3"/>
      <c r="F4" s="3"/>
      <c r="G4" s="3"/>
      <c r="H4" s="3"/>
    </row>
    <row r="5" spans="1:10" ht="28.5" customHeight="1" x14ac:dyDescent="0.45">
      <c r="A5" s="29" t="s">
        <v>3</v>
      </c>
      <c r="B5" s="29"/>
      <c r="C5" s="29"/>
      <c r="D5" s="29"/>
      <c r="E5" s="29"/>
      <c r="F5" s="29"/>
      <c r="G5" s="29"/>
      <c r="H5" s="29"/>
    </row>
    <row r="6" spans="1:10" ht="21" customHeight="1" x14ac:dyDescent="0.6">
      <c r="A6" s="2" t="s">
        <v>4</v>
      </c>
      <c r="B6" s="2"/>
      <c r="C6" s="2"/>
      <c r="D6" s="3"/>
      <c r="E6" s="3"/>
      <c r="F6" s="3"/>
      <c r="G6" s="3"/>
      <c r="H6" s="3"/>
    </row>
    <row r="7" spans="1:10" ht="21" customHeight="1" x14ac:dyDescent="0.6">
      <c r="A7" s="2" t="s">
        <v>5</v>
      </c>
      <c r="B7" s="2"/>
      <c r="C7" s="2"/>
      <c r="D7" s="3"/>
      <c r="E7" s="3"/>
      <c r="F7" s="3"/>
      <c r="G7" s="3"/>
      <c r="H7" s="3"/>
    </row>
    <row r="8" spans="1:10" ht="21" customHeight="1" x14ac:dyDescent="0.6">
      <c r="A8" s="2" t="s">
        <v>6</v>
      </c>
      <c r="B8" s="2"/>
      <c r="C8" s="2"/>
      <c r="D8" s="3"/>
      <c r="E8" s="3"/>
      <c r="F8" s="3"/>
      <c r="G8" s="3"/>
      <c r="H8" s="3"/>
    </row>
    <row r="9" spans="1:10" s="6" customFormat="1" ht="40.5" x14ac:dyDescent="0.25">
      <c r="A9" s="4" t="s">
        <v>7</v>
      </c>
      <c r="B9" s="4" t="s">
        <v>8</v>
      </c>
      <c r="C9" s="5" t="s">
        <v>9</v>
      </c>
      <c r="D9" s="5" t="s">
        <v>10</v>
      </c>
      <c r="E9" s="5" t="s">
        <v>11</v>
      </c>
      <c r="F9" s="5" t="s">
        <v>12</v>
      </c>
      <c r="G9" s="5" t="s">
        <v>13</v>
      </c>
      <c r="H9" s="4" t="s">
        <v>14</v>
      </c>
    </row>
    <row r="10" spans="1:10" ht="24" x14ac:dyDescent="0.25">
      <c r="A10" s="7">
        <v>1</v>
      </c>
      <c r="B10" s="8">
        <v>66884</v>
      </c>
      <c r="C10" s="9">
        <v>1171</v>
      </c>
      <c r="D10" s="10">
        <v>1180</v>
      </c>
      <c r="E10" s="10">
        <f t="shared" ref="E10" si="0">D10-C10</f>
        <v>9</v>
      </c>
      <c r="F10" s="11">
        <v>2137</v>
      </c>
      <c r="G10" s="26">
        <f t="shared" ref="G10" si="1">F10*E10</f>
        <v>19233</v>
      </c>
      <c r="H10" s="25" t="s">
        <v>46</v>
      </c>
      <c r="J10" s="13"/>
    </row>
    <row r="11" spans="1:10" ht="23.25" x14ac:dyDescent="0.25">
      <c r="A11" s="12"/>
      <c r="B11" s="12"/>
      <c r="C11" s="14"/>
      <c r="D11" s="12"/>
      <c r="E11" s="15" t="s">
        <v>15</v>
      </c>
      <c r="F11" s="16"/>
      <c r="G11" s="26">
        <f>SUM(G10:G10)</f>
        <v>19233</v>
      </c>
      <c r="H11" s="14"/>
    </row>
    <row r="12" spans="1:10" ht="23.25" x14ac:dyDescent="0.25">
      <c r="A12" s="12"/>
      <c r="B12" s="12"/>
      <c r="C12" s="14"/>
      <c r="D12" s="12"/>
      <c r="E12" s="15" t="s">
        <v>16</v>
      </c>
      <c r="F12" s="16"/>
      <c r="G12" s="26"/>
      <c r="H12" s="14"/>
    </row>
    <row r="13" spans="1:10" ht="23.25" x14ac:dyDescent="0.25">
      <c r="A13" s="12"/>
      <c r="B13" s="12"/>
      <c r="C13" s="14"/>
      <c r="D13" s="12"/>
      <c r="E13" s="15" t="s">
        <v>17</v>
      </c>
      <c r="F13" s="16"/>
      <c r="G13" s="26">
        <f>G11</f>
        <v>19233</v>
      </c>
      <c r="H13" s="14"/>
    </row>
    <row r="14" spans="1:10" ht="23.25" x14ac:dyDescent="0.25">
      <c r="A14" s="12"/>
      <c r="B14" s="12"/>
      <c r="C14" s="14"/>
      <c r="D14" s="12"/>
      <c r="E14" s="15" t="s">
        <v>18</v>
      </c>
      <c r="F14" s="16"/>
      <c r="G14" s="26">
        <f>0.13*G13</f>
        <v>2500.29</v>
      </c>
      <c r="H14" s="14"/>
    </row>
    <row r="15" spans="1:10" ht="23.25" x14ac:dyDescent="0.25">
      <c r="A15" s="12"/>
      <c r="B15" s="12"/>
      <c r="C15" s="14"/>
      <c r="D15" s="12"/>
      <c r="E15" s="15" t="s">
        <v>19</v>
      </c>
      <c r="F15" s="16"/>
      <c r="G15" s="26">
        <f>SUM(G13:G14)</f>
        <v>21733.29</v>
      </c>
      <c r="H15" s="14"/>
    </row>
    <row r="16" spans="1:10" ht="23.25" x14ac:dyDescent="0.25">
      <c r="A16" s="17"/>
      <c r="B16" s="17"/>
      <c r="C16" s="18"/>
      <c r="D16" s="17"/>
      <c r="E16" s="19"/>
      <c r="G16" s="20"/>
      <c r="H16" s="18"/>
    </row>
    <row r="23" spans="2:8" ht="20.25" x14ac:dyDescent="0.3">
      <c r="B23" s="21" t="s">
        <v>20</v>
      </c>
      <c r="E23" s="21" t="s">
        <v>21</v>
      </c>
      <c r="H23" s="21" t="s">
        <v>21</v>
      </c>
    </row>
    <row r="24" spans="2:8" ht="20.25" x14ac:dyDescent="0.3">
      <c r="B24" s="22"/>
      <c r="E24" s="22"/>
      <c r="H24" s="22"/>
    </row>
    <row r="25" spans="2:8" ht="18.75" x14ac:dyDescent="0.3">
      <c r="B25" s="23" t="s">
        <v>22</v>
      </c>
      <c r="E25" s="23" t="s">
        <v>23</v>
      </c>
      <c r="H25" s="23" t="s">
        <v>23</v>
      </c>
    </row>
    <row r="32" spans="2:8" ht="20.25" x14ac:dyDescent="0.3">
      <c r="C32" s="21" t="s">
        <v>21</v>
      </c>
      <c r="F32" s="21" t="s">
        <v>24</v>
      </c>
    </row>
    <row r="33" spans="3:6" ht="20.25" x14ac:dyDescent="0.3">
      <c r="C33" s="22"/>
      <c r="F33" s="22"/>
    </row>
    <row r="34" spans="3:6" ht="18.75" x14ac:dyDescent="0.3">
      <c r="C34" s="23" t="s">
        <v>25</v>
      </c>
      <c r="D34" s="24"/>
      <c r="F34" s="23" t="s">
        <v>26</v>
      </c>
    </row>
    <row r="39" spans="3:6" x14ac:dyDescent="0.25">
      <c r="C39" s="1" t="s">
        <v>27</v>
      </c>
      <c r="D39" s="1" t="s">
        <v>28</v>
      </c>
      <c r="E39" s="1" t="s">
        <v>29</v>
      </c>
    </row>
    <row r="40" spans="3:6" x14ac:dyDescent="0.25">
      <c r="C40" s="1" t="s">
        <v>30</v>
      </c>
      <c r="D40" s="1" t="s">
        <v>31</v>
      </c>
      <c r="E40" s="1"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1C6A-2562-497D-AC8D-1783ABC99327}">
  <dimension ref="A1:J40"/>
  <sheetViews>
    <sheetView view="pageBreakPreview" topLeftCell="A7" zoomScaleNormal="100" zoomScaleSheetLayoutView="100" workbookViewId="0">
      <selection activeCell="F10" sqref="F10"/>
    </sheetView>
  </sheetViews>
  <sheetFormatPr defaultColWidth="9.140625" defaultRowHeight="15.75" x14ac:dyDescent="0.25"/>
  <cols>
    <col min="1" max="1" width="7" style="1" customWidth="1"/>
    <col min="2" max="2" width="24.7109375" style="1" customWidth="1"/>
    <col min="3" max="3" width="21.5703125" style="1" customWidth="1"/>
    <col min="4" max="4" width="23.28515625" style="1" customWidth="1"/>
    <col min="5" max="5" width="28.140625" style="1" customWidth="1"/>
    <col min="6" max="6" width="11.140625" style="1" customWidth="1"/>
    <col min="7" max="7" width="18.85546875" style="1" customWidth="1"/>
    <col min="8" max="8" width="32" style="1" customWidth="1"/>
    <col min="9" max="16384" width="9.140625" style="1"/>
  </cols>
  <sheetData>
    <row r="1" spans="1:10" ht="39.75" customHeight="1" x14ac:dyDescent="0.6">
      <c r="A1" s="27" t="s">
        <v>0</v>
      </c>
      <c r="B1" s="27"/>
      <c r="C1" s="27"/>
      <c r="D1" s="27"/>
      <c r="E1" s="27"/>
      <c r="F1" s="27"/>
      <c r="G1" s="27"/>
      <c r="H1" s="27"/>
    </row>
    <row r="2" spans="1:10" ht="23.25" customHeight="1" x14ac:dyDescent="0.35">
      <c r="A2" s="28" t="s">
        <v>1</v>
      </c>
      <c r="B2" s="28"/>
      <c r="C2" s="28"/>
      <c r="D2" s="28"/>
      <c r="E2" s="28"/>
      <c r="F2" s="28"/>
      <c r="G2" s="28"/>
      <c r="H2" s="28"/>
    </row>
    <row r="3" spans="1:10" ht="23.25" customHeight="1" x14ac:dyDescent="0.35">
      <c r="A3" s="28" t="s">
        <v>2</v>
      </c>
      <c r="B3" s="28"/>
      <c r="C3" s="28"/>
      <c r="D3" s="28"/>
      <c r="E3" s="28"/>
      <c r="F3" s="28"/>
      <c r="G3" s="28"/>
      <c r="H3" s="28"/>
    </row>
    <row r="4" spans="1:10" ht="12.75" customHeight="1" x14ac:dyDescent="0.6">
      <c r="A4" s="2"/>
      <c r="B4" s="2"/>
      <c r="C4" s="2"/>
      <c r="D4" s="3"/>
      <c r="E4" s="3"/>
      <c r="F4" s="3"/>
      <c r="G4" s="3"/>
      <c r="H4" s="3"/>
    </row>
    <row r="5" spans="1:10" ht="28.5" customHeight="1" x14ac:dyDescent="0.45">
      <c r="A5" s="29" t="s">
        <v>3</v>
      </c>
      <c r="B5" s="29"/>
      <c r="C5" s="29"/>
      <c r="D5" s="29"/>
      <c r="E5" s="29"/>
      <c r="F5" s="29"/>
      <c r="G5" s="29"/>
      <c r="H5" s="29"/>
    </row>
    <row r="6" spans="1:10" ht="21" customHeight="1" x14ac:dyDescent="0.6">
      <c r="A6" s="2" t="s">
        <v>4</v>
      </c>
      <c r="B6" s="2"/>
      <c r="C6" s="2"/>
      <c r="D6" s="3"/>
      <c r="E6" s="3"/>
      <c r="F6" s="3"/>
      <c r="G6" s="3"/>
      <c r="H6" s="3"/>
    </row>
    <row r="7" spans="1:10" ht="21" customHeight="1" x14ac:dyDescent="0.6">
      <c r="A7" s="2" t="s">
        <v>5</v>
      </c>
      <c r="B7" s="2"/>
      <c r="C7" s="2"/>
      <c r="D7" s="3"/>
      <c r="E7" s="3"/>
      <c r="F7" s="3"/>
      <c r="G7" s="3"/>
      <c r="H7" s="3"/>
    </row>
    <row r="8" spans="1:10" ht="21" customHeight="1" x14ac:dyDescent="0.6">
      <c r="A8" s="2" t="s">
        <v>6</v>
      </c>
      <c r="B8" s="2"/>
      <c r="C8" s="2"/>
      <c r="D8" s="3"/>
      <c r="E8" s="3"/>
      <c r="F8" s="3"/>
      <c r="G8" s="3"/>
      <c r="H8" s="3"/>
    </row>
    <row r="9" spans="1:10" s="6" customFormat="1" ht="40.5" x14ac:dyDescent="0.25">
      <c r="A9" s="4" t="s">
        <v>7</v>
      </c>
      <c r="B9" s="4" t="s">
        <v>8</v>
      </c>
      <c r="C9" s="5" t="s">
        <v>9</v>
      </c>
      <c r="D9" s="5" t="s">
        <v>10</v>
      </c>
      <c r="E9" s="5" t="s">
        <v>11</v>
      </c>
      <c r="F9" s="5" t="s">
        <v>12</v>
      </c>
      <c r="G9" s="5" t="s">
        <v>13</v>
      </c>
      <c r="H9" s="4" t="s">
        <v>14</v>
      </c>
    </row>
    <row r="10" spans="1:10" ht="24" x14ac:dyDescent="0.25">
      <c r="A10" s="7">
        <v>1</v>
      </c>
      <c r="B10" s="8">
        <v>66911</v>
      </c>
      <c r="C10" s="9">
        <v>1278</v>
      </c>
      <c r="D10" s="10">
        <v>1286</v>
      </c>
      <c r="E10" s="10">
        <f t="shared" ref="E10" si="0">D10-C10</f>
        <v>8</v>
      </c>
      <c r="F10" s="11">
        <v>2137</v>
      </c>
      <c r="G10" s="26">
        <f t="shared" ref="G10" si="1">F10*E10</f>
        <v>17096</v>
      </c>
      <c r="H10" s="25" t="s">
        <v>41</v>
      </c>
      <c r="J10" s="13"/>
    </row>
    <row r="11" spans="1:10" ht="23.25" x14ac:dyDescent="0.25">
      <c r="A11" s="12"/>
      <c r="B11" s="12"/>
      <c r="C11" s="14"/>
      <c r="D11" s="12"/>
      <c r="E11" s="15" t="s">
        <v>15</v>
      </c>
      <c r="F11" s="16"/>
      <c r="G11" s="26">
        <f>SUM(G10:G10)</f>
        <v>17096</v>
      </c>
      <c r="H11" s="14"/>
    </row>
    <row r="12" spans="1:10" ht="23.25" x14ac:dyDescent="0.25">
      <c r="A12" s="12"/>
      <c r="B12" s="12"/>
      <c r="C12" s="14"/>
      <c r="D12" s="12"/>
      <c r="E12" s="15" t="s">
        <v>16</v>
      </c>
      <c r="F12" s="16"/>
      <c r="G12" s="26"/>
      <c r="H12" s="14"/>
    </row>
    <row r="13" spans="1:10" ht="23.25" x14ac:dyDescent="0.25">
      <c r="A13" s="12"/>
      <c r="B13" s="12"/>
      <c r="C13" s="14"/>
      <c r="D13" s="12"/>
      <c r="E13" s="15" t="s">
        <v>17</v>
      </c>
      <c r="F13" s="16"/>
      <c r="G13" s="26">
        <f>G11</f>
        <v>17096</v>
      </c>
      <c r="H13" s="14"/>
    </row>
    <row r="14" spans="1:10" ht="23.25" x14ac:dyDescent="0.25">
      <c r="A14" s="12"/>
      <c r="B14" s="12"/>
      <c r="C14" s="14"/>
      <c r="D14" s="12"/>
      <c r="E14" s="15" t="s">
        <v>18</v>
      </c>
      <c r="F14" s="16"/>
      <c r="G14" s="26">
        <f>0.13*G13</f>
        <v>2222.48</v>
      </c>
      <c r="H14" s="14"/>
    </row>
    <row r="15" spans="1:10" ht="23.25" x14ac:dyDescent="0.25">
      <c r="A15" s="12"/>
      <c r="B15" s="12"/>
      <c r="C15" s="14"/>
      <c r="D15" s="12"/>
      <c r="E15" s="15" t="s">
        <v>19</v>
      </c>
      <c r="F15" s="16"/>
      <c r="G15" s="26">
        <f>SUM(G13:G14)</f>
        <v>19318.48</v>
      </c>
      <c r="H15" s="14"/>
    </row>
    <row r="16" spans="1:10" ht="23.25" x14ac:dyDescent="0.25">
      <c r="A16" s="17"/>
      <c r="B16" s="17"/>
      <c r="C16" s="18"/>
      <c r="D16" s="17"/>
      <c r="E16" s="19"/>
      <c r="G16" s="20"/>
      <c r="H16" s="18"/>
    </row>
    <row r="23" spans="2:8" ht="20.25" x14ac:dyDescent="0.3">
      <c r="B23" s="21" t="s">
        <v>20</v>
      </c>
      <c r="E23" s="21" t="s">
        <v>21</v>
      </c>
      <c r="H23" s="21" t="s">
        <v>21</v>
      </c>
    </row>
    <row r="24" spans="2:8" ht="20.25" x14ac:dyDescent="0.3">
      <c r="B24" s="22"/>
      <c r="E24" s="22"/>
      <c r="H24" s="22"/>
    </row>
    <row r="25" spans="2:8" ht="18.75" x14ac:dyDescent="0.3">
      <c r="B25" s="23" t="s">
        <v>22</v>
      </c>
      <c r="E25" s="23" t="s">
        <v>23</v>
      </c>
      <c r="H25" s="23" t="s">
        <v>23</v>
      </c>
    </row>
    <row r="32" spans="2:8" ht="20.25" x14ac:dyDescent="0.3">
      <c r="C32" s="21" t="s">
        <v>21</v>
      </c>
      <c r="F32" s="21" t="s">
        <v>24</v>
      </c>
    </row>
    <row r="33" spans="3:6" ht="20.25" x14ac:dyDescent="0.3">
      <c r="C33" s="22"/>
      <c r="F33" s="22"/>
    </row>
    <row r="34" spans="3:6" ht="18.75" x14ac:dyDescent="0.3">
      <c r="C34" s="23" t="s">
        <v>25</v>
      </c>
      <c r="D34" s="24"/>
      <c r="F34" s="23" t="s">
        <v>26</v>
      </c>
    </row>
    <row r="39" spans="3:6" x14ac:dyDescent="0.25">
      <c r="C39" s="1" t="s">
        <v>27</v>
      </c>
      <c r="D39" s="1" t="s">
        <v>28</v>
      </c>
      <c r="E39" s="1" t="s">
        <v>29</v>
      </c>
    </row>
    <row r="40" spans="3:6" x14ac:dyDescent="0.25">
      <c r="C40" s="1" t="s">
        <v>30</v>
      </c>
      <c r="D40" s="1" t="s">
        <v>31</v>
      </c>
      <c r="E40" s="1"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9DD7E-0949-4156-8266-1A3A19095233}">
  <dimension ref="A1:J40"/>
  <sheetViews>
    <sheetView tabSelected="1" view="pageBreakPreview" topLeftCell="A7" zoomScaleNormal="100" zoomScaleSheetLayoutView="100" workbookViewId="0">
      <selection activeCell="F10" sqref="F10"/>
    </sheetView>
  </sheetViews>
  <sheetFormatPr defaultColWidth="9.140625" defaultRowHeight="15.75" x14ac:dyDescent="0.25"/>
  <cols>
    <col min="1" max="1" width="7" style="1" customWidth="1"/>
    <col min="2" max="2" width="24.7109375" style="1" customWidth="1"/>
    <col min="3" max="3" width="21.5703125" style="1" customWidth="1"/>
    <col min="4" max="4" width="23.28515625" style="1" customWidth="1"/>
    <col min="5" max="5" width="28.140625" style="1" customWidth="1"/>
    <col min="6" max="6" width="11.140625" style="1" customWidth="1"/>
    <col min="7" max="7" width="18.85546875" style="1" customWidth="1"/>
    <col min="8" max="8" width="32" style="1" customWidth="1"/>
    <col min="9" max="16384" width="9.140625" style="1"/>
  </cols>
  <sheetData>
    <row r="1" spans="1:10" ht="39.75" customHeight="1" x14ac:dyDescent="0.6">
      <c r="A1" s="27" t="s">
        <v>0</v>
      </c>
      <c r="B1" s="27"/>
      <c r="C1" s="27"/>
      <c r="D1" s="27"/>
      <c r="E1" s="27"/>
      <c r="F1" s="27"/>
      <c r="G1" s="27"/>
      <c r="H1" s="27"/>
    </row>
    <row r="2" spans="1:10" ht="23.25" customHeight="1" x14ac:dyDescent="0.35">
      <c r="A2" s="28" t="s">
        <v>1</v>
      </c>
      <c r="B2" s="28"/>
      <c r="C2" s="28"/>
      <c r="D2" s="28"/>
      <c r="E2" s="28"/>
      <c r="F2" s="28"/>
      <c r="G2" s="28"/>
      <c r="H2" s="28"/>
    </row>
    <row r="3" spans="1:10" ht="23.25" customHeight="1" x14ac:dyDescent="0.35">
      <c r="A3" s="28" t="s">
        <v>2</v>
      </c>
      <c r="B3" s="28"/>
      <c r="C3" s="28"/>
      <c r="D3" s="28"/>
      <c r="E3" s="28"/>
      <c r="F3" s="28"/>
      <c r="G3" s="28"/>
      <c r="H3" s="28"/>
    </row>
    <row r="4" spans="1:10" ht="12.75" customHeight="1" x14ac:dyDescent="0.6">
      <c r="A4" s="2"/>
      <c r="B4" s="2"/>
      <c r="C4" s="2"/>
      <c r="D4" s="3"/>
      <c r="E4" s="3"/>
      <c r="F4" s="3"/>
      <c r="G4" s="3"/>
      <c r="H4" s="3"/>
    </row>
    <row r="5" spans="1:10" ht="28.5" customHeight="1" x14ac:dyDescent="0.45">
      <c r="A5" s="29" t="s">
        <v>3</v>
      </c>
      <c r="B5" s="29"/>
      <c r="C5" s="29"/>
      <c r="D5" s="29"/>
      <c r="E5" s="29"/>
      <c r="F5" s="29"/>
      <c r="G5" s="29"/>
      <c r="H5" s="29"/>
    </row>
    <row r="6" spans="1:10" ht="21" customHeight="1" x14ac:dyDescent="0.6">
      <c r="A6" s="2" t="s">
        <v>4</v>
      </c>
      <c r="B6" s="2"/>
      <c r="C6" s="2"/>
      <c r="D6" s="3"/>
      <c r="E6" s="3"/>
      <c r="F6" s="3"/>
      <c r="G6" s="3"/>
      <c r="H6" s="3"/>
    </row>
    <row r="7" spans="1:10" ht="21" customHeight="1" x14ac:dyDescent="0.6">
      <c r="A7" s="2" t="s">
        <v>5</v>
      </c>
      <c r="B7" s="2"/>
      <c r="C7" s="2"/>
      <c r="D7" s="3"/>
      <c r="E7" s="3"/>
      <c r="F7" s="3"/>
      <c r="G7" s="3"/>
      <c r="H7" s="3"/>
    </row>
    <row r="8" spans="1:10" ht="21" customHeight="1" x14ac:dyDescent="0.6">
      <c r="A8" s="2" t="s">
        <v>6</v>
      </c>
      <c r="B8" s="2"/>
      <c r="C8" s="2"/>
      <c r="D8" s="3"/>
      <c r="E8" s="3"/>
      <c r="F8" s="3"/>
      <c r="G8" s="3"/>
      <c r="H8" s="3"/>
    </row>
    <row r="9" spans="1:10" s="6" customFormat="1" ht="40.5" x14ac:dyDescent="0.25">
      <c r="A9" s="4" t="s">
        <v>7</v>
      </c>
      <c r="B9" s="4" t="s">
        <v>8</v>
      </c>
      <c r="C9" s="5" t="s">
        <v>9</v>
      </c>
      <c r="D9" s="5" t="s">
        <v>10</v>
      </c>
      <c r="E9" s="5" t="s">
        <v>11</v>
      </c>
      <c r="F9" s="5" t="s">
        <v>12</v>
      </c>
      <c r="G9" s="5" t="s">
        <v>13</v>
      </c>
      <c r="H9" s="4" t="s">
        <v>14</v>
      </c>
    </row>
    <row r="10" spans="1:10" ht="24" x14ac:dyDescent="0.25">
      <c r="A10" s="7">
        <v>1</v>
      </c>
      <c r="B10" s="8">
        <v>66912</v>
      </c>
      <c r="C10" s="9">
        <v>1286</v>
      </c>
      <c r="D10" s="10">
        <v>1295</v>
      </c>
      <c r="E10" s="10">
        <f t="shared" ref="E10" si="0">D10-C10</f>
        <v>9</v>
      </c>
      <c r="F10" s="11">
        <v>2137</v>
      </c>
      <c r="G10" s="26">
        <f t="shared" ref="G10" si="1">F10*E10</f>
        <v>19233</v>
      </c>
      <c r="H10" s="25" t="s">
        <v>47</v>
      </c>
      <c r="J10" s="13"/>
    </row>
    <row r="11" spans="1:10" ht="23.25" x14ac:dyDescent="0.25">
      <c r="A11" s="12"/>
      <c r="B11" s="12"/>
      <c r="C11" s="14"/>
      <c r="D11" s="12"/>
      <c r="E11" s="15" t="s">
        <v>15</v>
      </c>
      <c r="F11" s="16"/>
      <c r="G11" s="26">
        <f>SUM(G10:G10)</f>
        <v>19233</v>
      </c>
      <c r="H11" s="14"/>
    </row>
    <row r="12" spans="1:10" ht="23.25" x14ac:dyDescent="0.25">
      <c r="A12" s="12"/>
      <c r="B12" s="12"/>
      <c r="C12" s="14"/>
      <c r="D12" s="12"/>
      <c r="E12" s="15" t="s">
        <v>16</v>
      </c>
      <c r="F12" s="16"/>
      <c r="G12" s="26"/>
      <c r="H12" s="14"/>
    </row>
    <row r="13" spans="1:10" ht="23.25" x14ac:dyDescent="0.25">
      <c r="A13" s="12"/>
      <c r="B13" s="12"/>
      <c r="C13" s="14"/>
      <c r="D13" s="12"/>
      <c r="E13" s="15" t="s">
        <v>17</v>
      </c>
      <c r="F13" s="16"/>
      <c r="G13" s="26">
        <f>G11</f>
        <v>19233</v>
      </c>
      <c r="H13" s="14"/>
    </row>
    <row r="14" spans="1:10" ht="23.25" x14ac:dyDescent="0.25">
      <c r="A14" s="12"/>
      <c r="B14" s="12"/>
      <c r="C14" s="14"/>
      <c r="D14" s="12"/>
      <c r="E14" s="15" t="s">
        <v>18</v>
      </c>
      <c r="F14" s="16"/>
      <c r="G14" s="26">
        <f>0.13*G13</f>
        <v>2500.29</v>
      </c>
      <c r="H14" s="14"/>
    </row>
    <row r="15" spans="1:10" ht="23.25" x14ac:dyDescent="0.25">
      <c r="A15" s="12"/>
      <c r="B15" s="12"/>
      <c r="C15" s="14"/>
      <c r="D15" s="12"/>
      <c r="E15" s="15" t="s">
        <v>19</v>
      </c>
      <c r="F15" s="16"/>
      <c r="G15" s="26">
        <f>SUM(G13:G14)</f>
        <v>21733.29</v>
      </c>
      <c r="H15" s="14"/>
    </row>
    <row r="16" spans="1:10" ht="23.25" x14ac:dyDescent="0.25">
      <c r="A16" s="17"/>
      <c r="B16" s="17"/>
      <c r="C16" s="18"/>
      <c r="D16" s="17"/>
      <c r="E16" s="19"/>
      <c r="G16" s="20"/>
      <c r="H16" s="18"/>
    </row>
    <row r="23" spans="2:8" ht="20.25" x14ac:dyDescent="0.3">
      <c r="B23" s="21" t="s">
        <v>20</v>
      </c>
      <c r="E23" s="21" t="s">
        <v>21</v>
      </c>
      <c r="H23" s="21" t="s">
        <v>21</v>
      </c>
    </row>
    <row r="24" spans="2:8" ht="20.25" x14ac:dyDescent="0.3">
      <c r="B24" s="22"/>
      <c r="E24" s="22"/>
      <c r="H24" s="22"/>
    </row>
    <row r="25" spans="2:8" ht="18.75" x14ac:dyDescent="0.3">
      <c r="B25" s="23" t="s">
        <v>22</v>
      </c>
      <c r="E25" s="23" t="s">
        <v>23</v>
      </c>
      <c r="H25" s="23" t="s">
        <v>23</v>
      </c>
    </row>
    <row r="32" spans="2:8" ht="20.25" x14ac:dyDescent="0.3">
      <c r="C32" s="21" t="s">
        <v>21</v>
      </c>
      <c r="F32" s="21" t="s">
        <v>24</v>
      </c>
    </row>
    <row r="33" spans="3:6" ht="20.25" x14ac:dyDescent="0.3">
      <c r="C33" s="22"/>
      <c r="F33" s="22"/>
    </row>
    <row r="34" spans="3:6" ht="18.75" x14ac:dyDescent="0.3">
      <c r="C34" s="23" t="s">
        <v>25</v>
      </c>
      <c r="D34" s="24"/>
      <c r="F34" s="23" t="s">
        <v>26</v>
      </c>
    </row>
    <row r="39" spans="3:6" x14ac:dyDescent="0.25">
      <c r="C39" s="1" t="s">
        <v>27</v>
      </c>
      <c r="D39" s="1" t="s">
        <v>28</v>
      </c>
      <c r="E39" s="1" t="s">
        <v>29</v>
      </c>
    </row>
    <row r="40" spans="3:6" x14ac:dyDescent="0.25">
      <c r="C40" s="1" t="s">
        <v>30</v>
      </c>
      <c r="D40" s="1" t="s">
        <v>31</v>
      </c>
      <c r="E40" s="1"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44</vt:i4>
      </vt:variant>
    </vt:vector>
  </HeadingPairs>
  <TitlesOfParts>
    <vt:vector size="66" baseType="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'1'!Print_Area</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'2'!Print_Area</vt:lpstr>
      <vt:lpstr>'20'!Print_Area</vt:lpstr>
      <vt:lpstr>'21'!Print_Area</vt:lpstr>
      <vt:lpstr>'22'!Print_Area</vt:lpstr>
      <vt:lpstr>'3'!Print_Area</vt:lpstr>
      <vt:lpstr>'4'!Print_Area</vt:lpstr>
      <vt:lpstr>'5'!Print_Area</vt:lpstr>
      <vt:lpstr>'6'!Print_Area</vt:lpstr>
      <vt:lpstr>'7'!Print_Area</vt:lpstr>
      <vt:lpstr>'8'!Print_Area</vt:lpstr>
      <vt:lpstr>'9'!Print_Area</vt:lpstr>
      <vt:lpstr>'1'!Print_Titles</vt:lpstr>
      <vt:lpstr>'10'!Print_Titles</vt:lpstr>
      <vt:lpstr>'11'!Print_Titles</vt:lpstr>
      <vt:lpstr>'12'!Print_Titles</vt:lpstr>
      <vt:lpstr>'13'!Print_Titles</vt:lpstr>
      <vt:lpstr>'14'!Print_Titles</vt:lpstr>
      <vt:lpstr>'15'!Print_Titles</vt:lpstr>
      <vt:lpstr>'16'!Print_Titles</vt:lpstr>
      <vt:lpstr>'17'!Print_Titles</vt:lpstr>
      <vt:lpstr>'18'!Print_Titles</vt:lpstr>
      <vt:lpstr>'19'!Print_Titles</vt:lpstr>
      <vt:lpstr>'2'!Print_Titles</vt:lpstr>
      <vt:lpstr>'20'!Print_Titles</vt:lpstr>
      <vt:lpstr>'21'!Print_Titles</vt:lpstr>
      <vt:lpstr>'22'!Print_Titles</vt:lpstr>
      <vt:lpstr>'3'!Print_Titles</vt:lpstr>
      <vt:lpstr>'4'!Print_Titles</vt:lpstr>
      <vt:lpstr>'5'!Print_Titles</vt:lpstr>
      <vt:lpstr>'6'!Print_Titles</vt:lpstr>
      <vt:lpstr>'7'!Print_Titles</vt:lpstr>
      <vt:lpstr>'8'!Print_Titles</vt:lpstr>
      <vt:lpstr>'9'!Print_Titles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2026-08-05T09:40:47Z</cp:lastPrinted>
  <dcterms:created xsi:type="dcterms:W3CDTF">2015-06-05T18:17:20Z</dcterms:created>
  <dcterms:modified xsi:type="dcterms:W3CDTF">2026-09-28T04:35:37Z</dcterms:modified>
</cp:coreProperties>
</file>