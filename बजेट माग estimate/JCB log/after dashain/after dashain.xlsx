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328"/>
  <workbookPr/>
  <mc:AlternateContent xmlns:mc="http://schemas.openxmlformats.org/markup-compatibility/2006">
    <mc:Choice Requires="x15">
      <x15ac:absPath xmlns:x15ac="http://schemas.microsoft.com/office/spreadsheetml/2010/11/ac" url="G:\2082_2083\बजेट माग estimate\JCB log\"/>
    </mc:Choice>
  </mc:AlternateContent>
  <xr:revisionPtr revIDLastSave="0" documentId="13_ncr:1_{B3F3A7DA-4F48-44DB-ADFE-F6CC1B9C9231}" xr6:coauthVersionLast="47" xr6:coauthVersionMax="47" xr10:uidLastSave="{00000000-0000-0000-0000-000000000000}"/>
  <bookViews>
    <workbookView xWindow="-120" yWindow="-120" windowWidth="20730" windowHeight="11040" xr2:uid="{00000000-000D-0000-FFFF-FFFF00000000}"/>
  </bookViews>
  <sheets>
    <sheet name="9" sheetId="13" r:id="rId1"/>
    <sheet name="new" sheetId="15" r:id="rId2"/>
  </sheets>
  <externalReferences>
    <externalReference r:id="rId3"/>
    <externalReference r:id="rId4"/>
    <externalReference r:id="rId5"/>
    <externalReference r:id="rId6"/>
    <externalReference r:id="rId7"/>
    <externalReference r:id="rId8"/>
  </externalReferences>
  <definedNames>
    <definedName name="adopted_rate_aggregate_10_20_mm">[1]District_Rate!$L$6</definedName>
    <definedName name="adopted_rate_aggregate_10_mm">[1]District_Rate!$L$7</definedName>
    <definedName name="adopted_rate_aggregate_20_40_mm">[1]District_Rate!$L$9</definedName>
    <definedName name="adopted_rate_binding_wire">[1]District_Rate!$L$17</definedName>
    <definedName name="adopted_rate_cement">[1]District_Rate!$L$25</definedName>
    <definedName name="adopted_rate_HYSD_bar">[1]District_Rate!$L$73</definedName>
    <definedName name="adopted_rate_sand">[1]District_Rate!$L$111</definedName>
    <definedName name="adopted_rate_water">[1]District_Rate!$L$129</definedName>
    <definedName name="concrete_mixer">[1]Equipment_Rate!$J$10</definedName>
    <definedName name="description_1">[2]Abstract!$B$167</definedName>
    <definedName name="description_124">[3]Abstract!$B$18</definedName>
    <definedName name="description_2">[2]Abstract!$B$168</definedName>
    <definedName name="description_261">[4]Abstract!$B$33</definedName>
    <definedName name="description_262">[5]Abstract!$B$34</definedName>
    <definedName name="description_3">[6]Abstract!$B$169</definedName>
    <definedName name="description_6">[2]Abstract!$B$172</definedName>
    <definedName name="description_784">[2]Abstract!$B$300</definedName>
    <definedName name="excavator">[1]Equipment_Rate!$J$19</definedName>
    <definedName name="generator">[1]Equipment_Rate!$J$20</definedName>
    <definedName name="_xlnm.Print_Area" localSheetId="0">'9'!$A$1:$H$37</definedName>
    <definedName name="_xlnm.Print_Area" localSheetId="1">new!$A$1:$H$37</definedName>
    <definedName name="_xlnm.Print_Titles" localSheetId="0">'9'!$1:$9</definedName>
    <definedName name="_xlnm.Print_Titles" localSheetId="1">new!$1:$9</definedName>
    <definedName name="skilled">[1]District_Rate!$D$148</definedName>
    <definedName name="skilled_blacksmith">[1]District_Rate!$D$149</definedName>
    <definedName name="unskilled">[1]District_Rate!$D$156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43" i="15" l="1"/>
  <c r="E13" i="15"/>
  <c r="G13" i="15" s="1"/>
  <c r="E12" i="15"/>
  <c r="G12" i="15" s="1"/>
  <c r="E11" i="15"/>
  <c r="G11" i="15" s="1"/>
  <c r="E10" i="15"/>
  <c r="G10" i="15" s="1"/>
  <c r="G14" i="13"/>
  <c r="E13" i="13"/>
  <c r="G13" i="13" s="1"/>
  <c r="E11" i="13"/>
  <c r="G11" i="13" s="1"/>
  <c r="E12" i="13"/>
  <c r="G12" i="13" s="1"/>
  <c r="G14" i="15" l="1"/>
  <c r="G16" i="15" s="1"/>
  <c r="G17" i="15" l="1"/>
  <c r="G18" i="15" s="1"/>
  <c r="E43" i="13" l="1"/>
  <c r="E10" i="13"/>
  <c r="G10" i="13" s="1"/>
  <c r="G16" i="13" l="1"/>
  <c r="G17" i="13" l="1"/>
  <c r="G18" i="13" s="1"/>
</calcChain>
</file>

<file path=xl/sharedStrings.xml><?xml version="1.0" encoding="utf-8"?>
<sst xmlns="http://schemas.openxmlformats.org/spreadsheetml/2006/main" count="74" uniqueCount="36">
  <si>
    <t>सुरु घण्टा मिटर (क)</t>
  </si>
  <si>
    <t>समाप्त घण्टा मिटर (ख)</t>
  </si>
  <si>
    <t>सि. न</t>
  </si>
  <si>
    <t>दर (रुपैया)</t>
  </si>
  <si>
    <t>शंखरापुर नगरपालिका</t>
  </si>
  <si>
    <t>नगर कार्यपालिकाको कार्यालय</t>
  </si>
  <si>
    <t>साँखु, काठमाण्डौ।</t>
  </si>
  <si>
    <t>कैफियत</t>
  </si>
  <si>
    <t>लागेको समय ग (ख-क) घण्टा</t>
  </si>
  <si>
    <t>कुल</t>
  </si>
  <si>
    <t>.......... प्रतिशत छुट</t>
  </si>
  <si>
    <t>कर लाग्ने रकम</t>
  </si>
  <si>
    <t xml:space="preserve">१३ % प्रतिशत </t>
  </si>
  <si>
    <t>कुल जम्मा रकम</t>
  </si>
  <si>
    <t xml:space="preserve">काम गरेको मिति </t>
  </si>
  <si>
    <t>................................</t>
  </si>
  <si>
    <t xml:space="preserve"> लग सिट</t>
  </si>
  <si>
    <t xml:space="preserve">Backhoe per hour </t>
  </si>
  <si>
    <t>Rs 2198</t>
  </si>
  <si>
    <t>without vat</t>
  </si>
  <si>
    <t>excavator per hour</t>
  </si>
  <si>
    <t>Rs 3214</t>
  </si>
  <si>
    <t>............................</t>
  </si>
  <si>
    <t>वडा अधक्ष्यको सहि</t>
  </si>
  <si>
    <t>वडा सदस्यको सहि</t>
  </si>
  <si>
    <t>...............................</t>
  </si>
  <si>
    <t xml:space="preserve">फर्म्/व्यक्तिको नाम : </t>
  </si>
  <si>
    <t xml:space="preserve">काम गरेको वडा: नाङ्गलेभारे  - १, काठमाण्डौ  </t>
  </si>
  <si>
    <t>अपरेटरको नाम र सहि</t>
  </si>
  <si>
    <t>स्थानीय  साक्षिको  नाम र सहि</t>
  </si>
  <si>
    <t xml:space="preserve">काम गरेको स्थान : नाङ्गलेभारे  - १, काठमाण्डौ  </t>
  </si>
  <si>
    <t>जम्मा (रुपैया)</t>
  </si>
  <si>
    <t>2082/6/31</t>
  </si>
  <si>
    <t>नेपाल टोल सडक</t>
  </si>
  <si>
    <t>टावर जाने बाटो</t>
  </si>
  <si>
    <t>अमला ढुटो बिचौरे सडक</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</si>
</sst>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_-* #,##0.00_-;\-* #,##0.00_-;_-* &quot;-&quot;??_-;_-@_-"/>
    <numFmt numFmtId="165" formatCode="[$-4000439]0"/>
    <numFmt numFmtId="166" formatCode="yyyy/mm/dd"/>
    <numFmt numFmtId="167" formatCode="[$-4000439]0.#"/>
  </numFmts>
  <fonts count="13">
    <font>
      <sz val="11"/>
      <color theme="1"/>
      <name val="Calibri"/>
      <family val="2"/>
      <scheme val="minor"/>
    </font>
    <font>
      <sz val="11"/>
      <color theme="1"/>
      <name val="Calibri"/>
      <family val="2"/>
      <scheme val="minor"/>
    </font>
    <font>
      <sz val="12"/>
      <color theme="1"/>
      <name val="Times New Roman"/>
      <family val="1"/>
    </font>
    <font>
      <b/>
      <sz val="22"/>
      <color theme="1"/>
      <name val="Times New Roman"/>
      <family val="1"/>
    </font>
    <font>
      <b/>
      <sz val="16"/>
      <color theme="1"/>
      <name val="Times New Roman"/>
      <family val="1"/>
    </font>
    <font>
      <sz val="16"/>
      <color theme="1"/>
      <name val="Times New Roman"/>
      <family val="1"/>
    </font>
    <font>
      <b/>
      <sz val="36"/>
      <color theme="1"/>
      <name val="Times New Roman"/>
      <family val="1"/>
    </font>
    <font>
      <b/>
      <sz val="28"/>
      <color theme="1"/>
      <name val="Times New Roman"/>
      <family val="1"/>
    </font>
    <font>
      <b/>
      <sz val="12"/>
      <color theme="1"/>
      <name val="Kalimati"/>
      <charset val="1"/>
    </font>
    <font>
      <sz val="12"/>
      <color theme="1"/>
      <name val="Kalimati"/>
      <charset val="1"/>
    </font>
    <font>
      <b/>
      <sz val="11"/>
      <color theme="1"/>
      <name val="Kalimati"/>
      <charset val="1"/>
    </font>
    <font>
      <b/>
      <sz val="14"/>
      <color theme="1"/>
      <name val="Times New Roman"/>
      <family val="1"/>
    </font>
    <font>
      <sz val="14"/>
      <color theme="1"/>
      <name val="Times New Roman"/>
      <family val="1"/>
    </font>
  </fonts>
  <fills count="4">
    <fill>
      <patternFill patternType="none"/>
    </fill>
    <fill>
      <patternFill patternType="gray125"/>
    </fill>
    <fill>
      <patternFill patternType="solid">
        <fgColor theme="0" tint="-0.14999847407452621"/>
        <bgColor indexed="64"/>
      </patternFill>
    </fill>
    <fill>
      <patternFill patternType="solid">
        <fgColor theme="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164" fontId="1" fillId="0" borderId="0" applyFont="0" applyFill="0" applyBorder="0" applyAlignment="0" applyProtection="0"/>
  </cellStyleXfs>
  <cellXfs count="29">
    <xf numFmtId="0" fontId="0" fillId="0" borderId="0" xfId="0"/>
    <xf numFmtId="0" fontId="2" fillId="3" borderId="1" xfId="0" applyFont="1" applyFill="1" applyBorder="1" applyAlignment="1">
      <alignment horizontal="left" vertical="center"/>
    </xf>
    <xf numFmtId="2" fontId="2" fillId="3" borderId="1" xfId="0" applyNumberFormat="1" applyFont="1" applyFill="1" applyBorder="1" applyAlignment="1">
      <alignment horizontal="left" vertical="center"/>
    </xf>
    <xf numFmtId="0" fontId="2" fillId="3" borderId="1" xfId="0" applyFont="1" applyFill="1" applyBorder="1" applyAlignment="1">
      <alignment horizontal="left" vertical="center" wrapText="1"/>
    </xf>
    <xf numFmtId="0" fontId="2" fillId="0" borderId="0" xfId="0" applyFont="1"/>
    <xf numFmtId="0" fontId="2" fillId="0" borderId="1" xfId="0" applyFont="1" applyBorder="1"/>
    <xf numFmtId="165" fontId="9" fillId="3" borderId="1" xfId="0" applyNumberFormat="1" applyFont="1" applyFill="1" applyBorder="1" applyAlignment="1">
      <alignment horizontal="left" vertical="center"/>
    </xf>
    <xf numFmtId="0" fontId="10" fillId="0" borderId="1" xfId="0" applyFont="1" applyBorder="1" applyAlignment="1">
      <alignment horizontal="left" vertical="center"/>
    </xf>
    <xf numFmtId="0" fontId="2" fillId="3" borderId="0" xfId="0" applyFont="1" applyFill="1" applyAlignment="1">
      <alignment horizontal="left" vertical="center"/>
    </xf>
    <xf numFmtId="0" fontId="2" fillId="3" borderId="0" xfId="0" applyFont="1" applyFill="1" applyAlignment="1">
      <alignment horizontal="left" vertical="center" wrapText="1"/>
    </xf>
    <xf numFmtId="0" fontId="10" fillId="0" borderId="0" xfId="0" applyFont="1" applyAlignment="1">
      <alignment horizontal="left" vertical="center"/>
    </xf>
    <xf numFmtId="2" fontId="2" fillId="3" borderId="0" xfId="0" applyNumberFormat="1" applyFont="1" applyFill="1" applyAlignment="1">
      <alignment horizontal="left" vertical="center"/>
    </xf>
    <xf numFmtId="166" fontId="2" fillId="3" borderId="1" xfId="0" applyNumberFormat="1" applyFont="1" applyFill="1" applyBorder="1" applyAlignment="1">
      <alignment horizontal="left" vertical="center"/>
    </xf>
    <xf numFmtId="0" fontId="7" fillId="0" borderId="0" xfId="0" applyFont="1" applyAlignment="1">
      <alignment horizontal="center"/>
    </xf>
    <xf numFmtId="0" fontId="8" fillId="0" borderId="0" xfId="0" applyFont="1"/>
    <xf numFmtId="0" fontId="5" fillId="0" borderId="0" xfId="0" applyFont="1"/>
    <xf numFmtId="0" fontId="4" fillId="0" borderId="0" xfId="0" applyFont="1"/>
    <xf numFmtId="0" fontId="11" fillId="0" borderId="0" xfId="0" applyFont="1"/>
    <xf numFmtId="0" fontId="12" fillId="0" borderId="0" xfId="0" applyFont="1"/>
    <xf numFmtId="167" fontId="5" fillId="0" borderId="1" xfId="0" applyNumberFormat="1" applyFont="1" applyBorder="1" applyAlignment="1">
      <alignment horizontal="left" vertical="center" wrapText="1"/>
    </xf>
    <xf numFmtId="167" fontId="5" fillId="3" borderId="1" xfId="0" applyNumberFormat="1" applyFont="1" applyFill="1" applyBorder="1" applyAlignment="1">
      <alignment horizontal="left" vertical="center"/>
    </xf>
    <xf numFmtId="165" fontId="5" fillId="3" borderId="1" xfId="0" applyNumberFormat="1" applyFont="1" applyFill="1" applyBorder="1" applyAlignment="1">
      <alignment horizontal="left" vertical="center"/>
    </xf>
    <xf numFmtId="0" fontId="4" fillId="2" borderId="1" xfId="0" applyFont="1" applyFill="1" applyBorder="1" applyAlignment="1">
      <alignment horizontal="center" vertical="center"/>
    </xf>
    <xf numFmtId="0" fontId="4" fillId="2" borderId="1" xfId="0" applyFont="1" applyFill="1" applyBorder="1" applyAlignment="1">
      <alignment horizontal="center" vertical="center" wrapText="1"/>
    </xf>
    <xf numFmtId="0" fontId="2" fillId="0" borderId="0" xfId="0" applyFont="1" applyAlignment="1">
      <alignment vertical="center"/>
    </xf>
    <xf numFmtId="0" fontId="6" fillId="0" borderId="0" xfId="0" applyFont="1" applyAlignment="1">
      <alignment horizontal="center"/>
    </xf>
    <xf numFmtId="0" fontId="3" fillId="0" borderId="0" xfId="0" applyFont="1" applyAlignment="1">
      <alignment horizontal="center"/>
    </xf>
    <xf numFmtId="0" fontId="7" fillId="0" borderId="0" xfId="0" applyFont="1" applyAlignment="1">
      <alignment horizontal="center"/>
    </xf>
    <xf numFmtId="165" fontId="5" fillId="3" borderId="0" xfId="0" applyNumberFormat="1" applyFont="1" applyFill="1" applyBorder="1" applyAlignment="1">
      <alignment horizontal="left" vertical="center"/>
    </xf>
  </cellXfs>
  <cellStyles count="2">
    <cellStyle name="Comma 2" xfId="1" xr:uid="{00000000-0005-0000-0000-00000100000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6.xml"/><Relationship Id="rId3" Type="http://schemas.openxmlformats.org/officeDocument/2006/relationships/externalLink" Target="externalLinks/externalLink1.xml"/><Relationship Id="rId7" Type="http://schemas.openxmlformats.org/officeDocument/2006/relationships/externalLink" Target="externalLinks/externalLink5.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4.xml"/><Relationship Id="rId11" Type="http://schemas.openxmlformats.org/officeDocument/2006/relationships/sharedStrings" Target="sharedStrings.xml"/><Relationship Id="rId5" Type="http://schemas.openxmlformats.org/officeDocument/2006/relationships/externalLink" Target="externalLinks/externalLink3.xml"/><Relationship Id="rId10" Type="http://schemas.openxmlformats.org/officeDocument/2006/relationships/styles" Target="styles.xml"/><Relationship Id="rId4" Type="http://schemas.openxmlformats.org/officeDocument/2006/relationships/externalLink" Target="externalLinks/externalLink2.xml"/><Relationship Id="rId9"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D:\ward%20office%20aayojana%202\For-all-Road-rate-analysis-80-81-shankharapur.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E:\080-081\ward%20office%20aayojana\For-all-Road-rate-analysis-80-81-shankharapur.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F:\079-080\Road-rate-analysis-079-80-shankharapur-as-per-dor-norms-nnnn.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C:\Users\Dell\Desktop\Ward%209\RATE%20ANALYSIS\Road-rate-analysis-078-79-shankharapur.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D:\081-082\For-all-Road-rate-analysis-81-82-shankharapur-as-per-dor-norms.xlsx"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D:\081-082\ofc\For-all-Road-rate-analysis-81-82-shankharapur-as-per-dor-norm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sheetData sheetId="1"/>
      <sheetData sheetId="2"/>
      <sheetData sheetId="3">
        <row r="6">
          <cell r="L6">
            <v>3598.56</v>
          </cell>
        </row>
        <row r="7">
          <cell r="L7">
            <v>3104.6400000000003</v>
          </cell>
        </row>
        <row r="9">
          <cell r="L9">
            <v>3457.44</v>
          </cell>
        </row>
        <row r="17">
          <cell r="L17">
            <v>106</v>
          </cell>
        </row>
        <row r="25">
          <cell r="L25">
            <v>14231</v>
          </cell>
        </row>
        <row r="73">
          <cell r="L73">
            <v>99000</v>
          </cell>
        </row>
        <row r="111">
          <cell r="L111">
            <v>2504.88</v>
          </cell>
        </row>
        <row r="129">
          <cell r="L129">
            <v>310</v>
          </cell>
        </row>
        <row r="148">
          <cell r="D148">
            <v>1200</v>
          </cell>
        </row>
        <row r="149">
          <cell r="D149">
            <v>1200</v>
          </cell>
        </row>
        <row r="156">
          <cell r="D156">
            <v>900</v>
          </cell>
        </row>
      </sheetData>
      <sheetData sheetId="4">
        <row r="10">
          <cell r="J10">
            <v>293</v>
          </cell>
        </row>
        <row r="19">
          <cell r="J19">
            <v>3071</v>
          </cell>
        </row>
        <row r="20">
          <cell r="J20">
            <v>841</v>
          </cell>
        </row>
      </sheetData>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34">
          <cell r="B34" t="str">
            <v>Earthwork Excavation in Cutting., Roadway Excavation in all types of Soil by Mechanical  Means ., Road way Excavation in  all types of soil as per Drawing and technical specifications  including  removal of stumps and other deleterious matter, all lifts and lead as per Drawing and instruction of the Engineer.</v>
          </cell>
        </row>
        <row r="167">
          <cell r="B167" t="str">
            <v>Providing and laying of Plain Cement Concrete M 10 ( or 1:3:6 for nominal mix) in Foundation complete as per Drawing and Technical Specifications.</v>
          </cell>
        </row>
        <row r="168">
          <cell r="B168" t="str">
            <v>Providing and laying of Plain Cement Concrete M 10 ( or 1:3:6 for nominal mix) in Foundation complete as per Drawing and Technical Specifications., Manual Mixing</v>
          </cell>
        </row>
        <row r="172">
          <cell r="B172" t="str">
            <v>Providing and laying of Plain/Reinforced Cement Concrete in Foundation complete as per Drawing and Technical Specifications., RCC Grade M 20</v>
          </cell>
        </row>
        <row r="300">
          <cell r="B300" t="str">
            <v>Random Rubble Masonry, Providing and laying of Stone Masonry Work in Cement Mortar 1:6 in Foundation complete as per Drawing and Technical Specifications., Using Concrete Mixer</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sheetData sheetId="1">
        <row r="18">
          <cell r="B18" t="str">
            <v>Dismantling of existing structures like culverts, bridges, retaining walls and other structure comprising of masonry, cement concrete, wood work, steel work, including scaffolding wherever necessary, sorting the dismantled Material, disposal of unserviceable Material and stacking the serviceable Material with all lifts and lead of 1000 meters, Dismantling Brick / Tile work, In cement mortar</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33">
          <cell r="B33" t="str">
            <v>Earthwork Excavation in Cutting., Roadway Excavation in all types of Soil by Manual Means ., Roadway Excavation in all types of soil as per drawing and technical specification, including removal of stumps and other deleterious matter, with all lifts and lead as per Drawing and instruction of the Engineer.</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sheetData sheetId="1">
        <row r="34">
          <cell r="B34" t="str">
            <v>Earthwork Excavation in Cutting., Roadway Excavation in all types of Soil by Mechanical  Means ., Road way Excavation in  all types of soil as per Drawing and technical specifications  including  removal of stumps and other deleterious matter, all lifts and lead as per Drawing and instruction of the Engineer.</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sheetData sheetId="1">
        <row r="169">
          <cell r="B169" t="str">
            <v>Providing and laying of Plain/Reinforced Cement Concrete in Foundation complete as per Drawing and Technical Specifications, PCC Grade M 15</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9BC5E6-1151-4B79-8504-C8448F9890FB}">
  <dimension ref="A1:J43"/>
  <sheetViews>
    <sheetView tabSelected="1" view="pageBreakPreview" topLeftCell="A7" zoomScaleNormal="100" zoomScaleSheetLayoutView="100" workbookViewId="0">
      <selection activeCell="G11" sqref="G11"/>
    </sheetView>
  </sheetViews>
  <sheetFormatPr defaultColWidth="9.140625" defaultRowHeight="15.75"/>
  <cols>
    <col min="1" max="1" width="7" style="4" customWidth="1"/>
    <col min="2" max="2" width="24.7109375" style="4" customWidth="1"/>
    <col min="3" max="3" width="21.5703125" style="4" customWidth="1"/>
    <col min="4" max="4" width="23.28515625" style="4" customWidth="1"/>
    <col min="5" max="5" width="28.140625" style="4" customWidth="1"/>
    <col min="6" max="6" width="11.140625" style="4" customWidth="1"/>
    <col min="7" max="7" width="18.85546875" style="4" customWidth="1"/>
    <col min="8" max="8" width="30.5703125" style="4" customWidth="1"/>
    <col min="9" max="16384" width="9.140625" style="4"/>
  </cols>
  <sheetData>
    <row r="1" spans="1:10" ht="39.75" customHeight="1">
      <c r="A1" s="25" t="s">
        <v>4</v>
      </c>
      <c r="B1" s="25"/>
      <c r="C1" s="25"/>
      <c r="D1" s="25"/>
      <c r="E1" s="25"/>
      <c r="F1" s="25"/>
      <c r="G1" s="25"/>
      <c r="H1" s="25"/>
    </row>
    <row r="2" spans="1:10" ht="23.25" customHeight="1">
      <c r="A2" s="26" t="s">
        <v>5</v>
      </c>
      <c r="B2" s="26"/>
      <c r="C2" s="26"/>
      <c r="D2" s="26"/>
      <c r="E2" s="26"/>
      <c r="F2" s="26"/>
      <c r="G2" s="26"/>
      <c r="H2" s="26"/>
    </row>
    <row r="3" spans="1:10" ht="23.25" customHeight="1">
      <c r="A3" s="26" t="s">
        <v>6</v>
      </c>
      <c r="B3" s="26"/>
      <c r="C3" s="26"/>
      <c r="D3" s="26"/>
      <c r="E3" s="26"/>
      <c r="F3" s="26"/>
      <c r="G3" s="26"/>
      <c r="H3" s="26"/>
    </row>
    <row r="4" spans="1:10" ht="12.75" customHeight="1">
      <c r="A4" s="14"/>
      <c r="B4" s="14"/>
      <c r="C4" s="14"/>
      <c r="D4" s="13"/>
      <c r="E4" s="13"/>
      <c r="F4" s="13"/>
      <c r="G4" s="13"/>
      <c r="H4" s="13"/>
    </row>
    <row r="5" spans="1:10" ht="28.5" customHeight="1">
      <c r="A5" s="27" t="s">
        <v>16</v>
      </c>
      <c r="B5" s="27"/>
      <c r="C5" s="27"/>
      <c r="D5" s="27"/>
      <c r="E5" s="27"/>
      <c r="F5" s="27"/>
      <c r="G5" s="27"/>
      <c r="H5" s="27"/>
    </row>
    <row r="6" spans="1:10" ht="21" customHeight="1">
      <c r="A6" s="14" t="s">
        <v>26</v>
      </c>
      <c r="B6" s="14"/>
      <c r="C6" s="14"/>
      <c r="D6" s="13"/>
      <c r="E6" s="13"/>
      <c r="F6" s="13"/>
      <c r="G6" s="13"/>
      <c r="H6" s="13"/>
    </row>
    <row r="7" spans="1:10" ht="21" customHeight="1">
      <c r="A7" s="14" t="s">
        <v>30</v>
      </c>
      <c r="B7" s="14"/>
      <c r="C7" s="14"/>
      <c r="D7" s="13"/>
      <c r="E7" s="13"/>
      <c r="F7" s="13"/>
      <c r="G7" s="13"/>
      <c r="H7" s="13"/>
    </row>
    <row r="8" spans="1:10" ht="21" customHeight="1">
      <c r="A8" s="14" t="s">
        <v>27</v>
      </c>
      <c r="B8" s="14"/>
      <c r="C8" s="14"/>
      <c r="D8" s="13"/>
      <c r="E8" s="13"/>
      <c r="F8" s="13"/>
      <c r="G8" s="13"/>
      <c r="H8" s="13"/>
    </row>
    <row r="9" spans="1:10" s="24" customFormat="1" ht="40.5">
      <c r="A9" s="22" t="s">
        <v>2</v>
      </c>
      <c r="B9" s="22" t="s">
        <v>14</v>
      </c>
      <c r="C9" s="23" t="s">
        <v>0</v>
      </c>
      <c r="D9" s="23" t="s">
        <v>1</v>
      </c>
      <c r="E9" s="23" t="s">
        <v>8</v>
      </c>
      <c r="F9" s="23" t="s">
        <v>3</v>
      </c>
      <c r="G9" s="23" t="s">
        <v>31</v>
      </c>
      <c r="H9" s="22" t="s">
        <v>7</v>
      </c>
    </row>
    <row r="10" spans="1:10" ht="20.25">
      <c r="A10" s="6">
        <v>1</v>
      </c>
      <c r="B10" s="12" t="s">
        <v>32</v>
      </c>
      <c r="C10" s="19">
        <v>827.7</v>
      </c>
      <c r="D10" s="20">
        <v>838.2</v>
      </c>
      <c r="E10" s="20">
        <f>D10-C10</f>
        <v>10.5</v>
      </c>
      <c r="F10" s="21">
        <v>2137</v>
      </c>
      <c r="G10" s="1">
        <f>F10*E10</f>
        <v>22438.5</v>
      </c>
      <c r="H10" s="1" t="s">
        <v>33</v>
      </c>
      <c r="J10" s="21">
        <v>2198</v>
      </c>
    </row>
    <row r="11" spans="1:10" ht="20.25">
      <c r="A11" s="6">
        <v>2</v>
      </c>
      <c r="B11" s="12">
        <v>66658</v>
      </c>
      <c r="C11" s="19">
        <v>838.2</v>
      </c>
      <c r="D11" s="20">
        <v>847.2</v>
      </c>
      <c r="E11" s="20">
        <f t="shared" ref="E11:E12" si="0">D11-C11</f>
        <v>9</v>
      </c>
      <c r="F11" s="21">
        <v>2137</v>
      </c>
      <c r="G11" s="1">
        <f t="shared" ref="G11:G12" si="1">F11*E11</f>
        <v>19233</v>
      </c>
      <c r="H11" s="1"/>
      <c r="J11" s="28"/>
    </row>
    <row r="12" spans="1:10" ht="20.25">
      <c r="A12" s="6">
        <v>3</v>
      </c>
      <c r="B12" s="12">
        <v>66659</v>
      </c>
      <c r="C12" s="19">
        <v>847.2</v>
      </c>
      <c r="D12" s="20">
        <v>859.3</v>
      </c>
      <c r="E12" s="20">
        <f t="shared" si="0"/>
        <v>12.099999999999909</v>
      </c>
      <c r="F12" s="21">
        <v>2137</v>
      </c>
      <c r="G12" s="1">
        <f t="shared" si="1"/>
        <v>25857.699999999804</v>
      </c>
      <c r="H12" s="1"/>
      <c r="J12" s="28"/>
    </row>
    <row r="13" spans="1:10" ht="20.25">
      <c r="A13" s="6">
        <v>4</v>
      </c>
      <c r="B13" s="12">
        <v>66660</v>
      </c>
      <c r="C13" s="19">
        <v>859.3</v>
      </c>
      <c r="D13" s="20">
        <v>868.9</v>
      </c>
      <c r="E13" s="20">
        <f t="shared" ref="E13" si="2">D13-C13</f>
        <v>9.6000000000000227</v>
      </c>
      <c r="F13" s="21">
        <v>2137</v>
      </c>
      <c r="G13" s="1">
        <f t="shared" ref="G13" si="3">F13*E13</f>
        <v>20515.200000000048</v>
      </c>
      <c r="H13" s="1"/>
      <c r="J13" s="28"/>
    </row>
    <row r="14" spans="1:10">
      <c r="A14" s="1"/>
      <c r="B14" s="1"/>
      <c r="C14" s="3"/>
      <c r="D14" s="1"/>
      <c r="E14" s="7" t="s">
        <v>9</v>
      </c>
      <c r="F14" s="5"/>
      <c r="G14" s="2">
        <f>SUM(G10:G13)</f>
        <v>88044.399999999849</v>
      </c>
      <c r="H14" s="3"/>
    </row>
    <row r="15" spans="1:10">
      <c r="A15" s="1"/>
      <c r="B15" s="1"/>
      <c r="C15" s="3"/>
      <c r="D15" s="1"/>
      <c r="E15" s="7" t="s">
        <v>10</v>
      </c>
      <c r="F15" s="5"/>
      <c r="G15" s="2"/>
      <c r="H15" s="3"/>
    </row>
    <row r="16" spans="1:10">
      <c r="A16" s="1"/>
      <c r="B16" s="1"/>
      <c r="C16" s="3"/>
      <c r="D16" s="1"/>
      <c r="E16" s="7" t="s">
        <v>11</v>
      </c>
      <c r="F16" s="5"/>
      <c r="G16" s="2">
        <f>G14</f>
        <v>88044.399999999849</v>
      </c>
      <c r="H16" s="3"/>
    </row>
    <row r="17" spans="1:8">
      <c r="A17" s="1"/>
      <c r="B17" s="1"/>
      <c r="C17" s="3"/>
      <c r="D17" s="1"/>
      <c r="E17" s="7" t="s">
        <v>12</v>
      </c>
      <c r="F17" s="5"/>
      <c r="G17" s="2">
        <f>0.13*G16</f>
        <v>11445.771999999981</v>
      </c>
      <c r="H17" s="3"/>
    </row>
    <row r="18" spans="1:8">
      <c r="A18" s="1"/>
      <c r="B18" s="1"/>
      <c r="C18" s="3"/>
      <c r="D18" s="1"/>
      <c r="E18" s="7" t="s">
        <v>13</v>
      </c>
      <c r="F18" s="5"/>
      <c r="G18" s="2">
        <f>SUM(G16:G17)</f>
        <v>99490.171999999831</v>
      </c>
      <c r="H18" s="3"/>
    </row>
    <row r="19" spans="1:8">
      <c r="A19" s="8"/>
      <c r="B19" s="8"/>
      <c r="C19" s="9"/>
      <c r="D19" s="8"/>
      <c r="E19" s="10"/>
      <c r="G19" s="11"/>
      <c r="H19" s="9"/>
    </row>
    <row r="26" spans="1:8" ht="20.25">
      <c r="B26" s="15" t="s">
        <v>15</v>
      </c>
      <c r="E26" s="15" t="s">
        <v>22</v>
      </c>
      <c r="H26" s="15" t="s">
        <v>22</v>
      </c>
    </row>
    <row r="27" spans="1:8" ht="20.25">
      <c r="B27" s="16"/>
      <c r="E27" s="16"/>
      <c r="H27" s="16"/>
    </row>
    <row r="28" spans="1:8" ht="18.75">
      <c r="B28" s="17" t="s">
        <v>28</v>
      </c>
      <c r="E28" s="17" t="s">
        <v>29</v>
      </c>
      <c r="H28" s="17" t="s">
        <v>29</v>
      </c>
    </row>
    <row r="35" spans="3:6" ht="20.25">
      <c r="C35" s="15" t="s">
        <v>22</v>
      </c>
      <c r="F35" s="15" t="s">
        <v>25</v>
      </c>
    </row>
    <row r="36" spans="3:6" ht="20.25">
      <c r="C36" s="16"/>
      <c r="F36" s="16"/>
    </row>
    <row r="37" spans="3:6" ht="18.75">
      <c r="C37" s="17" t="s">
        <v>24</v>
      </c>
      <c r="D37" s="18"/>
      <c r="F37" s="17" t="s">
        <v>23</v>
      </c>
    </row>
    <row r="42" spans="3:6">
      <c r="C42" s="4" t="s">
        <v>17</v>
      </c>
      <c r="D42" s="4" t="s">
        <v>18</v>
      </c>
      <c r="E42" s="4" t="s">
        <v>19</v>
      </c>
    </row>
    <row r="43" spans="3:6">
      <c r="C43" s="4" t="s">
        <v>20</v>
      </c>
      <c r="D43" s="4" t="s">
        <v>21</v>
      </c>
      <c r="E43" s="4" t="str">
        <f>E42</f>
        <v>without vat</v>
      </c>
    </row>
  </sheetData>
  <mergeCells count="4">
    <mergeCell ref="A1:H1"/>
    <mergeCell ref="A2:H2"/>
    <mergeCell ref="A3:H3"/>
    <mergeCell ref="A5:H5"/>
  </mergeCells>
  <printOptions horizontalCentered="1"/>
  <pageMargins left="0.25" right="0.25" top="0.75" bottom="0.75" header="0.3" footer="0.3"/>
  <pageSetup scale="70" fitToHeight="2" orientation="landscape"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A5BCC-D31B-4C22-A2CF-5C7AB24AA216}">
  <dimension ref="A1:J43"/>
  <sheetViews>
    <sheetView view="pageBreakPreview" topLeftCell="A10" zoomScaleNormal="100" zoomScaleSheetLayoutView="100" workbookViewId="0">
      <selection activeCell="H11" sqref="H11"/>
    </sheetView>
  </sheetViews>
  <sheetFormatPr defaultColWidth="9.140625" defaultRowHeight="15.75"/>
  <cols>
    <col min="1" max="1" width="7" style="4" customWidth="1"/>
    <col min="2" max="2" width="24.7109375" style="4" customWidth="1"/>
    <col min="3" max="3" width="21.5703125" style="4" customWidth="1"/>
    <col min="4" max="4" width="23.28515625" style="4" customWidth="1"/>
    <col min="5" max="5" width="28.140625" style="4" customWidth="1"/>
    <col min="6" max="6" width="11.140625" style="4" customWidth="1"/>
    <col min="7" max="7" width="18.85546875" style="4" customWidth="1"/>
    <col min="8" max="8" width="30.5703125" style="4" customWidth="1"/>
    <col min="9" max="16384" width="9.140625" style="4"/>
  </cols>
  <sheetData>
    <row r="1" spans="1:10" ht="39.75" customHeight="1">
      <c r="A1" s="25" t="s">
        <v>4</v>
      </c>
      <c r="B1" s="25"/>
      <c r="C1" s="25"/>
      <c r="D1" s="25"/>
      <c r="E1" s="25"/>
      <c r="F1" s="25"/>
      <c r="G1" s="25"/>
      <c r="H1" s="25"/>
    </row>
    <row r="2" spans="1:10" ht="23.25" customHeight="1">
      <c r="A2" s="26" t="s">
        <v>5</v>
      </c>
      <c r="B2" s="26"/>
      <c r="C2" s="26"/>
      <c r="D2" s="26"/>
      <c r="E2" s="26"/>
      <c r="F2" s="26"/>
      <c r="G2" s="26"/>
      <c r="H2" s="26"/>
    </row>
    <row r="3" spans="1:10" ht="23.25" customHeight="1">
      <c r="A3" s="26" t="s">
        <v>6</v>
      </c>
      <c r="B3" s="26"/>
      <c r="C3" s="26"/>
      <c r="D3" s="26"/>
      <c r="E3" s="26"/>
      <c r="F3" s="26"/>
      <c r="G3" s="26"/>
      <c r="H3" s="26"/>
    </row>
    <row r="4" spans="1:10" ht="12.75" customHeight="1">
      <c r="A4" s="14"/>
      <c r="B4" s="14"/>
      <c r="C4" s="14"/>
      <c r="D4" s="13"/>
      <c r="E4" s="13"/>
      <c r="F4" s="13"/>
      <c r="G4" s="13"/>
      <c r="H4" s="13"/>
    </row>
    <row r="5" spans="1:10" ht="28.5" customHeight="1">
      <c r="A5" s="27" t="s">
        <v>16</v>
      </c>
      <c r="B5" s="27"/>
      <c r="C5" s="27"/>
      <c r="D5" s="27"/>
      <c r="E5" s="27"/>
      <c r="F5" s="27"/>
      <c r="G5" s="27"/>
      <c r="H5" s="27"/>
    </row>
    <row r="6" spans="1:10" ht="21" customHeight="1">
      <c r="A6" s="14" t="s">
        <v>26</v>
      </c>
      <c r="B6" s="14"/>
      <c r="C6" s="14"/>
      <c r="D6" s="13"/>
      <c r="E6" s="13"/>
      <c r="F6" s="13"/>
      <c r="G6" s="13"/>
      <c r="H6" s="13"/>
    </row>
    <row r="7" spans="1:10" ht="21" customHeight="1">
      <c r="A7" s="14" t="s">
        <v>30</v>
      </c>
      <c r="B7" s="14"/>
      <c r="C7" s="14"/>
      <c r="D7" s="13"/>
      <c r="E7" s="13"/>
      <c r="F7" s="13"/>
      <c r="G7" s="13"/>
      <c r="H7" s="13"/>
    </row>
    <row r="8" spans="1:10" ht="21" customHeight="1">
      <c r="A8" s="14" t="s">
        <v>27</v>
      </c>
      <c r="B8" s="14"/>
      <c r="C8" s="14"/>
      <c r="D8" s="13"/>
      <c r="E8" s="13"/>
      <c r="F8" s="13"/>
      <c r="G8" s="13"/>
      <c r="H8" s="13"/>
    </row>
    <row r="9" spans="1:10" s="24" customFormat="1" ht="40.5">
      <c r="A9" s="22" t="s">
        <v>2</v>
      </c>
      <c r="B9" s="22" t="s">
        <v>14</v>
      </c>
      <c r="C9" s="23" t="s">
        <v>0</v>
      </c>
      <c r="D9" s="23" t="s">
        <v>1</v>
      </c>
      <c r="E9" s="23" t="s">
        <v>8</v>
      </c>
      <c r="F9" s="23" t="s">
        <v>3</v>
      </c>
      <c r="G9" s="23" t="s">
        <v>31</v>
      </c>
      <c r="H9" s="22" t="s">
        <v>7</v>
      </c>
    </row>
    <row r="10" spans="1:10" ht="20.25">
      <c r="A10" s="6">
        <v>1</v>
      </c>
      <c r="B10" s="12">
        <v>66669</v>
      </c>
      <c r="C10" s="19">
        <v>7391.9</v>
      </c>
      <c r="D10" s="20">
        <v>7397.8</v>
      </c>
      <c r="E10" s="20">
        <f>D10-C10</f>
        <v>5.9000000000005457</v>
      </c>
      <c r="F10" s="21">
        <v>2137</v>
      </c>
      <c r="G10" s="1">
        <f>F10*E10</f>
        <v>12608.300000001167</v>
      </c>
      <c r="H10" s="1" t="s">
        <v>35</v>
      </c>
      <c r="J10" s="21">
        <v>2198</v>
      </c>
    </row>
    <row r="11" spans="1:10" ht="20.25">
      <c r="A11" s="6">
        <v>2</v>
      </c>
      <c r="B11" s="12">
        <v>66670</v>
      </c>
      <c r="C11" s="19">
        <v>7397.8</v>
      </c>
      <c r="D11" s="20">
        <v>7408</v>
      </c>
      <c r="E11" s="20">
        <f t="shared" ref="E11:E13" si="0">D11-C11</f>
        <v>10.199999999999818</v>
      </c>
      <c r="F11" s="21">
        <v>2137</v>
      </c>
      <c r="G11" s="1">
        <f t="shared" ref="G11:G13" si="1">F11*E11</f>
        <v>21797.399999999612</v>
      </c>
      <c r="H11" s="1"/>
      <c r="J11" s="28"/>
    </row>
    <row r="12" spans="1:10" ht="20.25">
      <c r="A12" s="6">
        <v>3</v>
      </c>
      <c r="B12" s="12">
        <v>66673</v>
      </c>
      <c r="C12" s="19">
        <v>7408</v>
      </c>
      <c r="D12" s="20">
        <v>7418.4</v>
      </c>
      <c r="E12" s="20">
        <f t="shared" si="0"/>
        <v>10.399999999999636</v>
      </c>
      <c r="F12" s="21">
        <v>2137</v>
      </c>
      <c r="G12" s="1">
        <f t="shared" si="1"/>
        <v>22224.799999999224</v>
      </c>
      <c r="H12" s="1"/>
      <c r="J12" s="28"/>
    </row>
    <row r="13" spans="1:10" ht="20.25">
      <c r="A13" s="6">
        <v>4</v>
      </c>
      <c r="B13" s="12">
        <v>66674</v>
      </c>
      <c r="C13" s="19">
        <v>7418.4</v>
      </c>
      <c r="D13" s="20">
        <v>7427.4</v>
      </c>
      <c r="E13" s="20">
        <f t="shared" si="0"/>
        <v>9</v>
      </c>
      <c r="F13" s="21">
        <v>2137</v>
      </c>
      <c r="G13" s="1">
        <f t="shared" si="1"/>
        <v>19233</v>
      </c>
      <c r="H13" s="1" t="s">
        <v>34</v>
      </c>
      <c r="J13" s="28"/>
    </row>
    <row r="14" spans="1:10">
      <c r="A14" s="1"/>
      <c r="B14" s="1"/>
      <c r="C14" s="3"/>
      <c r="D14" s="1"/>
      <c r="E14" s="7" t="s">
        <v>9</v>
      </c>
      <c r="F14" s="5"/>
      <c r="G14" s="2">
        <f>SUM(G10:G13)</f>
        <v>75863.5</v>
      </c>
      <c r="H14" s="3"/>
    </row>
    <row r="15" spans="1:10">
      <c r="A15" s="1"/>
      <c r="B15" s="1"/>
      <c r="C15" s="3"/>
      <c r="D15" s="1"/>
      <c r="E15" s="7" t="s">
        <v>10</v>
      </c>
      <c r="F15" s="5"/>
      <c r="G15" s="2"/>
      <c r="H15" s="3"/>
    </row>
    <row r="16" spans="1:10">
      <c r="A16" s="1"/>
      <c r="B16" s="1"/>
      <c r="C16" s="3"/>
      <c r="D16" s="1"/>
      <c r="E16" s="7" t="s">
        <v>11</v>
      </c>
      <c r="F16" s="5"/>
      <c r="G16" s="2">
        <f>G14</f>
        <v>75863.5</v>
      </c>
      <c r="H16" s="3"/>
    </row>
    <row r="17" spans="1:8">
      <c r="A17" s="1"/>
      <c r="B17" s="1"/>
      <c r="C17" s="3"/>
      <c r="D17" s="1"/>
      <c r="E17" s="7" t="s">
        <v>12</v>
      </c>
      <c r="F17" s="5"/>
      <c r="G17" s="2">
        <f>0.13*G16</f>
        <v>9862.255000000001</v>
      </c>
      <c r="H17" s="3"/>
    </row>
    <row r="18" spans="1:8">
      <c r="A18" s="1"/>
      <c r="B18" s="1"/>
      <c r="C18" s="3"/>
      <c r="D18" s="1"/>
      <c r="E18" s="7" t="s">
        <v>13</v>
      </c>
      <c r="F18" s="5"/>
      <c r="G18" s="2">
        <f>SUM(G16:G17)</f>
        <v>85725.755000000005</v>
      </c>
      <c r="H18" s="3"/>
    </row>
    <row r="19" spans="1:8">
      <c r="A19" s="8"/>
      <c r="B19" s="8"/>
      <c r="C19" s="9"/>
      <c r="D19" s="8"/>
      <c r="E19" s="10"/>
      <c r="G19" s="11"/>
      <c r="H19" s="9"/>
    </row>
    <row r="26" spans="1:8" ht="20.25">
      <c r="B26" s="15" t="s">
        <v>15</v>
      </c>
      <c r="E26" s="15" t="s">
        <v>22</v>
      </c>
      <c r="H26" s="15" t="s">
        <v>22</v>
      </c>
    </row>
    <row r="27" spans="1:8" ht="20.25">
      <c r="B27" s="16"/>
      <c r="E27" s="16"/>
      <c r="H27" s="16"/>
    </row>
    <row r="28" spans="1:8" ht="18.75">
      <c r="B28" s="17" t="s">
        <v>28</v>
      </c>
      <c r="E28" s="17" t="s">
        <v>29</v>
      </c>
      <c r="H28" s="17" t="s">
        <v>29</v>
      </c>
    </row>
    <row r="35" spans="3:6" ht="20.25">
      <c r="C35" s="15" t="s">
        <v>22</v>
      </c>
      <c r="F35" s="15" t="s">
        <v>25</v>
      </c>
    </row>
    <row r="36" spans="3:6" ht="20.25">
      <c r="C36" s="16"/>
      <c r="F36" s="16"/>
    </row>
    <row r="37" spans="3:6" ht="18.75">
      <c r="C37" s="17" t="s">
        <v>24</v>
      </c>
      <c r="D37" s="18"/>
      <c r="F37" s="17" t="s">
        <v>23</v>
      </c>
    </row>
    <row r="42" spans="3:6">
      <c r="C42" s="4" t="s">
        <v>17</v>
      </c>
      <c r="D42" s="4" t="s">
        <v>18</v>
      </c>
      <c r="E42" s="4" t="s">
        <v>19</v>
      </c>
    </row>
    <row r="43" spans="3:6">
      <c r="C43" s="4" t="s">
        <v>20</v>
      </c>
      <c r="D43" s="4" t="s">
        <v>21</v>
      </c>
      <c r="E43" s="4" t="str">
        <f>E42</f>
        <v>without vat</v>
      </c>
    </row>
  </sheetData>
  <mergeCells count="4">
    <mergeCell ref="A1:H1"/>
    <mergeCell ref="A2:H2"/>
    <mergeCell ref="A3:H3"/>
    <mergeCell ref="A5:H5"/>
  </mergeCells>
  <printOptions horizontalCentered="1"/>
  <pageMargins left="0.25" right="0.25" top="0.75" bottom="0.75" header="0.3" footer="0.3"/>
  <pageSetup scale="70" fitToHeight="2" orientation="landscape"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Named Ranges</vt:lpstr>
      </vt:variant>
      <vt:variant>
        <vt:i4>4</vt:i4>
      </vt:variant>
    </vt:vector>
  </HeadingPairs>
  <TitlesOfParts>
    <vt:vector size="6" baseType="lpstr">
      <vt:lpstr>9</vt:lpstr>
      <vt:lpstr>new</vt:lpstr>
      <vt:lpstr>'9'!Print_Area</vt:lpstr>
      <vt:lpstr>new!Print_Area</vt:lpstr>
      <vt:lpstr>'9'!Print_Titles</vt:lpstr>
      <vt:lpstr>new!Print_Titles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User</cp:lastModifiedBy>
  <cp:lastPrinted>2025-09-24T06:58:37Z</cp:lastPrinted>
  <dcterms:created xsi:type="dcterms:W3CDTF">2024-08-25T06:49:54Z</dcterms:created>
  <dcterms:modified xsi:type="dcterms:W3CDTF">2025-11-07T06:31:53Z</dcterms:modified>
</cp:coreProperties>
</file>