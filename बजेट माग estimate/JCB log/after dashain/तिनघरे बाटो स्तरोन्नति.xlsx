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124226"/>
  <xr:revisionPtr revIDLastSave="0" documentId="13_ncr:1_{439F6A0A-D283-48AB-B378-0915C2F9FF4F}" xr6:coauthVersionLast="47" xr6:coauthVersionMax="47" xr10:uidLastSave="{00000000-0000-0000-0000-000000000000}"/>
  <bookViews>
    <workbookView xWindow="-120" yWindow="-120" windowWidth="20730" windowHeight="11040" xr2:uid="{00000000-000D-0000-FFFF-FFFF00000000}"/>
  </bookViews>
  <sheets>
    <sheet name="estimate (1)" sheetId="12" r:id="rId1"/>
    <sheet name="estimate (2)" sheetId="14" r:id="rId2"/>
  </sheets>
  <externalReferences>
    <externalReference r:id="rId3"/>
    <externalReference r:id="rId4"/>
    <externalReference r:id="rId5"/>
  </externalReferences>
  <definedNames>
    <definedName name="description_103">[1]Abstract!$B$16</definedName>
    <definedName name="description_124" localSheetId="0">#REF!</definedName>
    <definedName name="description_124" localSheetId="1">#REF!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 localSheetId="0">#REF!</definedName>
    <definedName name="description_310" localSheetId="1">#REF!</definedName>
    <definedName name="description_310">#REF!</definedName>
    <definedName name="description_312" localSheetId="0">#REF!</definedName>
    <definedName name="description_312" localSheetId="1">#REF!</definedName>
    <definedName name="description_312">#REF!</definedName>
    <definedName name="description_5">[1]Abstract!$B$171</definedName>
    <definedName name="description_6" localSheetId="0">#REF!</definedName>
    <definedName name="description_6" localSheetId="1">#REF!</definedName>
    <definedName name="description_6">#REF!</definedName>
    <definedName name="description_759">[1]Abstract!$B$278</definedName>
    <definedName name="description_781" localSheetId="0">#REF!</definedName>
    <definedName name="description_781" localSheetId="1">#REF!</definedName>
    <definedName name="description_781">#REF!</definedName>
    <definedName name="description_783">[1]Abstract!$B$301</definedName>
    <definedName name="description_784">[3]Abstract!$B$300</definedName>
    <definedName name="_xlnm.Print_Area" localSheetId="0">'estimate (1)'!$A$1:$K$17</definedName>
    <definedName name="_xlnm.Print_Area" localSheetId="1">'estimate (2)'!$A$1:$K$17</definedName>
    <definedName name="_xlnm.Print_Titles" localSheetId="0">'estimate (1)'!$1:$8</definedName>
    <definedName name="_xlnm.Print_Titles" localSheetId="1">'estimate (2)'!$1:$8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0" i="14" l="1"/>
  <c r="M10" i="14"/>
  <c r="P10" i="14" s="1"/>
  <c r="G10" i="14"/>
  <c r="G11" i="14" s="1"/>
  <c r="J11" i="14" s="1"/>
  <c r="J13" i="14" s="1"/>
  <c r="C15" i="14" s="1"/>
  <c r="G10" i="12"/>
  <c r="C16" i="14" l="1"/>
  <c r="C17" i="14"/>
  <c r="N10" i="12"/>
  <c r="M10" i="12"/>
  <c r="P10" i="12" l="1"/>
  <c r="G11" i="12"/>
  <c r="J11" i="12" l="1"/>
  <c r="J13" i="12" s="1"/>
  <c r="C15" i="12" l="1"/>
  <c r="C16" i="12" l="1"/>
  <c r="C17" i="12"/>
</calcChain>
</file>

<file path=xl/sharedStrings.xml><?xml version="1.0" encoding="utf-8"?>
<sst xmlns="http://schemas.openxmlformats.org/spreadsheetml/2006/main" count="64" uniqueCount="33">
  <si>
    <t>Government of Nepal</t>
  </si>
  <si>
    <t>Shankharapur Municipality Office</t>
  </si>
  <si>
    <t>Bagmati Province</t>
  </si>
  <si>
    <t>Sankhu, Kathmandu</t>
  </si>
  <si>
    <t>Location:- Shankharapur Municipality 9</t>
  </si>
  <si>
    <t>S.N.</t>
  </si>
  <si>
    <t>Description of work</t>
  </si>
  <si>
    <t>No.</t>
  </si>
  <si>
    <t>Length</t>
  </si>
  <si>
    <t>Breadth</t>
  </si>
  <si>
    <t>Height</t>
  </si>
  <si>
    <t>Quantity</t>
  </si>
  <si>
    <t>Unit</t>
  </si>
  <si>
    <t>Rate</t>
  </si>
  <si>
    <t>Amount</t>
  </si>
  <si>
    <t>Remark</t>
  </si>
  <si>
    <t>Sub-total</t>
  </si>
  <si>
    <t>m3</t>
  </si>
  <si>
    <t>Total</t>
  </si>
  <si>
    <t>F.Y.: 2082/2083</t>
  </si>
  <si>
    <t>13% VAT</t>
  </si>
  <si>
    <t>Grand Total</t>
  </si>
  <si>
    <t>Earthwork Excavation in Cutting., Roadway Excavation in all types of Soil by Mechanical  Means ., Road way Excavation in  all types of soil as per Drawing and technical specifications  including  removal of stumps and other deleterious matter and backfilling, levelling, clearance and maintainance of road all lifts and lead as per Drawing and instruction of the Engineer.</t>
  </si>
  <si>
    <t>-For road clearance</t>
  </si>
  <si>
    <t>Starting (hrs.)</t>
  </si>
  <si>
    <t>Stopping (hrs.)</t>
  </si>
  <si>
    <t>Date: 2082/07/23</t>
  </si>
  <si>
    <t>as per approved log sheet paper attached herewith</t>
  </si>
  <si>
    <t>Project:-बाटो सरसफाई तथा मर्मत कार्य (बा २ क ७०६८)</t>
  </si>
  <si>
    <t>Project:-बाटो सरसफाई तथा मर्मत कार्य (बागमती प्रदेश ००४ क ५१०२)</t>
  </si>
  <si>
    <t>Total metered hours (hrs.)</t>
  </si>
  <si>
    <t>Detail Valuated Sheet</t>
  </si>
  <si>
    <t>Total Valuated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</si>
</sst>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3"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ont>
    <font>
      <sz val="10"/>
      <name val="Arial"/>
      <family val="2"/>
    </font>
    <font>
      <sz val="12"/>
      <color theme="1"/>
      <name val="Times New Roman"/>
      <family val="2"/>
    </font>
  </fonts>
  <fills count="3">
    <fill>
      <patternFill patternType="none"/>
    </fill>
    <fill>
      <patternFill patternType="gray125"/>
    </fill>
    <fill>
      <patternFill patternType="solid">
        <fgColor theme="0"/>
        <bgColor indexed="64"/>
      </patternFill>
    </fill>
  </fills>
  <borders count="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47">
    <xf numFmtId="0" fontId="0" fillId="0" borderId="0" xfId="0"/>
    <xf numFmtId="1" fontId="3" fillId="0" borderId="2" xfId="0" applyNumberFormat="1" applyFont="1" applyBorder="1" applyAlignment="1">
      <alignment vertical="center"/>
    </xf>
    <xf numFmtId="164" fontId="2" fillId="0" borderId="2" xfId="0" applyNumberFormat="1" applyFont="1" applyBorder="1" applyAlignment="1">
      <alignment vertical="center"/>
    </xf>
    <xf numFmtId="2" fontId="2" fillId="0" borderId="2" xfId="1" applyNumberFormat="1" applyFont="1" applyFill="1" applyBorder="1" applyAlignment="1">
      <alignment vertical="center"/>
    </xf>
    <xf numFmtId="2" fontId="2" fillId="0" borderId="2" xfId="0" applyNumberFormat="1" applyFont="1" applyBorder="1" applyAlignment="1">
      <alignment vertical="center"/>
    </xf>
    <xf numFmtId="2" fontId="3" fillId="0" borderId="2" xfId="1" applyNumberFormat="1" applyFont="1" applyFill="1" applyBorder="1" applyAlignment="1">
      <alignment vertical="center"/>
    </xf>
    <xf numFmtId="2" fontId="3" fillId="0" borderId="2" xfId="0" applyNumberFormat="1" applyFont="1" applyBorder="1" applyAlignment="1">
      <alignment vertical="center"/>
    </xf>
    <xf numFmtId="0" fontId="9" fillId="0" borderId="0" xfId="0" applyFont="1" applyAlignment="1">
      <alignment horizontal="center"/>
    </xf>
    <xf numFmtId="43" fontId="9" fillId="0" borderId="0" xfId="1" applyFont="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applyFont="1" applyBorder="1"/>
    <xf numFmtId="2" fontId="3" fillId="0" borderId="2" xfId="0" applyNumberFormat="1" applyFont="1" applyBorder="1"/>
    <xf numFmtId="0" fontId="4" fillId="0" borderId="0" xfId="0" applyFont="1"/>
    <xf numFmtId="0" fontId="4" fillId="0" borderId="0" xfId="0" applyFont="1" applyAlignment="1">
      <alignment vertical="center"/>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Border="1" applyAlignment="1">
      <alignment vertical="center"/>
    </xf>
    <xf numFmtId="0" fontId="3" fillId="0" borderId="0" xfId="0" applyFont="1" applyAlignment="1">
      <alignment vertical="center"/>
    </xf>
    <xf numFmtId="0" fontId="4" fillId="0" borderId="2" xfId="0" quotePrefix="1" applyFont="1" applyBorder="1" applyAlignment="1">
      <alignment horizontal="right"/>
    </xf>
    <xf numFmtId="2" fontId="4" fillId="0" borderId="2" xfId="0" applyNumberFormat="1" applyFont="1" applyBorder="1"/>
    <xf numFmtId="0" fontId="2" fillId="0" borderId="2" xfId="0" quotePrefix="1" applyFont="1" applyBorder="1" applyAlignment="1">
      <alignment horizontal="right" wrapText="1"/>
    </xf>
    <xf numFmtId="0" fontId="12" fillId="2" borderId="2" xfId="0"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2" xfId="0" applyNumberFormat="1" applyFont="1" applyBorder="1" applyAlignment="1">
      <alignment horizontal="center" vertical="center"/>
    </xf>
    <xf numFmtId="0" fontId="4" fillId="0" borderId="2" xfId="0" applyFont="1" applyBorder="1" applyAlignment="1">
      <alignment wrapText="1"/>
    </xf>
    <xf numFmtId="0" fontId="4" fillId="0" borderId="5" xfId="0" applyFont="1" applyBorder="1" applyAlignment="1">
      <alignment horizontal="center" wrapText="1"/>
    </xf>
    <xf numFmtId="0" fontId="4" fillId="0" borderId="6" xfId="0" applyFont="1" applyBorder="1" applyAlignment="1">
      <alignment horizontal="center" wrapText="1"/>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G:\2082_2083\rate%20analysis\For%20all%20Road-rate%20analysis%2082%2083%20shankharapur.xlsx" TargetMode="External"/><Relationship Id="rId1" Type="http://schemas.openxmlformats.org/officeDocument/2006/relationships/externalLinkPath" Target="/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7"/>
  <sheetViews>
    <sheetView tabSelected="1" view="pageBreakPreview" topLeftCell="A10" zoomScale="95" zoomScaleNormal="90" zoomScaleSheetLayoutView="95" workbookViewId="0">
      <selection activeCell="C26" sqref="C26"/>
    </sheetView>
  </sheetViews>
  <sheetFormatPr defaultColWidth="9.140625" defaultRowHeight="15" x14ac:dyDescent="0.25"/>
  <cols>
    <col min="1" max="1" width="4.7109375" style="16" customWidth="1"/>
    <col min="2" max="2" width="30.85546875" style="16" customWidth="1"/>
    <col min="3" max="3" width="4.42578125" style="16" bestFit="1" customWidth="1"/>
    <col min="4" max="4" width="8.42578125" style="16" customWidth="1"/>
    <col min="5" max="5" width="8.5703125" style="16" customWidth="1"/>
    <col min="6" max="6" width="7.28515625" style="16" customWidth="1"/>
    <col min="7" max="7" width="9.140625" style="16"/>
    <col min="8" max="8" width="5" style="16" bestFit="1" customWidth="1"/>
    <col min="9" max="9" width="9.5703125" style="16" bestFit="1" customWidth="1"/>
    <col min="10" max="10" width="10.7109375" style="16" bestFit="1" customWidth="1"/>
    <col min="11" max="12" width="9.140625" style="16"/>
    <col min="13" max="16" width="0" style="16" hidden="1" customWidth="1"/>
    <col min="17" max="16384" width="9.140625" style="16"/>
  </cols>
  <sheetData>
    <row r="1" spans="1:19" x14ac:dyDescent="0.25">
      <c r="A1" s="35" t="s">
        <v>0</v>
      </c>
      <c r="B1" s="35"/>
      <c r="C1" s="35"/>
      <c r="D1" s="35"/>
      <c r="E1" s="35"/>
      <c r="F1" s="35"/>
      <c r="G1" s="35"/>
      <c r="H1" s="35"/>
      <c r="I1" s="35"/>
      <c r="J1" s="35"/>
      <c r="K1" s="35"/>
    </row>
    <row r="2" spans="1:19" ht="22.5" x14ac:dyDescent="0.25">
      <c r="A2" s="36" t="s">
        <v>1</v>
      </c>
      <c r="B2" s="36"/>
      <c r="C2" s="36"/>
      <c r="D2" s="36"/>
      <c r="E2" s="36"/>
      <c r="F2" s="36"/>
      <c r="G2" s="36"/>
      <c r="H2" s="36"/>
      <c r="I2" s="36"/>
      <c r="J2" s="36"/>
      <c r="K2" s="36"/>
    </row>
    <row r="3" spans="1:19" x14ac:dyDescent="0.25">
      <c r="A3" s="37" t="s">
        <v>2</v>
      </c>
      <c r="B3" s="37"/>
      <c r="C3" s="37"/>
      <c r="D3" s="37"/>
      <c r="E3" s="37"/>
      <c r="F3" s="37"/>
      <c r="G3" s="37"/>
      <c r="H3" s="37"/>
      <c r="I3" s="37"/>
      <c r="J3" s="37"/>
      <c r="K3" s="37"/>
    </row>
    <row r="4" spans="1:19" x14ac:dyDescent="0.25">
      <c r="A4" s="37" t="s">
        <v>3</v>
      </c>
      <c r="B4" s="37"/>
      <c r="C4" s="37"/>
      <c r="D4" s="37"/>
      <c r="E4" s="37"/>
      <c r="F4" s="37"/>
      <c r="G4" s="37"/>
      <c r="H4" s="37"/>
      <c r="I4" s="37"/>
      <c r="J4" s="37"/>
      <c r="K4" s="37"/>
    </row>
    <row r="5" spans="1:19" ht="18.75" x14ac:dyDescent="0.3">
      <c r="A5" s="38" t="s">
        <v>31</v>
      </c>
      <c r="B5" s="38"/>
      <c r="C5" s="38"/>
      <c r="D5" s="38"/>
      <c r="E5" s="38"/>
      <c r="F5" s="38"/>
      <c r="G5" s="38"/>
      <c r="H5" s="38"/>
      <c r="I5" s="38"/>
      <c r="J5" s="38"/>
      <c r="K5" s="38"/>
    </row>
    <row r="6" spans="1:19" ht="15.75" x14ac:dyDescent="0.25">
      <c r="A6" s="33" t="s">
        <v>29</v>
      </c>
      <c r="B6" s="33"/>
      <c r="C6" s="33"/>
      <c r="D6" s="33"/>
      <c r="E6" s="33"/>
      <c r="F6" s="33"/>
      <c r="G6" s="7"/>
      <c r="H6" s="34" t="s">
        <v>19</v>
      </c>
      <c r="I6" s="34"/>
      <c r="J6" s="34"/>
      <c r="K6" s="34"/>
    </row>
    <row r="7" spans="1:19" ht="15.75" x14ac:dyDescent="0.25">
      <c r="A7" s="41" t="s">
        <v>4</v>
      </c>
      <c r="B7" s="41"/>
      <c r="C7" s="41"/>
      <c r="D7" s="41"/>
      <c r="E7" s="41"/>
      <c r="F7" s="41"/>
      <c r="G7" s="8"/>
      <c r="H7" s="42" t="s">
        <v>26</v>
      </c>
      <c r="I7" s="42"/>
      <c r="J7" s="42"/>
      <c r="K7" s="42"/>
    </row>
    <row r="8" spans="1:19" ht="15.75" x14ac:dyDescent="0.25">
      <c r="A8" s="9" t="s">
        <v>5</v>
      </c>
      <c r="B8" s="10" t="s">
        <v>6</v>
      </c>
      <c r="C8" s="9" t="s">
        <v>7</v>
      </c>
      <c r="D8" s="11" t="s">
        <v>8</v>
      </c>
      <c r="E8" s="11" t="s">
        <v>9</v>
      </c>
      <c r="F8" s="11" t="s">
        <v>10</v>
      </c>
      <c r="G8" s="11" t="s">
        <v>11</v>
      </c>
      <c r="H8" s="9" t="s">
        <v>12</v>
      </c>
      <c r="I8" s="11" t="s">
        <v>13</v>
      </c>
      <c r="J8" s="11" t="s">
        <v>14</v>
      </c>
      <c r="K8" s="12" t="s">
        <v>15</v>
      </c>
    </row>
    <row r="9" spans="1:19" ht="188.25" customHeight="1" x14ac:dyDescent="0.25">
      <c r="A9" s="13">
        <v>1</v>
      </c>
      <c r="B9" s="32" t="s">
        <v>22</v>
      </c>
      <c r="C9" s="14"/>
      <c r="D9" s="44" t="s">
        <v>24</v>
      </c>
      <c r="E9" s="44" t="s">
        <v>25</v>
      </c>
      <c r="F9" s="14"/>
      <c r="G9" s="44" t="s">
        <v>30</v>
      </c>
      <c r="H9" s="14"/>
      <c r="I9" s="14"/>
      <c r="J9" s="14"/>
      <c r="K9" s="45" t="s">
        <v>27</v>
      </c>
    </row>
    <row r="10" spans="1:19" x14ac:dyDescent="0.25">
      <c r="A10" s="13"/>
      <c r="B10" s="29" t="s">
        <v>23</v>
      </c>
      <c r="C10" s="14">
        <v>1</v>
      </c>
      <c r="D10" s="30">
        <v>827.7</v>
      </c>
      <c r="E10" s="30">
        <v>868.9</v>
      </c>
      <c r="F10" s="30"/>
      <c r="G10" s="30">
        <f>E10-D10</f>
        <v>41.199999999999932</v>
      </c>
      <c r="H10" s="14"/>
      <c r="I10" s="14"/>
      <c r="J10" s="14"/>
      <c r="K10" s="46"/>
      <c r="M10" s="30">
        <f>7</f>
        <v>7</v>
      </c>
      <c r="N10" s="30">
        <f>2</f>
        <v>2</v>
      </c>
      <c r="O10" s="30"/>
      <c r="P10" s="30">
        <f>PI()*M10*SQRT(M10^2+N10^2)</f>
        <v>160.09797821843054</v>
      </c>
    </row>
    <row r="11" spans="1:19" ht="15" customHeight="1" x14ac:dyDescent="0.25">
      <c r="A11" s="1"/>
      <c r="B11" s="31" t="s">
        <v>16</v>
      </c>
      <c r="C11" s="2"/>
      <c r="D11" s="3"/>
      <c r="E11" s="4"/>
      <c r="F11" s="4"/>
      <c r="G11" s="5">
        <f>SUM(G10:G10)</f>
        <v>41.199999999999932</v>
      </c>
      <c r="H11" s="6" t="s">
        <v>17</v>
      </c>
      <c r="I11" s="5">
        <v>2137</v>
      </c>
      <c r="J11" s="15">
        <f>G11*I11</f>
        <v>88044.399999999849</v>
      </c>
      <c r="K11" s="4"/>
    </row>
    <row r="12" spans="1:19" x14ac:dyDescent="0.25">
      <c r="A12" s="13"/>
      <c r="B12" s="14"/>
      <c r="C12" s="14"/>
      <c r="D12" s="14"/>
      <c r="E12" s="14"/>
      <c r="F12" s="14"/>
      <c r="G12" s="14"/>
      <c r="H12" s="14"/>
      <c r="I12" s="14"/>
      <c r="J12" s="14"/>
      <c r="K12" s="14"/>
    </row>
    <row r="13" spans="1:19" x14ac:dyDescent="0.25">
      <c r="A13" s="18"/>
      <c r="B13" s="19" t="s">
        <v>18</v>
      </c>
      <c r="C13" s="20"/>
      <c r="D13" s="21"/>
      <c r="E13" s="21"/>
      <c r="F13" s="21"/>
      <c r="G13" s="15"/>
      <c r="H13" s="15"/>
      <c r="I13" s="15"/>
      <c r="J13" s="15">
        <f>SUM(J9:J12)</f>
        <v>88044.399999999849</v>
      </c>
      <c r="K13" s="22"/>
    </row>
    <row r="14" spans="1:19" x14ac:dyDescent="0.25">
      <c r="M14" s="17"/>
      <c r="N14" s="17"/>
      <c r="O14" s="17"/>
      <c r="P14" s="17"/>
      <c r="Q14" s="17"/>
      <c r="R14" s="17"/>
      <c r="S14" s="17"/>
    </row>
    <row r="15" spans="1:19" s="17" customFormat="1" x14ac:dyDescent="0.25">
      <c r="A15" s="23"/>
      <c r="B15" s="24" t="s">
        <v>32</v>
      </c>
      <c r="C15" s="39">
        <f>J13</f>
        <v>88044.399999999849</v>
      </c>
      <c r="D15" s="40"/>
      <c r="E15" s="23"/>
      <c r="F15" s="25"/>
      <c r="G15" s="23"/>
      <c r="H15" s="26"/>
      <c r="I15" s="27"/>
      <c r="J15" s="28"/>
      <c r="L15" s="16"/>
      <c r="M15" s="16"/>
      <c r="N15" s="16"/>
      <c r="O15" s="16"/>
      <c r="P15" s="16"/>
      <c r="Q15" s="16"/>
      <c r="R15" s="16"/>
    </row>
    <row r="16" spans="1:19" x14ac:dyDescent="0.25">
      <c r="B16" s="24" t="s">
        <v>20</v>
      </c>
      <c r="C16" s="43">
        <f>0.13*C15</f>
        <v>11445.771999999981</v>
      </c>
      <c r="D16" s="43"/>
    </row>
    <row r="17" spans="2:4" x14ac:dyDescent="0.25">
      <c r="B17" s="24" t="s">
        <v>21</v>
      </c>
      <c r="C17" s="39">
        <f>SUM(C15:D16)</f>
        <v>99490.171999999831</v>
      </c>
      <c r="D17" s="40"/>
    </row>
  </sheetData>
  <mergeCells count="13">
    <mergeCell ref="C17:D17"/>
    <mergeCell ref="A7:F7"/>
    <mergeCell ref="H7:K7"/>
    <mergeCell ref="C15:D15"/>
    <mergeCell ref="C16:D16"/>
    <mergeCell ref="K9:K10"/>
    <mergeCell ref="A6:F6"/>
    <mergeCell ref="H6:K6"/>
    <mergeCell ref="A1:K1"/>
    <mergeCell ref="A2:K2"/>
    <mergeCell ref="A3:K3"/>
    <mergeCell ref="A4:K4"/>
    <mergeCell ref="A5:K5"/>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30987-0062-4670-91A4-DC9D784CE3C0}">
  <dimension ref="A1:S17"/>
  <sheetViews>
    <sheetView view="pageBreakPreview" zoomScale="95" zoomScaleNormal="90" zoomScaleSheetLayoutView="95" workbookViewId="0">
      <selection activeCell="A6" sqref="A6:F6"/>
    </sheetView>
  </sheetViews>
  <sheetFormatPr defaultColWidth="9.140625" defaultRowHeight="15" x14ac:dyDescent="0.25"/>
  <cols>
    <col min="1" max="1" width="4.7109375" style="16" customWidth="1"/>
    <col min="2" max="2" width="30.85546875" style="16" customWidth="1"/>
    <col min="3" max="3" width="4.42578125" style="16" bestFit="1" customWidth="1"/>
    <col min="4" max="4" width="8.42578125" style="16" customWidth="1"/>
    <col min="5" max="5" width="8.5703125" style="16" customWidth="1"/>
    <col min="6" max="6" width="7.28515625" style="16" customWidth="1"/>
    <col min="7" max="7" width="9.140625" style="16"/>
    <col min="8" max="8" width="5" style="16" bestFit="1" customWidth="1"/>
    <col min="9" max="9" width="9.5703125" style="16" bestFit="1" customWidth="1"/>
    <col min="10" max="10" width="10.7109375" style="16" bestFit="1" customWidth="1"/>
    <col min="11" max="12" width="9.140625" style="16"/>
    <col min="13" max="16" width="0" style="16" hidden="1" customWidth="1"/>
    <col min="17" max="16384" width="9.140625" style="16"/>
  </cols>
  <sheetData>
    <row r="1" spans="1:19" x14ac:dyDescent="0.25">
      <c r="A1" s="35" t="s">
        <v>0</v>
      </c>
      <c r="B1" s="35"/>
      <c r="C1" s="35"/>
      <c r="D1" s="35"/>
      <c r="E1" s="35"/>
      <c r="F1" s="35"/>
      <c r="G1" s="35"/>
      <c r="H1" s="35"/>
      <c r="I1" s="35"/>
      <c r="J1" s="35"/>
      <c r="K1" s="35"/>
    </row>
    <row r="2" spans="1:19" ht="22.5" x14ac:dyDescent="0.25">
      <c r="A2" s="36" t="s">
        <v>1</v>
      </c>
      <c r="B2" s="36"/>
      <c r="C2" s="36"/>
      <c r="D2" s="36"/>
      <c r="E2" s="36"/>
      <c r="F2" s="36"/>
      <c r="G2" s="36"/>
      <c r="H2" s="36"/>
      <c r="I2" s="36"/>
      <c r="J2" s="36"/>
      <c r="K2" s="36"/>
    </row>
    <row r="3" spans="1:19" x14ac:dyDescent="0.25">
      <c r="A3" s="37" t="s">
        <v>2</v>
      </c>
      <c r="B3" s="37"/>
      <c r="C3" s="37"/>
      <c r="D3" s="37"/>
      <c r="E3" s="37"/>
      <c r="F3" s="37"/>
      <c r="G3" s="37"/>
      <c r="H3" s="37"/>
      <c r="I3" s="37"/>
      <c r="J3" s="37"/>
      <c r="K3" s="37"/>
    </row>
    <row r="4" spans="1:19" x14ac:dyDescent="0.25">
      <c r="A4" s="37" t="s">
        <v>3</v>
      </c>
      <c r="B4" s="37"/>
      <c r="C4" s="37"/>
      <c r="D4" s="37"/>
      <c r="E4" s="37"/>
      <c r="F4" s="37"/>
      <c r="G4" s="37"/>
      <c r="H4" s="37"/>
      <c r="I4" s="37"/>
      <c r="J4" s="37"/>
      <c r="K4" s="37"/>
    </row>
    <row r="5" spans="1:19" ht="18.75" x14ac:dyDescent="0.3">
      <c r="A5" s="38" t="s">
        <v>31</v>
      </c>
      <c r="B5" s="38"/>
      <c r="C5" s="38"/>
      <c r="D5" s="38"/>
      <c r="E5" s="38"/>
      <c r="F5" s="38"/>
      <c r="G5" s="38"/>
      <c r="H5" s="38"/>
      <c r="I5" s="38"/>
      <c r="J5" s="38"/>
      <c r="K5" s="38"/>
    </row>
    <row r="6" spans="1:19" ht="15.75" x14ac:dyDescent="0.25">
      <c r="A6" s="33" t="s">
        <v>28</v>
      </c>
      <c r="B6" s="33"/>
      <c r="C6" s="33"/>
      <c r="D6" s="33"/>
      <c r="E6" s="33"/>
      <c r="F6" s="33"/>
      <c r="G6" s="7"/>
      <c r="H6" s="34" t="s">
        <v>19</v>
      </c>
      <c r="I6" s="34"/>
      <c r="J6" s="34"/>
      <c r="K6" s="34"/>
    </row>
    <row r="7" spans="1:19" ht="15.75" x14ac:dyDescent="0.25">
      <c r="A7" s="41" t="s">
        <v>4</v>
      </c>
      <c r="B7" s="41"/>
      <c r="C7" s="41"/>
      <c r="D7" s="41"/>
      <c r="E7" s="41"/>
      <c r="F7" s="41"/>
      <c r="G7" s="8"/>
      <c r="H7" s="42" t="s">
        <v>26</v>
      </c>
      <c r="I7" s="42"/>
      <c r="J7" s="42"/>
      <c r="K7" s="42"/>
    </row>
    <row r="8" spans="1:19" ht="15.75" x14ac:dyDescent="0.25">
      <c r="A8" s="9" t="s">
        <v>5</v>
      </c>
      <c r="B8" s="10" t="s">
        <v>6</v>
      </c>
      <c r="C8" s="9" t="s">
        <v>7</v>
      </c>
      <c r="D8" s="11" t="s">
        <v>8</v>
      </c>
      <c r="E8" s="11" t="s">
        <v>9</v>
      </c>
      <c r="F8" s="11" t="s">
        <v>10</v>
      </c>
      <c r="G8" s="11" t="s">
        <v>11</v>
      </c>
      <c r="H8" s="9" t="s">
        <v>12</v>
      </c>
      <c r="I8" s="11" t="s">
        <v>13</v>
      </c>
      <c r="J8" s="11" t="s">
        <v>14</v>
      </c>
      <c r="K8" s="12" t="s">
        <v>15</v>
      </c>
    </row>
    <row r="9" spans="1:19" ht="188.25" customHeight="1" x14ac:dyDescent="0.25">
      <c r="A9" s="13">
        <v>1</v>
      </c>
      <c r="B9" s="32" t="s">
        <v>22</v>
      </c>
      <c r="C9" s="14"/>
      <c r="D9" s="44" t="s">
        <v>24</v>
      </c>
      <c r="E9" s="44" t="s">
        <v>25</v>
      </c>
      <c r="F9" s="14"/>
      <c r="G9" s="44" t="s">
        <v>30</v>
      </c>
      <c r="H9" s="14"/>
      <c r="I9" s="14"/>
      <c r="J9" s="14"/>
      <c r="K9" s="45" t="s">
        <v>27</v>
      </c>
    </row>
    <row r="10" spans="1:19" x14ac:dyDescent="0.25">
      <c r="A10" s="13"/>
      <c r="B10" s="29" t="s">
        <v>23</v>
      </c>
      <c r="C10" s="14">
        <v>1</v>
      </c>
      <c r="D10" s="30">
        <v>7391.9</v>
      </c>
      <c r="E10" s="30">
        <v>7427.4</v>
      </c>
      <c r="F10" s="30"/>
      <c r="G10" s="30">
        <f>E10-D10</f>
        <v>35.5</v>
      </c>
      <c r="H10" s="14"/>
      <c r="I10" s="14"/>
      <c r="J10" s="14"/>
      <c r="K10" s="46"/>
      <c r="M10" s="30">
        <f>7</f>
        <v>7</v>
      </c>
      <c r="N10" s="30">
        <f>2</f>
        <v>2</v>
      </c>
      <c r="O10" s="30"/>
      <c r="P10" s="30">
        <f>PI()*M10*SQRT(M10^2+N10^2)</f>
        <v>160.09797821843054</v>
      </c>
    </row>
    <row r="11" spans="1:19" ht="15" customHeight="1" x14ac:dyDescent="0.25">
      <c r="A11" s="1"/>
      <c r="B11" s="31" t="s">
        <v>16</v>
      </c>
      <c r="C11" s="2"/>
      <c r="D11" s="3"/>
      <c r="E11" s="4"/>
      <c r="F11" s="4"/>
      <c r="G11" s="5">
        <f>SUM(G10:G10)</f>
        <v>35.5</v>
      </c>
      <c r="H11" s="6" t="s">
        <v>17</v>
      </c>
      <c r="I11" s="5">
        <v>2137</v>
      </c>
      <c r="J11" s="15">
        <f>G11*I11</f>
        <v>75863.5</v>
      </c>
      <c r="K11" s="4"/>
    </row>
    <row r="12" spans="1:19" x14ac:dyDescent="0.25">
      <c r="A12" s="13"/>
      <c r="B12" s="14"/>
      <c r="C12" s="14"/>
      <c r="D12" s="14"/>
      <c r="E12" s="14"/>
      <c r="F12" s="14"/>
      <c r="G12" s="14"/>
      <c r="H12" s="14"/>
      <c r="I12" s="14"/>
      <c r="J12" s="14"/>
      <c r="K12" s="14"/>
    </row>
    <row r="13" spans="1:19" x14ac:dyDescent="0.25">
      <c r="A13" s="18"/>
      <c r="B13" s="19" t="s">
        <v>18</v>
      </c>
      <c r="C13" s="20"/>
      <c r="D13" s="21"/>
      <c r="E13" s="21"/>
      <c r="F13" s="21"/>
      <c r="G13" s="15"/>
      <c r="H13" s="15"/>
      <c r="I13" s="15"/>
      <c r="J13" s="15">
        <f>SUM(J9:J12)</f>
        <v>75863.5</v>
      </c>
      <c r="K13" s="22"/>
    </row>
    <row r="14" spans="1:19" x14ac:dyDescent="0.25">
      <c r="M14" s="17"/>
      <c r="N14" s="17"/>
      <c r="O14" s="17"/>
      <c r="P14" s="17"/>
      <c r="Q14" s="17"/>
      <c r="R14" s="17"/>
      <c r="S14" s="17"/>
    </row>
    <row r="15" spans="1:19" s="17" customFormat="1" x14ac:dyDescent="0.25">
      <c r="A15" s="23"/>
      <c r="B15" s="24" t="s">
        <v>32</v>
      </c>
      <c r="C15" s="39">
        <f>J13</f>
        <v>75863.5</v>
      </c>
      <c r="D15" s="40"/>
      <c r="E15" s="23"/>
      <c r="F15" s="25"/>
      <c r="G15" s="23"/>
      <c r="H15" s="26"/>
      <c r="I15" s="27"/>
      <c r="J15" s="28"/>
      <c r="L15" s="16"/>
      <c r="M15" s="16"/>
      <c r="N15" s="16"/>
      <c r="O15" s="16"/>
      <c r="P15" s="16"/>
      <c r="Q15" s="16"/>
      <c r="R15" s="16"/>
    </row>
    <row r="16" spans="1:19" x14ac:dyDescent="0.25">
      <c r="B16" s="24" t="s">
        <v>20</v>
      </c>
      <c r="C16" s="43">
        <f>0.13*C15</f>
        <v>9862.255000000001</v>
      </c>
      <c r="D16" s="43"/>
    </row>
    <row r="17" spans="2:4" x14ac:dyDescent="0.25">
      <c r="B17" s="24" t="s">
        <v>21</v>
      </c>
      <c r="C17" s="39">
        <f>SUM(C15:D16)</f>
        <v>85725.755000000005</v>
      </c>
      <c r="D17" s="40"/>
    </row>
  </sheetData>
  <mergeCells count="13">
    <mergeCell ref="A7:F7"/>
    <mergeCell ref="H7:K7"/>
    <mergeCell ref="C15:D15"/>
    <mergeCell ref="C16:D16"/>
    <mergeCell ref="C17:D17"/>
    <mergeCell ref="K9:K10"/>
    <mergeCell ref="A1:K1"/>
    <mergeCell ref="A2:K2"/>
    <mergeCell ref="A3:K3"/>
    <mergeCell ref="A4:K4"/>
    <mergeCell ref="A5:K5"/>
    <mergeCell ref="A6:F6"/>
    <mergeCell ref="H6:K6"/>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estimate (1)</vt:lpstr>
      <vt:lpstr>estimate (2)</vt:lpstr>
      <vt:lpstr>'estimate (1)'!Print_Area</vt:lpstr>
      <vt:lpstr>'estimate (2)'!Print_Area</vt:lpstr>
      <vt:lpstr>'estimate (1)'!Print_Titles</vt:lpstr>
      <vt:lpstr>'estimate (2)'!Print_Titles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2025-11-07T07:16:38Z</dcterms:modified>
</cp:coreProperties>
</file>