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193A54B1-9084-4166-8AC0-611B34F6041D}" xr6:coauthVersionLast="47" xr6:coauthVersionMax="47" xr10:uidLastSave="{00000000-0000-0000-0000-000000000000}"/>
  <bookViews>
    <workbookView xWindow="-120" yWindow="-120" windowWidth="20730" windowHeight="11040" xr2:uid="{00000000-000D-0000-FFFF-FFFF00000000}"/>
  </bookViews>
  <sheets>
    <sheet name="estimate (2)" sheetId="14" r:id="rId1"/>
    <sheet name="Valuation" sheetId="15"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 (2)'!$A$1:$K$18</definedName>
    <definedName name="_xlnm.Print_Area" localSheetId="1">Valuation!$A$1:$K$18</definedName>
    <definedName name="_xlnm.Print_Titles" localSheetId="0">'estimate (2)'!$1:$8</definedName>
    <definedName name="_xlnm.Print_Titles" localSheetId="1">Valuation!$1:$8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5" l="1"/>
  <c r="J12" i="15" s="1"/>
  <c r="J14" i="15" s="1"/>
  <c r="C16" i="15" s="1"/>
  <c r="P10" i="15"/>
  <c r="N10" i="15"/>
  <c r="M10" i="15"/>
  <c r="G10" i="15"/>
  <c r="N10" i="14"/>
  <c r="M10" i="14"/>
  <c r="P10" i="14" s="1"/>
  <c r="G10" i="14"/>
  <c r="G12" i="14" s="1"/>
  <c r="J12" i="14" s="1"/>
  <c r="J14" i="14" s="1"/>
  <c r="C16" i="14" s="1"/>
  <c r="C17" i="15" l="1"/>
  <c r="C18" i="15"/>
  <c r="C17" i="14"/>
  <c r="C18" i="14"/>
</calcChain>
</file>

<file path=xl/sharedStrings.xml><?xml version="1.0" encoding="utf-8"?>
<sst xmlns="http://schemas.openxmlformats.org/spreadsheetml/2006/main" count="64" uniqueCount="35">
  <si>
    <t>Government of Nepal</t>
  </si>
  <si>
    <t>Shankharapur Municipality Office</t>
  </si>
  <si>
    <t>Bagmati Province</t>
  </si>
  <si>
    <t>Sankhu, Kathmandu</t>
  </si>
  <si>
    <t>Location:- Shankharapur Municipality 9</t>
  </si>
  <si>
    <t>S.N.</t>
  </si>
  <si>
    <t>Description of work</t>
  </si>
  <si>
    <t>No.</t>
  </si>
  <si>
    <t>Length</t>
  </si>
  <si>
    <t>Breadth</t>
  </si>
  <si>
    <t>Height</t>
  </si>
  <si>
    <t>Quantity</t>
  </si>
  <si>
    <t>Unit</t>
  </si>
  <si>
    <t>Rate</t>
  </si>
  <si>
    <t>Amount</t>
  </si>
  <si>
    <t>Remark</t>
  </si>
  <si>
    <t>Sub-total</t>
  </si>
  <si>
    <t>m3</t>
  </si>
  <si>
    <t>Total</t>
  </si>
  <si>
    <t>F.Y.: 2082/2083</t>
  </si>
  <si>
    <t>13% VAT</t>
  </si>
  <si>
    <t>Grand Total</t>
  </si>
  <si>
    <t>Earthwork Excavation in Cutting., Roadway Excavation in all types of Soil by Mechanical  Means ., Road way Excavation in  all types of soil as per Drawing and technical specifications  including  removal of stumps and other deleterious matter and backfilling, levelling, clearance and maintainance of road all lifts and lead as per Drawing and instruction of the Engineer.</t>
  </si>
  <si>
    <t>-For road clearance</t>
  </si>
  <si>
    <t>as per approved log sheet paper attached herewith</t>
  </si>
  <si>
    <t>Project:-बाटो सरसफाई तथा मर्मत कार्य (बा २ क ७०६८)</t>
  </si>
  <si>
    <t>Total metered hours (hrs.)</t>
  </si>
  <si>
    <t>Detail Valuated Sheet</t>
  </si>
  <si>
    <t>Total Valuated</t>
  </si>
  <si>
    <t>Meter Reading at Start (hrs.)</t>
  </si>
  <si>
    <t>Meter reading at Stop (hrs.)</t>
  </si>
  <si>
    <t>Date: 2082/07/24</t>
  </si>
  <si>
    <t>Detail Estimated Sheet</t>
  </si>
  <si>
    <t>Total Estimated</t>
  </si>
  <si>
    <t>Date: 2082/07/11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</si>
</sst>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9">
    <xf numFmtId="0" fontId="0" fillId="0" borderId="0" xfId="0"/>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0" fontId="4" fillId="0" borderId="2" xfId="0" applyFont="1" applyBorder="1" applyAlignment="1">
      <alignment wrapText="1"/>
    </xf>
    <xf numFmtId="0" fontId="4" fillId="0" borderId="6" xfId="0" applyFont="1" applyBorder="1" applyAlignment="1">
      <alignment horizont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2" xfId="0" applyNumberFormat="1" applyFont="1" applyBorder="1" applyAlignment="1">
      <alignment horizontal="center" vertical="center"/>
    </xf>
    <xf numFmtId="0" fontId="4" fillId="0" borderId="5" xfId="0" applyFont="1" applyBorder="1" applyAlignment="1">
      <alignment horizontal="center" wrapText="1"/>
    </xf>
    <xf numFmtId="0" fontId="4" fillId="0" borderId="6" xfId="0" applyFont="1" applyBorder="1" applyAlignment="1">
      <alignment horizontal="center" wrapText="1"/>
    </xf>
    <xf numFmtId="2" fontId="4" fillId="0" borderId="0"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0987-0062-4670-91A4-DC9D784CE3C0}">
  <dimension ref="A1:S18"/>
  <sheetViews>
    <sheetView tabSelected="1" view="pageBreakPreview" topLeftCell="A4" zoomScale="95" zoomScaleNormal="90" zoomScaleSheetLayoutView="95" workbookViewId="0">
      <selection activeCell="G9" sqref="G9"/>
    </sheetView>
  </sheetViews>
  <sheetFormatPr defaultColWidth="9.140625" defaultRowHeight="15" x14ac:dyDescent="0.25"/>
  <cols>
    <col min="1" max="1" width="4.7109375" style="16" customWidth="1"/>
    <col min="2" max="2" width="30.85546875" style="16" customWidth="1"/>
    <col min="3" max="3" width="4.42578125" style="16" bestFit="1" customWidth="1"/>
    <col min="4" max="4" width="8.42578125" style="16" customWidth="1"/>
    <col min="5" max="5" width="8.5703125" style="16" customWidth="1"/>
    <col min="6" max="6" width="7.28515625" style="16" customWidth="1"/>
    <col min="7" max="7" width="9.140625" style="16"/>
    <col min="8" max="8" width="5" style="16" bestFit="1" customWidth="1"/>
    <col min="9" max="9" width="9.5703125" style="16" bestFit="1" customWidth="1"/>
    <col min="10" max="10" width="10.7109375" style="16" bestFit="1" customWidth="1"/>
    <col min="11" max="12" width="9.140625" style="16"/>
    <col min="13" max="16" width="0" style="16" hidden="1" customWidth="1"/>
    <col min="17" max="16384" width="9.140625" style="16"/>
  </cols>
  <sheetData>
    <row r="1" spans="1:19" x14ac:dyDescent="0.25">
      <c r="A1" s="37" t="s">
        <v>0</v>
      </c>
      <c r="B1" s="37"/>
      <c r="C1" s="37"/>
      <c r="D1" s="37"/>
      <c r="E1" s="37"/>
      <c r="F1" s="37"/>
      <c r="G1" s="37"/>
      <c r="H1" s="37"/>
      <c r="I1" s="37"/>
      <c r="J1" s="37"/>
      <c r="K1" s="37"/>
    </row>
    <row r="2" spans="1:19" ht="22.5" x14ac:dyDescent="0.25">
      <c r="A2" s="38" t="s">
        <v>1</v>
      </c>
      <c r="B2" s="38"/>
      <c r="C2" s="38"/>
      <c r="D2" s="38"/>
      <c r="E2" s="38"/>
      <c r="F2" s="38"/>
      <c r="G2" s="38"/>
      <c r="H2" s="38"/>
      <c r="I2" s="38"/>
      <c r="J2" s="38"/>
      <c r="K2" s="38"/>
    </row>
    <row r="3" spans="1:19" x14ac:dyDescent="0.25">
      <c r="A3" s="39" t="s">
        <v>2</v>
      </c>
      <c r="B3" s="39"/>
      <c r="C3" s="39"/>
      <c r="D3" s="39"/>
      <c r="E3" s="39"/>
      <c r="F3" s="39"/>
      <c r="G3" s="39"/>
      <c r="H3" s="39"/>
      <c r="I3" s="39"/>
      <c r="J3" s="39"/>
      <c r="K3" s="39"/>
    </row>
    <row r="4" spans="1:19" x14ac:dyDescent="0.25">
      <c r="A4" s="39" t="s">
        <v>3</v>
      </c>
      <c r="B4" s="39"/>
      <c r="C4" s="39"/>
      <c r="D4" s="39"/>
      <c r="E4" s="39"/>
      <c r="F4" s="39"/>
      <c r="G4" s="39"/>
      <c r="H4" s="39"/>
      <c r="I4" s="39"/>
      <c r="J4" s="39"/>
      <c r="K4" s="39"/>
    </row>
    <row r="5" spans="1:19" ht="18.75" x14ac:dyDescent="0.3">
      <c r="A5" s="40" t="s">
        <v>32</v>
      </c>
      <c r="B5" s="40"/>
      <c r="C5" s="40"/>
      <c r="D5" s="40"/>
      <c r="E5" s="40"/>
      <c r="F5" s="40"/>
      <c r="G5" s="40"/>
      <c r="H5" s="40"/>
      <c r="I5" s="40"/>
      <c r="J5" s="40"/>
      <c r="K5" s="40"/>
    </row>
    <row r="6" spans="1:19" ht="15.75" x14ac:dyDescent="0.25">
      <c r="A6" s="35" t="s">
        <v>25</v>
      </c>
      <c r="B6" s="35"/>
      <c r="C6" s="35"/>
      <c r="D6" s="35"/>
      <c r="E6" s="35"/>
      <c r="F6" s="35"/>
      <c r="G6" s="7"/>
      <c r="H6" s="36" t="s">
        <v>19</v>
      </c>
      <c r="I6" s="36"/>
      <c r="J6" s="36"/>
      <c r="K6" s="36"/>
    </row>
    <row r="7" spans="1:19" ht="15.75" x14ac:dyDescent="0.25">
      <c r="A7" s="43" t="s">
        <v>4</v>
      </c>
      <c r="B7" s="43"/>
      <c r="C7" s="43"/>
      <c r="D7" s="43"/>
      <c r="E7" s="43"/>
      <c r="F7" s="43"/>
      <c r="G7" s="8"/>
      <c r="H7" s="44" t="s">
        <v>34</v>
      </c>
      <c r="I7" s="44"/>
      <c r="J7" s="44"/>
      <c r="K7" s="44"/>
    </row>
    <row r="8" spans="1:19" ht="15.75" x14ac:dyDescent="0.25">
      <c r="A8" s="9" t="s">
        <v>5</v>
      </c>
      <c r="B8" s="10" t="s">
        <v>6</v>
      </c>
      <c r="C8" s="9" t="s">
        <v>7</v>
      </c>
      <c r="D8" s="11" t="s">
        <v>8</v>
      </c>
      <c r="E8" s="11" t="s">
        <v>9</v>
      </c>
      <c r="F8" s="11" t="s">
        <v>10</v>
      </c>
      <c r="G8" s="11" t="s">
        <v>11</v>
      </c>
      <c r="H8" s="9" t="s">
        <v>12</v>
      </c>
      <c r="I8" s="11" t="s">
        <v>13</v>
      </c>
      <c r="J8" s="11" t="s">
        <v>14</v>
      </c>
      <c r="K8" s="12" t="s">
        <v>15</v>
      </c>
    </row>
    <row r="9" spans="1:19" ht="188.25" customHeight="1" x14ac:dyDescent="0.25">
      <c r="A9" s="13">
        <v>1</v>
      </c>
      <c r="B9" s="32" t="s">
        <v>22</v>
      </c>
      <c r="C9" s="14"/>
      <c r="D9" s="33" t="s">
        <v>29</v>
      </c>
      <c r="E9" s="33" t="s">
        <v>30</v>
      </c>
      <c r="F9" s="14"/>
      <c r="G9" s="33" t="s">
        <v>26</v>
      </c>
      <c r="H9" s="14"/>
      <c r="I9" s="14"/>
      <c r="J9" s="14"/>
      <c r="K9" s="46" t="s">
        <v>24</v>
      </c>
    </row>
    <row r="10" spans="1:19" x14ac:dyDescent="0.25">
      <c r="A10" s="13"/>
      <c r="B10" s="29" t="s">
        <v>23</v>
      </c>
      <c r="C10" s="14">
        <v>1</v>
      </c>
      <c r="D10" s="30">
        <v>7391.9</v>
      </c>
      <c r="E10" s="30">
        <v>7427.4</v>
      </c>
      <c r="F10" s="30"/>
      <c r="G10" s="30">
        <f>E10-D10</f>
        <v>35.5</v>
      </c>
      <c r="H10" s="14"/>
      <c r="I10" s="14"/>
      <c r="J10" s="14"/>
      <c r="K10" s="47"/>
      <c r="M10" s="30">
        <f>7</f>
        <v>7</v>
      </c>
      <c r="N10" s="30">
        <f>2</f>
        <v>2</v>
      </c>
      <c r="O10" s="30"/>
      <c r="P10" s="30">
        <f>PI()*M10*SQRT(M10^2+N10^2)</f>
        <v>160.09797821843054</v>
      </c>
    </row>
    <row r="11" spans="1:19" x14ac:dyDescent="0.25">
      <c r="A11" s="13"/>
      <c r="B11" s="29"/>
      <c r="C11" s="14"/>
      <c r="D11" s="30"/>
      <c r="E11" s="30"/>
      <c r="F11" s="30"/>
      <c r="G11" s="30"/>
      <c r="H11" s="14"/>
      <c r="I11" s="14"/>
      <c r="J11" s="14"/>
      <c r="K11" s="34"/>
      <c r="M11" s="48"/>
      <c r="N11" s="48"/>
      <c r="O11" s="48"/>
      <c r="P11" s="48"/>
    </row>
    <row r="12" spans="1:19" ht="15" customHeight="1" x14ac:dyDescent="0.25">
      <c r="A12" s="1"/>
      <c r="B12" s="31" t="s">
        <v>16</v>
      </c>
      <c r="C12" s="2"/>
      <c r="D12" s="3"/>
      <c r="E12" s="4"/>
      <c r="F12" s="4"/>
      <c r="G12" s="5">
        <f>SUM(G10:G10)</f>
        <v>35.5</v>
      </c>
      <c r="H12" s="6" t="s">
        <v>17</v>
      </c>
      <c r="I12" s="5">
        <v>2137</v>
      </c>
      <c r="J12" s="15">
        <f>G12*I12</f>
        <v>75863.5</v>
      </c>
      <c r="K12" s="4"/>
    </row>
    <row r="13" spans="1:19" x14ac:dyDescent="0.25">
      <c r="A13" s="13"/>
      <c r="B13" s="14"/>
      <c r="C13" s="14"/>
      <c r="D13" s="14"/>
      <c r="E13" s="14"/>
      <c r="F13" s="14"/>
      <c r="G13" s="14"/>
      <c r="H13" s="14"/>
      <c r="I13" s="14"/>
      <c r="J13" s="14"/>
      <c r="K13" s="14"/>
    </row>
    <row r="14" spans="1:19" x14ac:dyDescent="0.25">
      <c r="A14" s="18"/>
      <c r="B14" s="19" t="s">
        <v>18</v>
      </c>
      <c r="C14" s="20"/>
      <c r="D14" s="21"/>
      <c r="E14" s="21"/>
      <c r="F14" s="21"/>
      <c r="G14" s="15"/>
      <c r="H14" s="15"/>
      <c r="I14" s="15"/>
      <c r="J14" s="15">
        <f>SUM(J9:J13)</f>
        <v>75863.5</v>
      </c>
      <c r="K14" s="22"/>
    </row>
    <row r="15" spans="1:19" x14ac:dyDescent="0.25">
      <c r="M15" s="17"/>
      <c r="N15" s="17"/>
      <c r="O15" s="17"/>
      <c r="P15" s="17"/>
      <c r="Q15" s="17"/>
      <c r="R15" s="17"/>
      <c r="S15" s="17"/>
    </row>
    <row r="16" spans="1:19" s="17" customFormat="1" x14ac:dyDescent="0.25">
      <c r="A16" s="23"/>
      <c r="B16" s="24" t="s">
        <v>33</v>
      </c>
      <c r="C16" s="41">
        <f>J14</f>
        <v>75863.5</v>
      </c>
      <c r="D16" s="42"/>
      <c r="E16" s="23"/>
      <c r="F16" s="25"/>
      <c r="G16" s="23"/>
      <c r="H16" s="26"/>
      <c r="I16" s="27"/>
      <c r="J16" s="28"/>
      <c r="L16" s="16"/>
      <c r="M16" s="16"/>
      <c r="N16" s="16"/>
      <c r="O16" s="16"/>
      <c r="P16" s="16"/>
      <c r="Q16" s="16"/>
      <c r="R16" s="16"/>
    </row>
    <row r="17" spans="2:4" x14ac:dyDescent="0.25">
      <c r="B17" s="24" t="s">
        <v>20</v>
      </c>
      <c r="C17" s="45">
        <f>0.13*C16</f>
        <v>9862.255000000001</v>
      </c>
      <c r="D17" s="45"/>
    </row>
    <row r="18" spans="2:4" x14ac:dyDescent="0.25">
      <c r="B18" s="24" t="s">
        <v>21</v>
      </c>
      <c r="C18" s="41">
        <f>SUM(C16:D17)</f>
        <v>85725.755000000005</v>
      </c>
      <c r="D18" s="42"/>
    </row>
  </sheetData>
  <mergeCells count="13">
    <mergeCell ref="A7:F7"/>
    <mergeCell ref="H7:K7"/>
    <mergeCell ref="C16:D16"/>
    <mergeCell ref="C17:D17"/>
    <mergeCell ref="C18:D18"/>
    <mergeCell ref="K9:K10"/>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9816-E425-45C1-8FEF-D24F117F4870}">
  <dimension ref="A1:S18"/>
  <sheetViews>
    <sheetView view="pageBreakPreview" topLeftCell="A7" zoomScale="95" zoomScaleNormal="90" zoomScaleSheetLayoutView="95" workbookViewId="0">
      <selection activeCell="F9" sqref="F9"/>
    </sheetView>
  </sheetViews>
  <sheetFormatPr defaultColWidth="9.140625" defaultRowHeight="15" x14ac:dyDescent="0.25"/>
  <cols>
    <col min="1" max="1" width="4.7109375" style="16" customWidth="1"/>
    <col min="2" max="2" width="30.85546875" style="16" customWidth="1"/>
    <col min="3" max="3" width="4.42578125" style="16" bestFit="1" customWidth="1"/>
    <col min="4" max="4" width="8.42578125" style="16" customWidth="1"/>
    <col min="5" max="5" width="8.5703125" style="16" customWidth="1"/>
    <col min="6" max="6" width="7.28515625" style="16" customWidth="1"/>
    <col min="7" max="7" width="9.140625" style="16"/>
    <col min="8" max="8" width="5" style="16" bestFit="1" customWidth="1"/>
    <col min="9" max="9" width="9.5703125" style="16" bestFit="1" customWidth="1"/>
    <col min="10" max="10" width="10.7109375" style="16" bestFit="1" customWidth="1"/>
    <col min="11" max="12" width="9.140625" style="16"/>
    <col min="13" max="16" width="0" style="16" hidden="1" customWidth="1"/>
    <col min="17" max="16384" width="9.140625" style="16"/>
  </cols>
  <sheetData>
    <row r="1" spans="1:19" x14ac:dyDescent="0.25">
      <c r="A1" s="37" t="s">
        <v>0</v>
      </c>
      <c r="B1" s="37"/>
      <c r="C1" s="37"/>
      <c r="D1" s="37"/>
      <c r="E1" s="37"/>
      <c r="F1" s="37"/>
      <c r="G1" s="37"/>
      <c r="H1" s="37"/>
      <c r="I1" s="37"/>
      <c r="J1" s="37"/>
      <c r="K1" s="37"/>
    </row>
    <row r="2" spans="1:19" ht="22.5" x14ac:dyDescent="0.25">
      <c r="A2" s="38" t="s">
        <v>1</v>
      </c>
      <c r="B2" s="38"/>
      <c r="C2" s="38"/>
      <c r="D2" s="38"/>
      <c r="E2" s="38"/>
      <c r="F2" s="38"/>
      <c r="G2" s="38"/>
      <c r="H2" s="38"/>
      <c r="I2" s="38"/>
      <c r="J2" s="38"/>
      <c r="K2" s="38"/>
    </row>
    <row r="3" spans="1:19" x14ac:dyDescent="0.25">
      <c r="A3" s="39" t="s">
        <v>2</v>
      </c>
      <c r="B3" s="39"/>
      <c r="C3" s="39"/>
      <c r="D3" s="39"/>
      <c r="E3" s="39"/>
      <c r="F3" s="39"/>
      <c r="G3" s="39"/>
      <c r="H3" s="39"/>
      <c r="I3" s="39"/>
      <c r="J3" s="39"/>
      <c r="K3" s="39"/>
    </row>
    <row r="4" spans="1:19" x14ac:dyDescent="0.25">
      <c r="A4" s="39" t="s">
        <v>3</v>
      </c>
      <c r="B4" s="39"/>
      <c r="C4" s="39"/>
      <c r="D4" s="39"/>
      <c r="E4" s="39"/>
      <c r="F4" s="39"/>
      <c r="G4" s="39"/>
      <c r="H4" s="39"/>
      <c r="I4" s="39"/>
      <c r="J4" s="39"/>
      <c r="K4" s="39"/>
    </row>
    <row r="5" spans="1:19" ht="18.75" x14ac:dyDescent="0.3">
      <c r="A5" s="40" t="s">
        <v>27</v>
      </c>
      <c r="B5" s="40"/>
      <c r="C5" s="40"/>
      <c r="D5" s="40"/>
      <c r="E5" s="40"/>
      <c r="F5" s="40"/>
      <c r="G5" s="40"/>
      <c r="H5" s="40"/>
      <c r="I5" s="40"/>
      <c r="J5" s="40"/>
      <c r="K5" s="40"/>
    </row>
    <row r="6" spans="1:19" ht="15.75" x14ac:dyDescent="0.25">
      <c r="A6" s="35" t="s">
        <v>25</v>
      </c>
      <c r="B6" s="35"/>
      <c r="C6" s="35"/>
      <c r="D6" s="35"/>
      <c r="E6" s="35"/>
      <c r="F6" s="35"/>
      <c r="G6" s="7"/>
      <c r="H6" s="36" t="s">
        <v>19</v>
      </c>
      <c r="I6" s="36"/>
      <c r="J6" s="36"/>
      <c r="K6" s="36"/>
    </row>
    <row r="7" spans="1:19" ht="15.75" x14ac:dyDescent="0.25">
      <c r="A7" s="43" t="s">
        <v>4</v>
      </c>
      <c r="B7" s="43"/>
      <c r="C7" s="43"/>
      <c r="D7" s="43"/>
      <c r="E7" s="43"/>
      <c r="F7" s="43"/>
      <c r="G7" s="8"/>
      <c r="H7" s="44" t="s">
        <v>31</v>
      </c>
      <c r="I7" s="44"/>
      <c r="J7" s="44"/>
      <c r="K7" s="44"/>
    </row>
    <row r="8" spans="1:19" ht="15.75" x14ac:dyDescent="0.25">
      <c r="A8" s="9" t="s">
        <v>5</v>
      </c>
      <c r="B8" s="10" t="s">
        <v>6</v>
      </c>
      <c r="C8" s="9" t="s">
        <v>7</v>
      </c>
      <c r="D8" s="11" t="s">
        <v>8</v>
      </c>
      <c r="E8" s="11" t="s">
        <v>9</v>
      </c>
      <c r="F8" s="11" t="s">
        <v>10</v>
      </c>
      <c r="G8" s="11" t="s">
        <v>11</v>
      </c>
      <c r="H8" s="9" t="s">
        <v>12</v>
      </c>
      <c r="I8" s="11" t="s">
        <v>13</v>
      </c>
      <c r="J8" s="11" t="s">
        <v>14</v>
      </c>
      <c r="K8" s="12" t="s">
        <v>15</v>
      </c>
    </row>
    <row r="9" spans="1:19" ht="188.25" customHeight="1" x14ac:dyDescent="0.25">
      <c r="A9" s="13">
        <v>1</v>
      </c>
      <c r="B9" s="32" t="s">
        <v>22</v>
      </c>
      <c r="C9" s="14"/>
      <c r="D9" s="33" t="s">
        <v>29</v>
      </c>
      <c r="E9" s="33" t="s">
        <v>30</v>
      </c>
      <c r="F9" s="14"/>
      <c r="G9" s="33" t="s">
        <v>26</v>
      </c>
      <c r="H9" s="14"/>
      <c r="I9" s="14"/>
      <c r="J9" s="14"/>
      <c r="K9" s="46" t="s">
        <v>24</v>
      </c>
    </row>
    <row r="10" spans="1:19" x14ac:dyDescent="0.25">
      <c r="A10" s="13"/>
      <c r="B10" s="29" t="s">
        <v>23</v>
      </c>
      <c r="C10" s="14">
        <v>1</v>
      </c>
      <c r="D10" s="30">
        <v>7391.9</v>
      </c>
      <c r="E10" s="30">
        <v>7427.4</v>
      </c>
      <c r="F10" s="30"/>
      <c r="G10" s="30">
        <f>E10-D10</f>
        <v>35.5</v>
      </c>
      <c r="H10" s="14"/>
      <c r="I10" s="14"/>
      <c r="J10" s="14"/>
      <c r="K10" s="47"/>
      <c r="M10" s="30">
        <f>7</f>
        <v>7</v>
      </c>
      <c r="N10" s="30">
        <f>2</f>
        <v>2</v>
      </c>
      <c r="O10" s="30"/>
      <c r="P10" s="30">
        <f>PI()*M10*SQRT(M10^2+N10^2)</f>
        <v>160.09797821843054</v>
      </c>
    </row>
    <row r="11" spans="1:19" x14ac:dyDescent="0.25">
      <c r="A11" s="13"/>
      <c r="B11" s="29"/>
      <c r="C11" s="14"/>
      <c r="D11" s="30"/>
      <c r="E11" s="30"/>
      <c r="F11" s="30"/>
      <c r="G11" s="30"/>
      <c r="H11" s="14"/>
      <c r="I11" s="14"/>
      <c r="J11" s="14"/>
      <c r="K11" s="34"/>
      <c r="M11" s="48"/>
      <c r="N11" s="48"/>
      <c r="O11" s="48"/>
      <c r="P11" s="48"/>
    </row>
    <row r="12" spans="1:19" ht="15" customHeight="1" x14ac:dyDescent="0.25">
      <c r="A12" s="1"/>
      <c r="B12" s="31" t="s">
        <v>16</v>
      </c>
      <c r="C12" s="2"/>
      <c r="D12" s="3"/>
      <c r="E12" s="4"/>
      <c r="F12" s="4"/>
      <c r="G12" s="5">
        <f>SUM(G10:G10)</f>
        <v>35.5</v>
      </c>
      <c r="H12" s="6" t="s">
        <v>17</v>
      </c>
      <c r="I12" s="5">
        <v>2137</v>
      </c>
      <c r="J12" s="15">
        <f>G12*I12</f>
        <v>75863.5</v>
      </c>
      <c r="K12" s="4"/>
    </row>
    <row r="13" spans="1:19" x14ac:dyDescent="0.25">
      <c r="A13" s="13"/>
      <c r="B13" s="14"/>
      <c r="C13" s="14"/>
      <c r="D13" s="14"/>
      <c r="E13" s="14"/>
      <c r="F13" s="14"/>
      <c r="G13" s="14"/>
      <c r="H13" s="14"/>
      <c r="I13" s="14"/>
      <c r="J13" s="14"/>
      <c r="K13" s="14"/>
    </row>
    <row r="14" spans="1:19" x14ac:dyDescent="0.25">
      <c r="A14" s="18"/>
      <c r="B14" s="19" t="s">
        <v>18</v>
      </c>
      <c r="C14" s="20"/>
      <c r="D14" s="21"/>
      <c r="E14" s="21"/>
      <c r="F14" s="21"/>
      <c r="G14" s="15"/>
      <c r="H14" s="15"/>
      <c r="I14" s="15"/>
      <c r="J14" s="15">
        <f>SUM(J9:J13)</f>
        <v>75863.5</v>
      </c>
      <c r="K14" s="22"/>
    </row>
    <row r="15" spans="1:19" x14ac:dyDescent="0.25">
      <c r="M15" s="17"/>
      <c r="N15" s="17"/>
      <c r="O15" s="17"/>
      <c r="P15" s="17"/>
      <c r="Q15" s="17"/>
      <c r="R15" s="17"/>
      <c r="S15" s="17"/>
    </row>
    <row r="16" spans="1:19" s="17" customFormat="1" x14ac:dyDescent="0.25">
      <c r="A16" s="23"/>
      <c r="B16" s="24" t="s">
        <v>28</v>
      </c>
      <c r="C16" s="41">
        <f>J14</f>
        <v>75863.5</v>
      </c>
      <c r="D16" s="42"/>
      <c r="E16" s="23"/>
      <c r="F16" s="25"/>
      <c r="G16" s="23"/>
      <c r="H16" s="26"/>
      <c r="I16" s="27"/>
      <c r="J16" s="28"/>
      <c r="L16" s="16"/>
      <c r="M16" s="16"/>
      <c r="N16" s="16"/>
      <c r="O16" s="16"/>
      <c r="P16" s="16"/>
      <c r="Q16" s="16"/>
      <c r="R16" s="16"/>
    </row>
    <row r="17" spans="2:4" x14ac:dyDescent="0.25">
      <c r="B17" s="24" t="s">
        <v>20</v>
      </c>
      <c r="C17" s="45">
        <f>0.13*C16</f>
        <v>9862.255000000001</v>
      </c>
      <c r="D17" s="45"/>
    </row>
    <row r="18" spans="2:4" x14ac:dyDescent="0.25">
      <c r="B18" s="24" t="s">
        <v>21</v>
      </c>
      <c r="C18" s="41">
        <f>SUM(C16:D17)</f>
        <v>85725.755000000005</v>
      </c>
      <c r="D18" s="42"/>
    </row>
  </sheetData>
  <mergeCells count="13">
    <mergeCell ref="A7:F7"/>
    <mergeCell ref="H7:K7"/>
    <mergeCell ref="K9:K10"/>
    <mergeCell ref="C16:D16"/>
    <mergeCell ref="C17:D17"/>
    <mergeCell ref="C18:D18"/>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 (2)</vt:lpstr>
      <vt:lpstr>Valuation</vt:lpstr>
      <vt:lpstr>'estimate (2)'!Print_Area</vt:lpstr>
      <vt:lpstr>Valuation!Print_Area</vt:lpstr>
      <vt:lpstr>'estimate (2)'!Print_Titles</vt:lpstr>
      <vt:lpstr>Valuation!Print_Titles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2025-11-30T07:49:28Z</dcterms:modified>
</cp:coreProperties>
</file>