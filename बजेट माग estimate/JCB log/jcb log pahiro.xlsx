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2082_2083\बजेट माग estimate\JCB log\"/>
    </mc:Choice>
  </mc:AlternateContent>
  <xr:revisionPtr revIDLastSave="0" documentId="13_ncr:1_{F4D98C33-D610-463C-B16A-406836E9098F}" xr6:coauthVersionLast="47" xr6:coauthVersionMax="47" xr10:uidLastSave="{00000000-0000-0000-0000-000000000000}"/>
  <bookViews>
    <workbookView xWindow="-120" yWindow="-120" windowWidth="20730" windowHeight="11040" firstSheet="3" activeTab="11" xr2:uid="{00000000-000D-0000-FFFF-FFFF00000000}"/>
  </bookViews>
  <sheets>
    <sheet name="ESTIMATE (3)" sheetId="1" state="hidden" r:id="rId1"/>
    <sheet name="all" sheetId="3" state="hidden" r:id="rId2"/>
    <sheet name="month 3" sheetId="4" state="hidden" r:id="rId3"/>
    <sheet name="1" sheetId="5" r:id="rId4"/>
    <sheet name="2" sheetId="6" r:id="rId5"/>
    <sheet name="3" sheetId="7" r:id="rId6"/>
    <sheet name="4" sheetId="8" r:id="rId7"/>
    <sheet name="5" sheetId="9" r:id="rId8"/>
    <sheet name="6" sheetId="10" r:id="rId9"/>
    <sheet name="7" sheetId="11" r:id="rId10"/>
    <sheet name="8" sheetId="12" r:id="rId11"/>
    <sheet name="9" sheetId="13" r:id="rId12"/>
    <sheet name="month 4 and 5" sheetId="14" state="hidden" r:id="rId13"/>
  </sheets>
  <externalReferences>
    <externalReference r:id="rId14"/>
    <externalReference r:id="rId15"/>
    <externalReference r:id="rId16"/>
    <externalReference r:id="rId17"/>
    <externalReference r:id="rId18"/>
    <externalReference r:id="rId19"/>
  </externalReferences>
  <definedNames>
    <definedName name="adopted_rate_aggregate_10_20_mm">[1]District_Rate!$L$6</definedName>
    <definedName name="adopted_rate_aggregate_10_mm">[1]District_Rate!$L$7</definedName>
    <definedName name="adopted_rate_aggregate_20_40_mm">[1]District_Rate!$L$9</definedName>
    <definedName name="adopted_rate_binding_wire">[1]District_Rate!$L$17</definedName>
    <definedName name="adopted_rate_cement">[1]District_Rate!$L$25</definedName>
    <definedName name="adopted_rate_HYSD_bar">[1]District_Rate!$L$73</definedName>
    <definedName name="adopted_rate_sand">[1]District_Rate!$L$111</definedName>
    <definedName name="adopted_rate_water">[1]District_Rate!$L$129</definedName>
    <definedName name="concrete_mixer">[1]Equipment_Rate!$J$10</definedName>
    <definedName name="description_1">[2]Abstract!$B$167</definedName>
    <definedName name="description_124">[3]Abstract!$B$18</definedName>
    <definedName name="description_2">[2]Abstract!$B$168</definedName>
    <definedName name="description_261">[4]Abstract!$B$33</definedName>
    <definedName name="description_262">[5]Abstract!$B$34</definedName>
    <definedName name="description_3">[6]Abstract!$B$169</definedName>
    <definedName name="description_6">[2]Abstract!$B$172</definedName>
    <definedName name="description_784">[2]Abstract!$B$300</definedName>
    <definedName name="excavator">[1]Equipment_Rate!$J$19</definedName>
    <definedName name="generator">[1]Equipment_Rate!$J$20</definedName>
    <definedName name="_xlnm.Print_Area" localSheetId="3">'1'!$A$1:$H$34</definedName>
    <definedName name="_xlnm.Print_Area" localSheetId="4">'2'!$A$1:$H$34</definedName>
    <definedName name="_xlnm.Print_Area" localSheetId="5">'3'!$A$1:$H$34</definedName>
    <definedName name="_xlnm.Print_Area" localSheetId="6">'4'!$A$1:$H$34</definedName>
    <definedName name="_xlnm.Print_Area" localSheetId="7">'5'!$A$1:$H$34</definedName>
    <definedName name="_xlnm.Print_Area" localSheetId="8">'6'!$A$1:$H$34</definedName>
    <definedName name="_xlnm.Print_Area" localSheetId="9">'7'!$A$1:$H$35</definedName>
    <definedName name="_xlnm.Print_Area" localSheetId="10">'8'!$A$1:$H$34</definedName>
    <definedName name="_xlnm.Print_Area" localSheetId="11">'9'!$A$1:$H$34</definedName>
    <definedName name="_xlnm.Print_Area" localSheetId="1">all!$A$1:$H$45</definedName>
    <definedName name="_xlnm.Print_Area" localSheetId="0">'ESTIMATE (3)'!$A$1:$H$22</definedName>
    <definedName name="_xlnm.Print_Area" localSheetId="2">'month 3'!$A$1:$H$34</definedName>
    <definedName name="_xlnm.Print_Area" localSheetId="12">'month 4 and 5'!$A$1:$H$37</definedName>
    <definedName name="_xlnm.Print_Titles" localSheetId="3">'1'!$1:$9</definedName>
    <definedName name="_xlnm.Print_Titles" localSheetId="4">'2'!$1:$9</definedName>
    <definedName name="_xlnm.Print_Titles" localSheetId="5">'3'!$1:$9</definedName>
    <definedName name="_xlnm.Print_Titles" localSheetId="6">'4'!$1:$9</definedName>
    <definedName name="_xlnm.Print_Titles" localSheetId="7">'5'!$1:$9</definedName>
    <definedName name="_xlnm.Print_Titles" localSheetId="8">'6'!$1:$9</definedName>
    <definedName name="_xlnm.Print_Titles" localSheetId="9">'7'!$1:$9</definedName>
    <definedName name="_xlnm.Print_Titles" localSheetId="10">'8'!$1:$9</definedName>
    <definedName name="_xlnm.Print_Titles" localSheetId="11">'9'!$1:$9</definedName>
    <definedName name="_xlnm.Print_Titles" localSheetId="1">all!$1:$11</definedName>
    <definedName name="_xlnm.Print_Titles" localSheetId="0">'ESTIMATE (3)'!$1:$11</definedName>
    <definedName name="_xlnm.Print_Titles" localSheetId="2">'month 3'!$1:$11</definedName>
    <definedName name="_xlnm.Print_Titles" localSheetId="12">'month 4 and 5'!$1:$9</definedName>
    <definedName name="skilled">[1]District_Rate!$D$148</definedName>
    <definedName name="skilled_blacksmith">[1]District_Rate!$D$149</definedName>
    <definedName name="unskilled">[1]District_Rate!$D$156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1" l="1"/>
  <c r="G11" i="11" s="1"/>
  <c r="E43" i="14"/>
  <c r="E19" i="14"/>
  <c r="G19" i="14" s="1"/>
  <c r="G18" i="14"/>
  <c r="E18" i="14"/>
  <c r="G17" i="14"/>
  <c r="E17" i="14"/>
  <c r="E16" i="14"/>
  <c r="G16" i="14" s="1"/>
  <c r="G15" i="14"/>
  <c r="E15" i="14"/>
  <c r="G14" i="14"/>
  <c r="E14" i="14"/>
  <c r="E13" i="14"/>
  <c r="G13" i="14" s="1"/>
  <c r="G12" i="14"/>
  <c r="E12" i="14"/>
  <c r="G11" i="14"/>
  <c r="E11" i="14"/>
  <c r="E10" i="14"/>
  <c r="G10" i="14" s="1"/>
  <c r="E40" i="13"/>
  <c r="E10" i="13"/>
  <c r="G10" i="13" s="1"/>
  <c r="E40" i="12"/>
  <c r="E10" i="12"/>
  <c r="G10" i="12" s="1"/>
  <c r="G11" i="12" s="1"/>
  <c r="G13" i="12" s="1"/>
  <c r="E41" i="11"/>
  <c r="E10" i="11"/>
  <c r="G10" i="11" s="1"/>
  <c r="E40" i="10"/>
  <c r="E10" i="10"/>
  <c r="G10" i="10" s="1"/>
  <c r="E40" i="9"/>
  <c r="E10" i="9"/>
  <c r="G10" i="9" s="1"/>
  <c r="E40" i="8"/>
  <c r="E10" i="8"/>
  <c r="G10" i="8" s="1"/>
  <c r="E40" i="7"/>
  <c r="E10" i="7"/>
  <c r="G10" i="7" s="1"/>
  <c r="G11" i="7" s="1"/>
  <c r="G13" i="7" s="1"/>
  <c r="E40" i="6"/>
  <c r="E10" i="6"/>
  <c r="G10" i="6" s="1"/>
  <c r="G16" i="4"/>
  <c r="G27" i="3"/>
  <c r="E10" i="5"/>
  <c r="G10" i="5" s="1"/>
  <c r="G25" i="3"/>
  <c r="G24" i="3"/>
  <c r="E25" i="3"/>
  <c r="E24" i="3"/>
  <c r="E40" i="5"/>
  <c r="E40" i="4"/>
  <c r="E15" i="4"/>
  <c r="G15" i="4" s="1"/>
  <c r="E14" i="4"/>
  <c r="G14" i="4" s="1"/>
  <c r="E13" i="4"/>
  <c r="G13" i="4" s="1"/>
  <c r="E12" i="4"/>
  <c r="G12" i="4" s="1"/>
  <c r="G18" i="4"/>
  <c r="E16" i="3"/>
  <c r="G16" i="3" s="1"/>
  <c r="E17" i="3"/>
  <c r="G17" i="3" s="1"/>
  <c r="E18" i="3"/>
  <c r="G18" i="3" s="1"/>
  <c r="E19" i="3"/>
  <c r="G19" i="3" s="1"/>
  <c r="E20" i="3"/>
  <c r="G20" i="3" s="1"/>
  <c r="E21" i="3"/>
  <c r="G21" i="3" s="1"/>
  <c r="E22" i="3"/>
  <c r="G22" i="3" s="1"/>
  <c r="E23" i="3"/>
  <c r="G23" i="3" s="1"/>
  <c r="E13" i="3"/>
  <c r="G13" i="3" s="1"/>
  <c r="E14" i="3"/>
  <c r="G14" i="3" s="1"/>
  <c r="E15" i="3"/>
  <c r="G15" i="3" s="1"/>
  <c r="E12" i="3"/>
  <c r="G12" i="3" s="1"/>
  <c r="G20" i="14" l="1"/>
  <c r="G22" i="14" s="1"/>
  <c r="G11" i="13"/>
  <c r="G13" i="13" s="1"/>
  <c r="G14" i="12"/>
  <c r="G15" i="12" s="1"/>
  <c r="G12" i="11"/>
  <c r="G14" i="11" s="1"/>
  <c r="G11" i="10"/>
  <c r="G13" i="10" s="1"/>
  <c r="G11" i="9"/>
  <c r="G13" i="9" s="1"/>
  <c r="G11" i="8"/>
  <c r="G13" i="8" s="1"/>
  <c r="G14" i="7"/>
  <c r="G15" i="7" s="1"/>
  <c r="G11" i="6"/>
  <c r="G13" i="6" s="1"/>
  <c r="G11" i="5"/>
  <c r="G13" i="5" s="1"/>
  <c r="G14" i="5" s="1"/>
  <c r="G15" i="5" s="1"/>
  <c r="G19" i="4"/>
  <c r="G20" i="4" s="1"/>
  <c r="G29" i="3"/>
  <c r="E51" i="3"/>
  <c r="G23" i="14" l="1"/>
  <c r="G24" i="14"/>
  <c r="G14" i="13"/>
  <c r="G15" i="13" s="1"/>
  <c r="G15" i="11"/>
  <c r="G16" i="11" s="1"/>
  <c r="G14" i="10"/>
  <c r="G15" i="10" s="1"/>
  <c r="G14" i="9"/>
  <c r="G15" i="9" s="1"/>
  <c r="G14" i="8"/>
  <c r="G15" i="8" s="1"/>
  <c r="G14" i="6"/>
  <c r="G15" i="6" s="1"/>
  <c r="G30" i="3"/>
  <c r="G31" i="3" s="1"/>
  <c r="E12" i="1" l="1"/>
  <c r="G12" i="1" l="1"/>
  <c r="G13" i="1" l="1"/>
  <c r="G15" i="1" s="1"/>
  <c r="G16" i="1" s="1"/>
  <c r="G17" i="1" s="1"/>
  <c r="E27" i="1"/>
</calcChain>
</file>

<file path=xl/sharedStrings.xml><?xml version="1.0" encoding="utf-8"?>
<sst xmlns="http://schemas.openxmlformats.org/spreadsheetml/2006/main" count="518" uniqueCount="71">
  <si>
    <t>सुरु घण्टा मिटर (क)</t>
  </si>
  <si>
    <t>समाप्त घण्टा मिटर (ख)</t>
  </si>
  <si>
    <t>सि. न</t>
  </si>
  <si>
    <t>दर (रुपैया)</t>
  </si>
  <si>
    <t>शंखरापुर नगरपालिका</t>
  </si>
  <si>
    <t>नगर कार्यपालिकाको कार्यालय</t>
  </si>
  <si>
    <t>साँखु, काठमाण्डौ।</t>
  </si>
  <si>
    <t>कैफियत</t>
  </si>
  <si>
    <t>लागेको समय ग (ख-क) घण्टा</t>
  </si>
  <si>
    <t>कुल</t>
  </si>
  <si>
    <t>.......... प्रतिशत छुट</t>
  </si>
  <si>
    <t>कर लाग्ने रकम</t>
  </si>
  <si>
    <t xml:space="preserve">१३ % प्रतिशत </t>
  </si>
  <si>
    <t>कुल जम्मा रकम</t>
  </si>
  <si>
    <t xml:space="preserve">काम गरेको मिति </t>
  </si>
  <si>
    <t>................................</t>
  </si>
  <si>
    <t>...................................</t>
  </si>
  <si>
    <t>वडा प्रतिनिधिको सहि</t>
  </si>
  <si>
    <t xml:space="preserve"> लग सिट</t>
  </si>
  <si>
    <t xml:space="preserve">Backhoe per hour </t>
  </si>
  <si>
    <t>Rs 2198</t>
  </si>
  <si>
    <t>without vat</t>
  </si>
  <si>
    <t>excavator per hour</t>
  </si>
  <si>
    <t>Rs 3214</t>
  </si>
  <si>
    <t>फर्म्/व्यक्तिको नाम : पाल्चोकी थापा सप्लायर्स</t>
  </si>
  <si>
    <t xml:space="preserve">काम गरेको वडा: इन्द्रायणी, शंखरापुर - ९ </t>
  </si>
  <si>
    <t xml:space="preserve">  </t>
  </si>
  <si>
    <t xml:space="preserve">काम गरेको स्थान : इन्द्रायणीबाट चाँगुनारायण जाने सडक </t>
  </si>
  <si>
    <t>मितिः २०८१/10/02</t>
  </si>
  <si>
    <t>वडा सचिबको सहि</t>
  </si>
  <si>
    <t>अपरेटरको नाम / सहि</t>
  </si>
  <si>
    <t>वडा प्राविधिकको नाम / सहि</t>
  </si>
  <si>
    <t>............................</t>
  </si>
  <si>
    <t>वडा अधक्ष्यको सहि</t>
  </si>
  <si>
    <t>वडा सदस्यको सहि</t>
  </si>
  <si>
    <t>...............................</t>
  </si>
  <si>
    <t xml:space="preserve">काम गरेको स्थान : </t>
  </si>
  <si>
    <t xml:space="preserve">फर्म्/व्यक्तिको नाम : </t>
  </si>
  <si>
    <t xml:space="preserve">मितिः 2082/01/10                         </t>
  </si>
  <si>
    <t>13/04/2082</t>
  </si>
  <si>
    <t>14/04/2082</t>
  </si>
  <si>
    <t>15/04/2082</t>
  </si>
  <si>
    <t>15/04/2083</t>
  </si>
  <si>
    <t>27/03/2082</t>
  </si>
  <si>
    <t>26/03/2082</t>
  </si>
  <si>
    <t>30/03/2082</t>
  </si>
  <si>
    <t>27/04/2082</t>
  </si>
  <si>
    <t>29/04/2082</t>
  </si>
  <si>
    <t>30/04/2082</t>
  </si>
  <si>
    <t>10/5/2082</t>
  </si>
  <si>
    <t xml:space="preserve">काम गरेको वडा: नाङ्गलेभारे  - १, काठमाण्डौ  </t>
  </si>
  <si>
    <t>15/5/2083</t>
  </si>
  <si>
    <t>16/5/2084</t>
  </si>
  <si>
    <t>अपरेटरको नाम र सहि</t>
  </si>
  <si>
    <t>स्थानीय  साक्षिको  नाम र सहि</t>
  </si>
  <si>
    <t xml:space="preserve"> स्वास्थ्य चौकीमा खाल्टो पुरेको </t>
  </si>
  <si>
    <t xml:space="preserve">पहिरो फालेको </t>
  </si>
  <si>
    <t xml:space="preserve">वडा कार्यालयमा माटो फालेको तथा खाल्टो पुरेको </t>
  </si>
  <si>
    <t xml:space="preserve">पहिरो फालेको र नाली सफा गरेको </t>
  </si>
  <si>
    <t xml:space="preserve">ह्युम पाइपको मुख खोलेको र पहिरो फालेको </t>
  </si>
  <si>
    <t xml:space="preserve">ग्राबेल खनेको </t>
  </si>
  <si>
    <t xml:space="preserve">ग्राबेल लोड गरेको र ग्राबेल फिजाएको </t>
  </si>
  <si>
    <t xml:space="preserve">पहिरो फालेको र सोलिङमा माटो हालेको  </t>
  </si>
  <si>
    <t>पहिरो सफा गरेको</t>
  </si>
  <si>
    <t xml:space="preserve">काम गरेको स्थान : नाङ्गलेभारे  - १, काठमाण्डौ  </t>
  </si>
  <si>
    <t>जम्मा (रुपैया)</t>
  </si>
  <si>
    <t xml:space="preserve">पांग्रेबास ढकाल गाउँ जाने बाटोमा पहिरो फालेको र सोलिङमा माटो हालेको  </t>
  </si>
  <si>
    <t xml:space="preserve">पंचपालेमा ग्राबेल लोड गरेको र ग्राबेल फिजाएको </t>
  </si>
  <si>
    <t xml:space="preserve">पन्चपालेमा ग्राबेल लोड गरेको र ग्राबेल फिजाएको </t>
  </si>
  <si>
    <t xml:space="preserve">पन्चपालेबाट पोखरी चौरबाटोमा पहिरो फालेको र नाली सफा गरेको </t>
  </si>
  <si>
    <t xml:space="preserve">नाङ्गलेभारे ढकालगाउँ जाने बाटोमा पहिरो फालेको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</si>
</sst>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00439]0"/>
    <numFmt numFmtId="166" formatCode="yyyy/mm/dd"/>
    <numFmt numFmtId="167" formatCode="[$-4000439]0.#"/>
  </numFmts>
  <fonts count="17">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22"/>
      <color theme="1"/>
      <name val="Times New Roman"/>
      <family val="1"/>
    </font>
    <font>
      <b/>
      <sz val="16"/>
      <color theme="1"/>
      <name val="Times New Roman"/>
      <family val="1"/>
    </font>
    <font>
      <b/>
      <sz val="26"/>
      <color theme="1"/>
      <name val="Times New Roman"/>
      <family val="1"/>
    </font>
    <font>
      <sz val="16"/>
      <color theme="1"/>
      <name val="Times New Roman"/>
      <family val="1"/>
    </font>
    <font>
      <b/>
      <sz val="36"/>
      <color theme="1"/>
      <name val="Times New Roman"/>
      <family val="1"/>
    </font>
    <font>
      <b/>
      <sz val="28"/>
      <color theme="1"/>
      <name val="Times New Roman"/>
      <family val="1"/>
    </font>
    <font>
      <sz val="28"/>
      <color theme="1"/>
      <name val="Times New Roman"/>
      <family val="1"/>
    </font>
    <font>
      <b/>
      <sz val="12"/>
      <color theme="1"/>
      <name val="Kalimati"/>
      <charset val="1"/>
    </font>
    <font>
      <sz val="12"/>
      <color theme="1"/>
      <name val="Kalimati"/>
      <charset val="1"/>
    </font>
    <font>
      <b/>
      <sz val="11"/>
      <color theme="1"/>
      <name val="Kalimati"/>
      <charset val="1"/>
    </font>
    <font>
      <b/>
      <sz val="14"/>
      <color theme="1"/>
      <name val="Times New Roman"/>
      <family val="1"/>
    </font>
    <font>
      <sz val="14"/>
      <color theme="1"/>
      <name val="Times New Roman"/>
      <family val="1"/>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41">
    <xf numFmtId="0" fontId="0" fillId="0" borderId="0" xfId="0"/>
    <xf numFmtId="0" fontId="3" fillId="3" borderId="1" xfId="0" applyFont="1" applyFill="1" applyBorder="1" applyAlignment="1">
      <alignment horizontal="left" vertical="center"/>
    </xf>
    <xf numFmtId="2" fontId="3" fillId="3" borderId="1" xfId="0" applyNumberFormat="1" applyFont="1" applyFill="1" applyBorder="1" applyAlignment="1">
      <alignment horizontal="left" vertical="center"/>
    </xf>
    <xf numFmtId="0" fontId="3" fillId="3" borderId="1" xfId="0" applyFont="1" applyFill="1" applyBorder="1" applyAlignment="1">
      <alignment horizontal="left" vertical="center" wrapText="1"/>
    </xf>
    <xf numFmtId="0" fontId="3" fillId="0" borderId="0" xfId="0" applyFont="1"/>
    <xf numFmtId="0" fontId="5" fillId="2" borderId="1" xfId="0" applyFont="1" applyFill="1" applyBorder="1" applyAlignment="1">
      <alignment horizontal="center"/>
    </xf>
    <xf numFmtId="0" fontId="5" fillId="2" borderId="1" xfId="0" applyFont="1" applyFill="1" applyBorder="1" applyAlignment="1">
      <alignment horizontal="center" wrapText="1"/>
    </xf>
    <xf numFmtId="165" fontId="3" fillId="3" borderId="1" xfId="0" applyNumberFormat="1" applyFont="1" applyFill="1" applyBorder="1" applyAlignment="1">
      <alignment horizontal="left" vertical="center"/>
    </xf>
    <xf numFmtId="0" fontId="3" fillId="0" borderId="1" xfId="0" applyFont="1" applyBorder="1"/>
    <xf numFmtId="165" fontId="12" fillId="3" borderId="1" xfId="0" applyNumberFormat="1" applyFont="1" applyFill="1" applyBorder="1" applyAlignment="1">
      <alignment horizontal="left" vertical="center"/>
    </xf>
    <xf numFmtId="0" fontId="13" fillId="0" borderId="1" xfId="0" applyFont="1" applyBorder="1" applyAlignment="1">
      <alignment horizontal="left" vertical="center"/>
    </xf>
    <xf numFmtId="0" fontId="3" fillId="3" borderId="0" xfId="0" applyFont="1" applyFill="1" applyAlignment="1">
      <alignment horizontal="left" vertical="center"/>
    </xf>
    <xf numFmtId="0" fontId="3" fillId="3" borderId="0" xfId="0" applyFont="1" applyFill="1" applyAlignment="1">
      <alignment horizontal="left" vertical="center" wrapText="1"/>
    </xf>
    <xf numFmtId="0" fontId="13" fillId="0" borderId="0" xfId="0" applyFont="1" applyAlignment="1">
      <alignment horizontal="left" vertical="center"/>
    </xf>
    <xf numFmtId="2" fontId="3" fillId="3" borderId="0" xfId="0" applyNumberFormat="1" applyFont="1" applyFill="1" applyAlignment="1">
      <alignment horizontal="left" vertical="center"/>
    </xf>
    <xf numFmtId="166" fontId="3" fillId="3" borderId="1" xfId="0" applyNumberFormat="1" applyFont="1" applyFill="1" applyBorder="1" applyAlignment="1">
      <alignment horizontal="left" vertical="center"/>
    </xf>
    <xf numFmtId="167" fontId="3" fillId="0" borderId="1" xfId="0" applyNumberFormat="1" applyFont="1" applyBorder="1" applyAlignment="1">
      <alignment horizontal="left" vertical="center" wrapText="1"/>
    </xf>
    <xf numFmtId="167" fontId="3" fillId="3" borderId="1" xfId="0" applyNumberFormat="1" applyFont="1" applyFill="1" applyBorder="1" applyAlignment="1">
      <alignment horizontal="left" vertical="center"/>
    </xf>
    <xf numFmtId="0" fontId="10" fillId="0" borderId="0" xfId="0" applyFont="1"/>
    <xf numFmtId="43" fontId="10" fillId="0" borderId="0" xfId="1" applyFont="1" applyBorder="1" applyAlignment="1">
      <alignment horizontal="right"/>
    </xf>
    <xf numFmtId="0" fontId="9" fillId="0" borderId="0" xfId="0" applyFont="1" applyAlignment="1">
      <alignment horizontal="center"/>
    </xf>
    <xf numFmtId="0" fontId="11" fillId="0" borderId="0" xfId="0" applyFont="1"/>
    <xf numFmtId="0" fontId="6" fillId="0" borderId="0" xfId="0" applyFont="1"/>
    <xf numFmtId="0" fontId="11" fillId="0" borderId="0" xfId="0" applyFont="1" applyAlignment="1">
      <alignment horizontal="right"/>
    </xf>
    <xf numFmtId="0" fontId="7" fillId="0" borderId="0" xfId="0" applyFont="1"/>
    <xf numFmtId="0" fontId="5" fillId="0" borderId="0" xfId="0" applyFont="1"/>
    <xf numFmtId="0" fontId="14" fillId="0" borderId="0" xfId="0" applyFont="1"/>
    <xf numFmtId="0" fontId="15" fillId="0" borderId="0" xfId="0" applyFont="1"/>
    <xf numFmtId="167" fontId="7" fillId="0" borderId="1" xfId="0" applyNumberFormat="1" applyFont="1" applyBorder="1" applyAlignment="1">
      <alignment horizontal="left" vertical="center" wrapText="1"/>
    </xf>
    <xf numFmtId="167" fontId="7" fillId="3" borderId="1" xfId="0" applyNumberFormat="1" applyFont="1" applyFill="1" applyBorder="1" applyAlignment="1">
      <alignment horizontal="left" vertical="center"/>
    </xf>
    <xf numFmtId="165" fontId="7" fillId="3" borderId="1" xfId="0" applyNumberFormat="1" applyFont="1" applyFill="1" applyBorder="1" applyAlignment="1">
      <alignment horizontal="left" vertical="center"/>
    </xf>
    <xf numFmtId="165" fontId="7" fillId="3" borderId="0" xfId="0" applyNumberFormat="1" applyFont="1" applyFill="1" applyAlignment="1">
      <alignment horizontal="left" vertical="center"/>
    </xf>
    <xf numFmtId="166" fontId="3" fillId="3" borderId="1" xfId="0" quotePrefix="1" applyNumberFormat="1" applyFont="1" applyFill="1" applyBorder="1" applyAlignment="1">
      <alignment horizontal="left"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3" fillId="0" borderId="0" xfId="0" applyFont="1" applyAlignment="1">
      <alignment vertical="center"/>
    </xf>
    <xf numFmtId="0" fontId="11" fillId="0" borderId="0" xfId="0" applyFont="1" applyAlignment="1">
      <alignment horizontal="left"/>
    </xf>
    <xf numFmtId="0" fontId="2" fillId="0" borderId="0" xfId="0" applyFont="1" applyAlignment="1">
      <alignment horizontal="center"/>
    </xf>
    <xf numFmtId="0" fontId="8" fillId="0" borderId="0" xfId="0" applyFont="1" applyAlignment="1">
      <alignment horizontal="center"/>
    </xf>
    <xf numFmtId="0" fontId="4" fillId="0" borderId="0" xfId="0" applyFont="1" applyAlignment="1">
      <alignment horizontal="center"/>
    </xf>
    <xf numFmtId="0" fontId="9" fillId="0" borderId="0" xfId="0" applyFont="1" applyAlignment="1">
      <alignment horizontal="center"/>
    </xf>
  </cellXfs>
  <cellStyles count="3">
    <cellStyle name="Comma" xfId="1" builtinId="3"/>
    <cellStyle name="Comma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ard%20office%20aayojana%202\For-all-Road-rate-analysis-80-81-shankharapu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80-081\ward%20office%20aayojana\For-all-Road-rate-analysis-80-81-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079-080\Road-rate-analysis-079-80-shankharapur-as-per-dor-norms-nnn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sheetData sheetId="2"/>
      <sheetData sheetId="3">
        <row r="6">
          <cell r="L6">
            <v>3598.56</v>
          </cell>
        </row>
        <row r="7">
          <cell r="L7">
            <v>3104.6400000000003</v>
          </cell>
        </row>
        <row r="9">
          <cell r="L9">
            <v>3457.44</v>
          </cell>
        </row>
        <row r="17">
          <cell r="L17">
            <v>106</v>
          </cell>
        </row>
        <row r="25">
          <cell r="L25">
            <v>14231</v>
          </cell>
        </row>
        <row r="73">
          <cell r="L73">
            <v>99000</v>
          </cell>
        </row>
        <row r="111">
          <cell r="L111">
            <v>2504.88</v>
          </cell>
        </row>
        <row r="129">
          <cell r="L129">
            <v>310</v>
          </cell>
        </row>
        <row r="148">
          <cell r="D148">
            <v>1200</v>
          </cell>
        </row>
        <row r="149">
          <cell r="D149">
            <v>1200</v>
          </cell>
        </row>
        <row r="156">
          <cell r="D156">
            <v>900</v>
          </cell>
        </row>
      </sheetData>
      <sheetData sheetId="4">
        <row r="10">
          <cell r="J10">
            <v>293</v>
          </cell>
        </row>
        <row r="19">
          <cell r="J19">
            <v>3071</v>
          </cell>
        </row>
        <row r="20">
          <cell r="J20">
            <v>841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7">
          <cell r="B167" t="str">
            <v>Providing and laying of Plain Cement Concrete M 10 ( or 1:3:6 for nominal mix) in Foundation complete as per Drawing and Technical Specifications.</v>
          </cell>
        </row>
        <row r="168">
          <cell r="B168" t="str">
            <v>Providing and laying of Plain Cement Concrete M 10 ( or 1:3:6 for nominal mix) in Foundation complete as per Drawing and Technical Specifications., Manual Mixing</v>
          </cell>
        </row>
        <row r="172">
          <cell r="B172" t="str">
            <v>Providing and laying of Plain/Reinforced Cement Concrete in Foundation complete as per Drawing and Technical Specifications., RCC Grade M 20</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8">
          <cell r="B18" t="str">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69">
          <cell r="B169" t="str">
            <v>Providing and laying of Plain/Reinforced Cement Concrete in Foundation complete as per Drawing and Technical Specifications, PCC Grade M 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view="pageBreakPreview" topLeftCell="A13" zoomScale="90" zoomScaleNormal="100" zoomScaleSheetLayoutView="90" workbookViewId="0">
      <selection activeCell="G12" sqref="G12:G17"/>
    </sheetView>
  </sheetViews>
  <sheetFormatPr defaultColWidth="9.140625" defaultRowHeight="15.75"/>
  <cols>
    <col min="1" max="1" width="7" style="4" customWidth="1"/>
    <col min="2" max="2" width="30.42578125" style="4" customWidth="1"/>
    <col min="3" max="3" width="22.42578125" style="4" customWidth="1"/>
    <col min="4" max="4" width="24.28515625" style="4" customWidth="1"/>
    <col min="5" max="5" width="27" style="4" customWidth="1"/>
    <col min="6" max="6" width="10" style="4" customWidth="1"/>
    <col min="7" max="7" width="18.85546875" style="4" customWidth="1"/>
    <col min="8" max="8" width="14.7109375" style="4" customWidth="1"/>
    <col min="9" max="16384" width="9.140625" style="4"/>
  </cols>
  <sheetData>
    <row r="1" spans="1:8">
      <c r="A1" s="37"/>
      <c r="B1" s="37"/>
      <c r="C1" s="37"/>
      <c r="D1" s="37"/>
      <c r="E1" s="37"/>
      <c r="F1" s="37"/>
      <c r="G1" s="37"/>
      <c r="H1" s="37"/>
    </row>
    <row r="2" spans="1:8" ht="45">
      <c r="A2" s="38" t="s">
        <v>4</v>
      </c>
      <c r="B2" s="38"/>
      <c r="C2" s="38"/>
      <c r="D2" s="38"/>
      <c r="E2" s="38"/>
      <c r="F2" s="38"/>
      <c r="G2" s="38"/>
      <c r="H2" s="38"/>
    </row>
    <row r="3" spans="1:8" ht="27">
      <c r="A3" s="39" t="s">
        <v>5</v>
      </c>
      <c r="B3" s="39"/>
      <c r="C3" s="39"/>
      <c r="D3" s="39"/>
      <c r="E3" s="39"/>
      <c r="F3" s="39"/>
      <c r="G3" s="39"/>
      <c r="H3" s="39"/>
    </row>
    <row r="4" spans="1:8" ht="27">
      <c r="A4" s="39" t="s">
        <v>6</v>
      </c>
      <c r="B4" s="39"/>
      <c r="C4" s="39"/>
      <c r="D4" s="39"/>
      <c r="E4" s="39"/>
      <c r="F4" s="39"/>
      <c r="G4" s="39"/>
      <c r="H4" s="39"/>
    </row>
    <row r="5" spans="1:8" ht="35.25">
      <c r="A5" s="18"/>
      <c r="B5" s="18"/>
      <c r="C5" s="18"/>
      <c r="D5" s="18"/>
      <c r="E5" s="18"/>
      <c r="F5" s="18"/>
      <c r="G5" s="18"/>
      <c r="H5" s="19"/>
    </row>
    <row r="6" spans="1:8" ht="33.75" customHeight="1">
      <c r="A6" s="40" t="s">
        <v>18</v>
      </c>
      <c r="B6" s="40"/>
      <c r="C6" s="40"/>
      <c r="D6" s="40"/>
      <c r="E6" s="40"/>
      <c r="F6" s="40"/>
      <c r="G6" s="40"/>
      <c r="H6" s="40"/>
    </row>
    <row r="7" spans="1:8" ht="33.75" customHeight="1">
      <c r="A7" s="36" t="s">
        <v>24</v>
      </c>
      <c r="B7" s="36"/>
      <c r="C7" s="36"/>
      <c r="D7" s="20"/>
      <c r="E7" s="20"/>
      <c r="F7" s="20"/>
      <c r="G7" s="20"/>
      <c r="H7" s="20"/>
    </row>
    <row r="8" spans="1:8" ht="33.75" customHeight="1">
      <c r="A8" s="21" t="s">
        <v>27</v>
      </c>
      <c r="B8" s="21"/>
      <c r="C8" s="21"/>
      <c r="D8" s="20"/>
      <c r="E8" s="20"/>
      <c r="F8" s="20"/>
      <c r="G8" s="20"/>
      <c r="H8" s="20"/>
    </row>
    <row r="9" spans="1:8" ht="34.5">
      <c r="A9" s="36" t="s">
        <v>25</v>
      </c>
      <c r="B9" s="36"/>
      <c r="C9" s="36"/>
      <c r="D9" s="20"/>
      <c r="E9" s="20"/>
      <c r="F9" s="20"/>
      <c r="G9" s="20"/>
      <c r="H9" s="20"/>
    </row>
    <row r="10" spans="1:8" ht="33">
      <c r="E10" s="22"/>
      <c r="H10" s="23" t="s">
        <v>28</v>
      </c>
    </row>
    <row r="11" spans="1:8" ht="40.5">
      <c r="A11" s="5" t="s">
        <v>2</v>
      </c>
      <c r="B11" s="5" t="s">
        <v>14</v>
      </c>
      <c r="C11" s="6" t="s">
        <v>0</v>
      </c>
      <c r="D11" s="6" t="s">
        <v>1</v>
      </c>
      <c r="E11" s="6" t="s">
        <v>8</v>
      </c>
      <c r="F11" s="6" t="s">
        <v>3</v>
      </c>
      <c r="G11" s="6" t="s">
        <v>26</v>
      </c>
      <c r="H11" s="5" t="s">
        <v>7</v>
      </c>
    </row>
    <row r="12" spans="1:8" ht="65.25" customHeight="1">
      <c r="A12" s="9">
        <v>1</v>
      </c>
      <c r="B12" s="15">
        <v>66276</v>
      </c>
      <c r="C12" s="16">
        <v>13723.9</v>
      </c>
      <c r="D12" s="17">
        <v>13726.8</v>
      </c>
      <c r="E12" s="17">
        <f>D12-C12</f>
        <v>2.8999999999996362</v>
      </c>
      <c r="F12" s="7">
        <v>2198</v>
      </c>
      <c r="G12" s="1">
        <f>F12*E12</f>
        <v>6374.1999999992004</v>
      </c>
      <c r="H12" s="1"/>
    </row>
    <row r="13" spans="1:8">
      <c r="A13" s="1"/>
      <c r="B13" s="1"/>
      <c r="C13" s="3"/>
      <c r="D13" s="1"/>
      <c r="E13" s="10" t="s">
        <v>9</v>
      </c>
      <c r="F13" s="8"/>
      <c r="G13" s="2">
        <f>SUM(G12:G12)</f>
        <v>6374.1999999992004</v>
      </c>
      <c r="H13" s="3"/>
    </row>
    <row r="14" spans="1:8">
      <c r="A14" s="1"/>
      <c r="B14" s="1"/>
      <c r="C14" s="3"/>
      <c r="D14" s="1"/>
      <c r="E14" s="10" t="s">
        <v>10</v>
      </c>
      <c r="F14" s="8"/>
      <c r="G14" s="2"/>
      <c r="H14" s="3"/>
    </row>
    <row r="15" spans="1:8">
      <c r="A15" s="1"/>
      <c r="B15" s="1"/>
      <c r="C15" s="3"/>
      <c r="D15" s="1"/>
      <c r="E15" s="10" t="s">
        <v>11</v>
      </c>
      <c r="F15" s="8"/>
      <c r="G15" s="2">
        <f>G13</f>
        <v>6374.1999999992004</v>
      </c>
      <c r="H15" s="3"/>
    </row>
    <row r="16" spans="1:8">
      <c r="A16" s="1"/>
      <c r="B16" s="1"/>
      <c r="C16" s="3"/>
      <c r="D16" s="1"/>
      <c r="E16" s="10" t="s">
        <v>12</v>
      </c>
      <c r="F16" s="8"/>
      <c r="G16" s="2">
        <f>0.13*G15</f>
        <v>828.64599999989605</v>
      </c>
      <c r="H16" s="3"/>
    </row>
    <row r="17" spans="1:8">
      <c r="A17" s="1"/>
      <c r="B17" s="1"/>
      <c r="C17" s="3"/>
      <c r="D17" s="1"/>
      <c r="E17" s="10" t="s">
        <v>13</v>
      </c>
      <c r="F17" s="8"/>
      <c r="G17" s="2">
        <f>SUM(G15:G16)</f>
        <v>7202.8459999990964</v>
      </c>
      <c r="H17" s="3"/>
    </row>
    <row r="18" spans="1:8">
      <c r="A18" s="11"/>
      <c r="B18" s="11"/>
      <c r="C18" s="12"/>
      <c r="D18" s="11"/>
      <c r="E18" s="13"/>
      <c r="G18" s="14"/>
      <c r="H18" s="12"/>
    </row>
    <row r="20" spans="1:8" ht="20.25">
      <c r="B20" s="24" t="s">
        <v>15</v>
      </c>
      <c r="C20" s="24" t="s">
        <v>16</v>
      </c>
      <c r="E20" s="24" t="s">
        <v>15</v>
      </c>
      <c r="G20" s="24" t="s">
        <v>15</v>
      </c>
    </row>
    <row r="21" spans="1:8" ht="20.25">
      <c r="B21" s="25"/>
      <c r="C21" s="25"/>
      <c r="E21" s="25"/>
      <c r="G21" s="25"/>
    </row>
    <row r="22" spans="1:8" ht="18.75">
      <c r="B22" s="26" t="s">
        <v>30</v>
      </c>
      <c r="C22" s="26" t="s">
        <v>17</v>
      </c>
      <c r="D22" s="27"/>
      <c r="E22" s="26" t="s">
        <v>29</v>
      </c>
      <c r="F22" s="27"/>
      <c r="G22" s="26" t="s">
        <v>31</v>
      </c>
    </row>
    <row r="26" spans="1:8">
      <c r="C26" s="4" t="s">
        <v>19</v>
      </c>
      <c r="D26" s="4" t="s">
        <v>20</v>
      </c>
      <c r="E26" s="4" t="s">
        <v>21</v>
      </c>
    </row>
    <row r="27" spans="1:8">
      <c r="C27" s="4" t="s">
        <v>22</v>
      </c>
      <c r="D27" s="4" t="s">
        <v>23</v>
      </c>
      <c r="E27" s="4" t="str">
        <f>E26</f>
        <v>without vat</v>
      </c>
    </row>
  </sheetData>
  <mergeCells count="7">
    <mergeCell ref="A7:C7"/>
    <mergeCell ref="A9:C9"/>
    <mergeCell ref="A1:H1"/>
    <mergeCell ref="A2:H2"/>
    <mergeCell ref="A3:H3"/>
    <mergeCell ref="A4:H4"/>
    <mergeCell ref="A6:H6"/>
  </mergeCells>
  <printOptions horizontalCentered="1"/>
  <pageMargins left="0.25" right="0.25" top="0.75" bottom="0.75" header="0.3" footer="0.3"/>
  <pageSetup scale="63" fitToHeight="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view="pageBreakPreview" topLeftCell="A5" zoomScaleNormal="100" zoomScaleSheetLayoutView="100" workbookViewId="0">
      <selection activeCell="D9" sqref="D9"/>
    </sheetView>
  </sheetViews>
  <sheetFormatPr defaultColWidth="9.140625" defaultRowHeight="15.75"/>
  <cols>
    <col min="1" max="1" width="7" style="4" customWidth="1"/>
    <col min="2" max="2" width="30.42578125" style="4" customWidth="1"/>
    <col min="3" max="3" width="22.42578125" style="4" customWidth="1"/>
    <col min="4" max="4" width="24.28515625" style="4" customWidth="1"/>
    <col min="5" max="5" width="27" style="4" customWidth="1"/>
    <col min="6" max="6" width="10" style="4" customWidth="1"/>
    <col min="7" max="7" width="18.85546875" style="4" customWidth="1"/>
    <col min="8" max="8" width="14.7109375" style="4" customWidth="1"/>
    <col min="9" max="16384" width="9.140625" style="4"/>
  </cols>
  <sheetData>
    <row r="1" spans="1:10">
      <c r="A1" s="37"/>
      <c r="B1" s="37"/>
      <c r="C1" s="37"/>
      <c r="D1" s="37"/>
      <c r="E1" s="37"/>
      <c r="F1" s="37"/>
      <c r="G1" s="37"/>
      <c r="H1" s="37"/>
    </row>
    <row r="2" spans="1:10" ht="45">
      <c r="A2" s="38" t="s">
        <v>4</v>
      </c>
      <c r="B2" s="38"/>
      <c r="C2" s="38"/>
      <c r="D2" s="38"/>
      <c r="E2" s="38"/>
      <c r="F2" s="38"/>
      <c r="G2" s="38"/>
      <c r="H2" s="38"/>
    </row>
    <row r="3" spans="1:10" ht="27">
      <c r="A3" s="39" t="s">
        <v>5</v>
      </c>
      <c r="B3" s="39"/>
      <c r="C3" s="39"/>
      <c r="D3" s="39"/>
      <c r="E3" s="39"/>
      <c r="F3" s="39"/>
      <c r="G3" s="39"/>
      <c r="H3" s="39"/>
    </row>
    <row r="4" spans="1:10" ht="27">
      <c r="A4" s="39" t="s">
        <v>6</v>
      </c>
      <c r="B4" s="39"/>
      <c r="C4" s="39"/>
      <c r="D4" s="39"/>
      <c r="E4" s="39"/>
      <c r="F4" s="39"/>
      <c r="G4" s="39"/>
      <c r="H4" s="39"/>
    </row>
    <row r="5" spans="1:10" ht="35.25">
      <c r="A5" s="18"/>
      <c r="B5" s="18"/>
      <c r="C5" s="18"/>
      <c r="D5" s="18"/>
      <c r="E5" s="18"/>
      <c r="F5" s="18"/>
      <c r="G5" s="18"/>
      <c r="H5" s="19"/>
    </row>
    <row r="6" spans="1:10" ht="33.75" customHeight="1">
      <c r="A6" s="40" t="s">
        <v>18</v>
      </c>
      <c r="B6" s="40"/>
      <c r="C6" s="40"/>
      <c r="D6" s="40"/>
      <c r="E6" s="40"/>
      <c r="F6" s="40"/>
      <c r="G6" s="40"/>
      <c r="H6" s="40"/>
    </row>
    <row r="7" spans="1:10" ht="33.75" customHeight="1">
      <c r="A7" s="36" t="s">
        <v>37</v>
      </c>
      <c r="B7" s="36"/>
      <c r="C7" s="36"/>
      <c r="D7" s="20"/>
      <c r="E7" s="20"/>
      <c r="F7" s="20"/>
      <c r="G7" s="20"/>
      <c r="H7" s="20"/>
    </row>
    <row r="8" spans="1:10" ht="33.75" customHeight="1">
      <c r="A8" s="21" t="s">
        <v>36</v>
      </c>
      <c r="B8" s="21"/>
      <c r="C8" s="21"/>
      <c r="D8" s="20"/>
      <c r="E8" s="20"/>
      <c r="F8" s="20"/>
      <c r="G8" s="20"/>
      <c r="H8" s="20"/>
    </row>
    <row r="9" spans="1:10" ht="34.5">
      <c r="A9" s="36" t="s">
        <v>25</v>
      </c>
      <c r="B9" s="36"/>
      <c r="C9" s="36"/>
      <c r="D9" s="20"/>
      <c r="E9" s="20"/>
      <c r="F9" s="20"/>
      <c r="G9" s="20"/>
      <c r="H9" s="20"/>
    </row>
    <row r="10" spans="1:10" ht="33">
      <c r="E10" s="22"/>
      <c r="H10" s="23" t="s">
        <v>38</v>
      </c>
    </row>
    <row r="11" spans="1:10" s="35" customFormat="1" ht="40.5">
      <c r="A11" s="33" t="s">
        <v>2</v>
      </c>
      <c r="B11" s="33" t="s">
        <v>14</v>
      </c>
      <c r="C11" s="34" t="s">
        <v>0</v>
      </c>
      <c r="D11" s="34" t="s">
        <v>1</v>
      </c>
      <c r="E11" s="34" t="s">
        <v>8</v>
      </c>
      <c r="F11" s="34" t="s">
        <v>3</v>
      </c>
      <c r="G11" s="34" t="s">
        <v>65</v>
      </c>
      <c r="H11" s="33" t="s">
        <v>7</v>
      </c>
    </row>
    <row r="12" spans="1:10" ht="20.25">
      <c r="A12" s="9">
        <v>1</v>
      </c>
      <c r="B12" s="15" t="s">
        <v>39</v>
      </c>
      <c r="C12" s="28">
        <v>77.7</v>
      </c>
      <c r="D12" s="29">
        <v>79.7</v>
      </c>
      <c r="E12" s="29">
        <f>D12-C12</f>
        <v>2</v>
      </c>
      <c r="F12" s="30">
        <v>3102</v>
      </c>
      <c r="G12" s="1">
        <f>F12*E12</f>
        <v>6204</v>
      </c>
      <c r="H12" s="1"/>
      <c r="J12" s="30">
        <v>2198</v>
      </c>
    </row>
    <row r="13" spans="1:10" ht="20.25">
      <c r="A13" s="9">
        <v>2</v>
      </c>
      <c r="B13" s="15" t="s">
        <v>40</v>
      </c>
      <c r="C13" s="28">
        <v>79.7</v>
      </c>
      <c r="D13" s="29">
        <v>87</v>
      </c>
      <c r="E13" s="29">
        <f t="shared" ref="E13:E15" si="0">D13-C13</f>
        <v>7.2999999999999972</v>
      </c>
      <c r="F13" s="30">
        <v>3102</v>
      </c>
      <c r="G13" s="1">
        <f t="shared" ref="G13:G15" si="1">F13*E13</f>
        <v>22644.599999999991</v>
      </c>
      <c r="H13" s="1"/>
      <c r="J13" s="31"/>
    </row>
    <row r="14" spans="1:10" ht="20.25">
      <c r="A14" s="9">
        <v>3</v>
      </c>
      <c r="B14" s="15" t="s">
        <v>41</v>
      </c>
      <c r="C14" s="28">
        <v>87</v>
      </c>
      <c r="D14" s="29">
        <v>89</v>
      </c>
      <c r="E14" s="29">
        <f t="shared" si="0"/>
        <v>2</v>
      </c>
      <c r="F14" s="30">
        <v>3102</v>
      </c>
      <c r="G14" s="1">
        <f t="shared" si="1"/>
        <v>6204</v>
      </c>
      <c r="H14" s="1"/>
      <c r="J14" s="31"/>
    </row>
    <row r="15" spans="1:10" ht="20.25">
      <c r="A15" s="9">
        <v>4</v>
      </c>
      <c r="B15" s="15" t="s">
        <v>42</v>
      </c>
      <c r="C15" s="28">
        <v>89</v>
      </c>
      <c r="D15" s="29">
        <v>93</v>
      </c>
      <c r="E15" s="29">
        <f t="shared" si="0"/>
        <v>4</v>
      </c>
      <c r="F15" s="30">
        <v>3102</v>
      </c>
      <c r="G15" s="1">
        <f t="shared" si="1"/>
        <v>12408</v>
      </c>
      <c r="H15" s="1"/>
      <c r="J15" s="31"/>
    </row>
    <row r="16" spans="1:10" ht="20.25">
      <c r="A16" s="9">
        <v>5</v>
      </c>
      <c r="B16" s="15" t="s">
        <v>44</v>
      </c>
      <c r="C16" s="28">
        <v>35</v>
      </c>
      <c r="D16" s="29">
        <v>41</v>
      </c>
      <c r="E16" s="29">
        <f t="shared" ref="E16:E25" si="2">D16-C16</f>
        <v>6</v>
      </c>
      <c r="F16" s="30">
        <v>3102</v>
      </c>
      <c r="G16" s="1">
        <f t="shared" ref="G16:G25" si="3">F16*E16</f>
        <v>18612</v>
      </c>
      <c r="H16" s="1"/>
      <c r="J16" s="31"/>
    </row>
    <row r="17" spans="1:10" ht="20.25">
      <c r="A17" s="9">
        <v>6</v>
      </c>
      <c r="B17" s="15" t="s">
        <v>43</v>
      </c>
      <c r="C17" s="28">
        <v>41</v>
      </c>
      <c r="D17" s="29">
        <v>50</v>
      </c>
      <c r="E17" s="29">
        <f t="shared" si="2"/>
        <v>9</v>
      </c>
      <c r="F17" s="30">
        <v>3102</v>
      </c>
      <c r="G17" s="1">
        <f t="shared" si="3"/>
        <v>27918</v>
      </c>
      <c r="H17" s="1"/>
      <c r="J17" s="31"/>
    </row>
    <row r="18" spans="1:10" ht="20.25">
      <c r="A18" s="9">
        <v>7</v>
      </c>
      <c r="B18" s="15" t="s">
        <v>45</v>
      </c>
      <c r="C18" s="28">
        <v>50</v>
      </c>
      <c r="D18" s="29">
        <v>52</v>
      </c>
      <c r="E18" s="29">
        <f t="shared" si="2"/>
        <v>2</v>
      </c>
      <c r="F18" s="30">
        <v>3102</v>
      </c>
      <c r="G18" s="1">
        <f t="shared" si="3"/>
        <v>6204</v>
      </c>
      <c r="H18" s="1"/>
      <c r="J18" s="31"/>
    </row>
    <row r="19" spans="1:10" ht="20.25">
      <c r="A19" s="9">
        <v>8</v>
      </c>
      <c r="B19" s="15" t="s">
        <v>45</v>
      </c>
      <c r="C19" s="28">
        <v>52</v>
      </c>
      <c r="D19" s="29">
        <v>56</v>
      </c>
      <c r="E19" s="29">
        <f t="shared" si="2"/>
        <v>4</v>
      </c>
      <c r="F19" s="30">
        <v>3102</v>
      </c>
      <c r="G19" s="1">
        <f t="shared" si="3"/>
        <v>12408</v>
      </c>
      <c r="H19" s="1"/>
      <c r="J19" s="31"/>
    </row>
    <row r="20" spans="1:10" ht="20.25">
      <c r="A20" s="9">
        <v>9</v>
      </c>
      <c r="B20" s="15" t="s">
        <v>46</v>
      </c>
      <c r="C20" s="28">
        <v>129</v>
      </c>
      <c r="D20" s="29">
        <v>135</v>
      </c>
      <c r="E20" s="29">
        <f t="shared" si="2"/>
        <v>6</v>
      </c>
      <c r="F20" s="30">
        <v>3102</v>
      </c>
      <c r="G20" s="1">
        <f t="shared" si="3"/>
        <v>18612</v>
      </c>
      <c r="H20" s="1"/>
      <c r="J20" s="31"/>
    </row>
    <row r="21" spans="1:10" ht="20.25">
      <c r="A21" s="9">
        <v>10</v>
      </c>
      <c r="B21" s="15" t="s">
        <v>47</v>
      </c>
      <c r="C21" s="28">
        <v>135</v>
      </c>
      <c r="D21" s="29">
        <v>140</v>
      </c>
      <c r="E21" s="29">
        <f t="shared" si="2"/>
        <v>5</v>
      </c>
      <c r="F21" s="30">
        <v>3102</v>
      </c>
      <c r="G21" s="1">
        <f t="shared" si="3"/>
        <v>15510</v>
      </c>
      <c r="H21" s="1"/>
      <c r="J21" s="31"/>
    </row>
    <row r="22" spans="1:10" ht="20.25">
      <c r="A22" s="9">
        <v>11</v>
      </c>
      <c r="B22" s="15" t="s">
        <v>48</v>
      </c>
      <c r="C22" s="28">
        <v>140</v>
      </c>
      <c r="D22" s="29">
        <v>147</v>
      </c>
      <c r="E22" s="29">
        <f t="shared" si="2"/>
        <v>7</v>
      </c>
      <c r="F22" s="30">
        <v>3102</v>
      </c>
      <c r="G22" s="1">
        <f t="shared" si="3"/>
        <v>21714</v>
      </c>
      <c r="H22" s="1"/>
      <c r="J22" s="31"/>
    </row>
    <row r="23" spans="1:10" ht="20.25">
      <c r="A23" s="9">
        <v>12</v>
      </c>
      <c r="B23" s="32" t="s">
        <v>49</v>
      </c>
      <c r="C23" s="28">
        <v>173</v>
      </c>
      <c r="D23" s="29">
        <v>179</v>
      </c>
      <c r="E23" s="29">
        <f t="shared" si="2"/>
        <v>6</v>
      </c>
      <c r="F23" s="30">
        <v>3102</v>
      </c>
      <c r="G23" s="1">
        <f t="shared" si="3"/>
        <v>18612</v>
      </c>
      <c r="H23" s="1"/>
      <c r="J23" s="31"/>
    </row>
    <row r="24" spans="1:10" ht="20.25">
      <c r="A24" s="9">
        <v>13</v>
      </c>
      <c r="B24" s="32" t="s">
        <v>51</v>
      </c>
      <c r="C24" s="28">
        <v>179</v>
      </c>
      <c r="D24" s="29">
        <v>186</v>
      </c>
      <c r="E24" s="29">
        <f t="shared" si="2"/>
        <v>7</v>
      </c>
      <c r="F24" s="30">
        <v>3102</v>
      </c>
      <c r="G24" s="1">
        <f t="shared" si="3"/>
        <v>21714</v>
      </c>
      <c r="H24" s="1"/>
      <c r="J24" s="31"/>
    </row>
    <row r="25" spans="1:10" ht="20.25">
      <c r="A25" s="9">
        <v>14</v>
      </c>
      <c r="B25" s="32" t="s">
        <v>52</v>
      </c>
      <c r="C25" s="28">
        <v>186</v>
      </c>
      <c r="D25" s="29">
        <v>194</v>
      </c>
      <c r="E25" s="29">
        <f t="shared" si="2"/>
        <v>8</v>
      </c>
      <c r="F25" s="30">
        <v>3102</v>
      </c>
      <c r="G25" s="1">
        <f t="shared" si="3"/>
        <v>24816</v>
      </c>
      <c r="H25" s="1"/>
      <c r="J25" s="31"/>
    </row>
    <row r="26" spans="1:10" ht="20.25">
      <c r="A26" s="9"/>
      <c r="B26" s="32"/>
      <c r="C26" s="28"/>
      <c r="D26" s="29"/>
      <c r="E26" s="29"/>
      <c r="F26" s="30"/>
      <c r="G26" s="1"/>
      <c r="H26" s="1"/>
      <c r="J26" s="31"/>
    </row>
    <row r="27" spans="1:10">
      <c r="A27" s="1"/>
      <c r="B27" s="1"/>
      <c r="C27" s="3"/>
      <c r="D27" s="1"/>
      <c r="E27" s="10" t="s">
        <v>9</v>
      </c>
      <c r="F27" s="8"/>
      <c r="G27" s="2">
        <f>SUM(G12:G25)</f>
        <v>233580.59999999998</v>
      </c>
      <c r="H27" s="3"/>
    </row>
    <row r="28" spans="1:10">
      <c r="A28" s="1"/>
      <c r="B28" s="1"/>
      <c r="C28" s="3"/>
      <c r="D28" s="1"/>
      <c r="E28" s="10" t="s">
        <v>10</v>
      </c>
      <c r="F28" s="8"/>
      <c r="G28" s="2"/>
      <c r="H28" s="3"/>
    </row>
    <row r="29" spans="1:10">
      <c r="A29" s="1"/>
      <c r="B29" s="1"/>
      <c r="C29" s="3"/>
      <c r="D29" s="1"/>
      <c r="E29" s="10" t="s">
        <v>11</v>
      </c>
      <c r="F29" s="8"/>
      <c r="G29" s="2">
        <f>G27</f>
        <v>233580.59999999998</v>
      </c>
      <c r="H29" s="3"/>
    </row>
    <row r="30" spans="1:10">
      <c r="A30" s="1"/>
      <c r="B30" s="1"/>
      <c r="C30" s="3"/>
      <c r="D30" s="1"/>
      <c r="E30" s="10" t="s">
        <v>12</v>
      </c>
      <c r="F30" s="8"/>
      <c r="G30" s="2">
        <f>0.13*G29</f>
        <v>30365.477999999999</v>
      </c>
      <c r="H30" s="3"/>
    </row>
    <row r="31" spans="1:10">
      <c r="A31" s="1"/>
      <c r="B31" s="1"/>
      <c r="C31" s="3"/>
      <c r="D31" s="1"/>
      <c r="E31" s="10" t="s">
        <v>13</v>
      </c>
      <c r="F31" s="8"/>
      <c r="G31" s="2">
        <f>SUM(G29:G30)</f>
        <v>263946.07799999998</v>
      </c>
      <c r="H31" s="3"/>
    </row>
    <row r="32" spans="1:10">
      <c r="A32" s="11"/>
      <c r="B32" s="11"/>
      <c r="C32" s="12"/>
      <c r="D32" s="11"/>
      <c r="E32" s="13"/>
      <c r="G32" s="14"/>
      <c r="H32" s="12"/>
    </row>
    <row r="35" spans="2:7" ht="20.25">
      <c r="B35" s="24" t="s">
        <v>15</v>
      </c>
      <c r="D35" s="24" t="s">
        <v>32</v>
      </c>
      <c r="G35" s="24" t="s">
        <v>32</v>
      </c>
    </row>
    <row r="36" spans="2:7" ht="20.25">
      <c r="B36" s="25"/>
      <c r="D36" s="25"/>
      <c r="G36" s="25"/>
    </row>
    <row r="37" spans="2:7" ht="18.75">
      <c r="B37" s="26" t="s">
        <v>53</v>
      </c>
      <c r="D37" s="26" t="s">
        <v>54</v>
      </c>
      <c r="G37" s="26" t="s">
        <v>54</v>
      </c>
    </row>
    <row r="43" spans="2:7" ht="20.25">
      <c r="C43" s="24" t="s">
        <v>32</v>
      </c>
      <c r="E43" s="24" t="s">
        <v>35</v>
      </c>
    </row>
    <row r="44" spans="2:7" ht="20.25">
      <c r="C44" s="25"/>
      <c r="E44" s="25"/>
    </row>
    <row r="45" spans="2:7" ht="18.75">
      <c r="C45" s="26" t="s">
        <v>34</v>
      </c>
      <c r="D45" s="27"/>
      <c r="E45" s="26" t="s">
        <v>33</v>
      </c>
    </row>
    <row r="50" spans="3:5">
      <c r="C50" s="4" t="s">
        <v>19</v>
      </c>
      <c r="D50" s="4" t="s">
        <v>20</v>
      </c>
      <c r="E50" s="4" t="s">
        <v>21</v>
      </c>
    </row>
    <row r="51" spans="3:5">
      <c r="C51" s="4" t="s">
        <v>22</v>
      </c>
      <c r="D51" s="4" t="s">
        <v>23</v>
      </c>
      <c r="E51" s="4" t="str">
        <f>E50</f>
        <v>without vat</v>
      </c>
    </row>
  </sheetData>
  <mergeCells count="7">
    <mergeCell ref="A9:C9"/>
    <mergeCell ref="A1:H1"/>
    <mergeCell ref="A2:H2"/>
    <mergeCell ref="A3:H3"/>
    <mergeCell ref="A4:H4"/>
    <mergeCell ref="A6:H6"/>
    <mergeCell ref="A7:C7"/>
  </mergeCells>
  <phoneticPr fontId="16" type="noConversion"/>
  <printOptions horizontalCentered="1"/>
  <pageMargins left="0.25" right="0.25" top="0.75" bottom="0.75" header="0.3" footer="0.3"/>
  <pageSetup scale="63" fitToHeight="2"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64DD9-4F36-4F66-9A45-E05D84584E53}">
  <dimension ref="A1:J40"/>
  <sheetViews>
    <sheetView view="pageBreakPreview" topLeftCell="A7" zoomScaleNormal="100" zoomScaleSheetLayoutView="100" workbookViewId="0">
      <selection activeCell="G11" sqref="G11"/>
    </sheetView>
  </sheetViews>
  <sheetFormatPr defaultColWidth="9.140625" defaultRowHeight="15.75"/>
  <cols>
    <col min="1" max="1" width="7" style="4" customWidth="1"/>
    <col min="2" max="2" width="30.42578125" style="4" customWidth="1"/>
    <col min="3" max="3" width="22.42578125" style="4" customWidth="1"/>
    <col min="4" max="5" width="22.5703125" style="4" customWidth="1"/>
    <col min="6" max="6" width="10" style="4" customWidth="1"/>
    <col min="7" max="7" width="18.85546875" style="4" customWidth="1"/>
    <col min="8" max="8" width="26.85546875" style="4" customWidth="1"/>
    <col min="9" max="16384" width="9.140625" style="4"/>
  </cols>
  <sheetData>
    <row r="1" spans="1:10">
      <c r="A1" s="37"/>
      <c r="B1" s="37"/>
      <c r="C1" s="37"/>
      <c r="D1" s="37"/>
      <c r="E1" s="37"/>
      <c r="F1" s="37"/>
      <c r="G1" s="37"/>
      <c r="H1" s="37"/>
    </row>
    <row r="2" spans="1:10" ht="45">
      <c r="A2" s="38" t="s">
        <v>4</v>
      </c>
      <c r="B2" s="38"/>
      <c r="C2" s="38"/>
      <c r="D2" s="38"/>
      <c r="E2" s="38"/>
      <c r="F2" s="38"/>
      <c r="G2" s="38"/>
      <c r="H2" s="38"/>
    </row>
    <row r="3" spans="1:10" ht="27">
      <c r="A3" s="39" t="s">
        <v>5</v>
      </c>
      <c r="B3" s="39"/>
      <c r="C3" s="39"/>
      <c r="D3" s="39"/>
      <c r="E3" s="39"/>
      <c r="F3" s="39"/>
      <c r="G3" s="39"/>
      <c r="H3" s="39"/>
    </row>
    <row r="4" spans="1:10" ht="27">
      <c r="A4" s="39" t="s">
        <v>6</v>
      </c>
      <c r="B4" s="39"/>
      <c r="C4" s="39"/>
      <c r="D4" s="39"/>
      <c r="E4" s="39"/>
      <c r="F4" s="39"/>
      <c r="G4" s="39"/>
      <c r="H4" s="39"/>
    </row>
    <row r="5" spans="1:10" ht="35.25">
      <c r="A5" s="18"/>
      <c r="B5" s="18"/>
      <c r="C5" s="18"/>
      <c r="D5" s="18"/>
      <c r="E5" s="18"/>
      <c r="F5" s="18"/>
      <c r="G5" s="18"/>
      <c r="H5" s="19"/>
    </row>
    <row r="6" spans="1:10" ht="33.75" customHeight="1">
      <c r="A6" s="40" t="s">
        <v>18</v>
      </c>
      <c r="B6" s="40"/>
      <c r="C6" s="40"/>
      <c r="D6" s="40"/>
      <c r="E6" s="40"/>
      <c r="F6" s="40"/>
      <c r="G6" s="40"/>
      <c r="H6" s="40"/>
    </row>
    <row r="7" spans="1:10" ht="33.75" customHeight="1">
      <c r="A7" s="36" t="s">
        <v>37</v>
      </c>
      <c r="B7" s="36"/>
      <c r="C7" s="36"/>
      <c r="D7" s="20"/>
      <c r="E7" s="20"/>
      <c r="F7" s="20"/>
      <c r="G7" s="20"/>
      <c r="H7" s="20"/>
    </row>
    <row r="8" spans="1:10" ht="33.75" customHeight="1">
      <c r="A8" s="21" t="s">
        <v>36</v>
      </c>
      <c r="B8" s="21"/>
      <c r="C8" s="21"/>
      <c r="D8" s="20"/>
      <c r="E8" s="20"/>
      <c r="F8" s="20"/>
      <c r="G8" s="20"/>
      <c r="H8" s="20"/>
    </row>
    <row r="9" spans="1:10" ht="34.5">
      <c r="A9" s="36" t="s">
        <v>50</v>
      </c>
      <c r="B9" s="36"/>
      <c r="C9" s="36"/>
      <c r="D9" s="20"/>
      <c r="E9" s="20"/>
      <c r="F9" s="20"/>
      <c r="G9" s="20"/>
      <c r="H9" s="20"/>
    </row>
    <row r="10" spans="1:10" ht="33">
      <c r="E10" s="22"/>
      <c r="H10" s="23" t="s">
        <v>38</v>
      </c>
    </row>
    <row r="11" spans="1:10" s="35" customFormat="1" ht="40.5">
      <c r="A11" s="33" t="s">
        <v>2</v>
      </c>
      <c r="B11" s="33" t="s">
        <v>14</v>
      </c>
      <c r="C11" s="34" t="s">
        <v>0</v>
      </c>
      <c r="D11" s="34" t="s">
        <v>1</v>
      </c>
      <c r="E11" s="34" t="s">
        <v>8</v>
      </c>
      <c r="F11" s="34" t="s">
        <v>3</v>
      </c>
      <c r="G11" s="34" t="s">
        <v>65</v>
      </c>
      <c r="H11" s="33" t="s">
        <v>7</v>
      </c>
    </row>
    <row r="12" spans="1:10" ht="20.25">
      <c r="A12" s="9">
        <v>1</v>
      </c>
      <c r="B12" s="15" t="s">
        <v>44</v>
      </c>
      <c r="C12" s="28">
        <v>35</v>
      </c>
      <c r="D12" s="29">
        <v>41</v>
      </c>
      <c r="E12" s="29">
        <f t="shared" ref="E12:E15" si="0">D12-C12</f>
        <v>6</v>
      </c>
      <c r="F12" s="30">
        <v>3102</v>
      </c>
      <c r="G12" s="1">
        <f t="shared" ref="G12:G15" si="1">F12*E12</f>
        <v>18612</v>
      </c>
      <c r="H12" s="1" t="s">
        <v>59</v>
      </c>
      <c r="J12" s="31"/>
    </row>
    <row r="13" spans="1:10" ht="20.25">
      <c r="A13" s="9">
        <v>2</v>
      </c>
      <c r="B13" s="15" t="s">
        <v>43</v>
      </c>
      <c r="C13" s="28">
        <v>41</v>
      </c>
      <c r="D13" s="29">
        <v>50</v>
      </c>
      <c r="E13" s="29">
        <f t="shared" si="0"/>
        <v>9</v>
      </c>
      <c r="F13" s="30">
        <v>3102</v>
      </c>
      <c r="G13" s="1">
        <f t="shared" si="1"/>
        <v>27918</v>
      </c>
      <c r="H13" s="1" t="s">
        <v>59</v>
      </c>
      <c r="J13" s="31"/>
    </row>
    <row r="14" spans="1:10" ht="20.25">
      <c r="A14" s="9">
        <v>3</v>
      </c>
      <c r="B14" s="15" t="s">
        <v>45</v>
      </c>
      <c r="C14" s="28">
        <v>50</v>
      </c>
      <c r="D14" s="29">
        <v>52</v>
      </c>
      <c r="E14" s="29">
        <f t="shared" si="0"/>
        <v>2</v>
      </c>
      <c r="F14" s="30">
        <v>3102</v>
      </c>
      <c r="G14" s="1">
        <f t="shared" si="1"/>
        <v>6204</v>
      </c>
      <c r="H14" s="1" t="s">
        <v>56</v>
      </c>
      <c r="J14" s="31"/>
    </row>
    <row r="15" spans="1:10" ht="20.25">
      <c r="A15" s="9">
        <v>4</v>
      </c>
      <c r="B15" s="15" t="s">
        <v>45</v>
      </c>
      <c r="C15" s="28">
        <v>52</v>
      </c>
      <c r="D15" s="29">
        <v>56</v>
      </c>
      <c r="E15" s="29">
        <f t="shared" si="0"/>
        <v>4</v>
      </c>
      <c r="F15" s="30">
        <v>3102</v>
      </c>
      <c r="G15" s="1">
        <f t="shared" si="1"/>
        <v>12408</v>
      </c>
      <c r="H15" s="1" t="s">
        <v>59</v>
      </c>
      <c r="J15" s="31"/>
    </row>
    <row r="16" spans="1:10">
      <c r="A16" s="1"/>
      <c r="B16" s="1"/>
      <c r="C16" s="3"/>
      <c r="D16" s="1"/>
      <c r="E16" s="10" t="s">
        <v>9</v>
      </c>
      <c r="F16" s="8"/>
      <c r="G16" s="2">
        <f>SUM(G12:G15)</f>
        <v>65142</v>
      </c>
      <c r="H16" s="3"/>
    </row>
    <row r="17" spans="1:8">
      <c r="A17" s="1"/>
      <c r="B17" s="1"/>
      <c r="C17" s="3"/>
      <c r="D17" s="1"/>
      <c r="E17" s="10" t="s">
        <v>10</v>
      </c>
      <c r="F17" s="8"/>
      <c r="G17" s="2"/>
      <c r="H17" s="3"/>
    </row>
    <row r="18" spans="1:8">
      <c r="A18" s="1"/>
      <c r="B18" s="1"/>
      <c r="C18" s="3"/>
      <c r="D18" s="1"/>
      <c r="E18" s="10" t="s">
        <v>11</v>
      </c>
      <c r="F18" s="8"/>
      <c r="G18" s="2">
        <f>G16</f>
        <v>65142</v>
      </c>
      <c r="H18" s="3"/>
    </row>
    <row r="19" spans="1:8">
      <c r="A19" s="1"/>
      <c r="B19" s="1"/>
      <c r="C19" s="3"/>
      <c r="D19" s="1"/>
      <c r="E19" s="10" t="s">
        <v>12</v>
      </c>
      <c r="F19" s="8"/>
      <c r="G19" s="2">
        <f>0.13*G18</f>
        <v>8468.4600000000009</v>
      </c>
      <c r="H19" s="3"/>
    </row>
    <row r="20" spans="1:8">
      <c r="A20" s="1"/>
      <c r="B20" s="1"/>
      <c r="C20" s="3"/>
      <c r="D20" s="1"/>
      <c r="E20" s="10" t="s">
        <v>13</v>
      </c>
      <c r="F20" s="8"/>
      <c r="G20" s="2">
        <f>SUM(G18:G19)</f>
        <v>73610.460000000006</v>
      </c>
      <c r="H20" s="3"/>
    </row>
    <row r="21" spans="1:8">
      <c r="A21" s="11"/>
      <c r="B21" s="11"/>
      <c r="C21" s="12"/>
      <c r="D21" s="11"/>
      <c r="E21" s="13"/>
      <c r="G21" s="14"/>
      <c r="H21" s="12"/>
    </row>
    <row r="24" spans="1:8" ht="20.25">
      <c r="B24" s="24" t="s">
        <v>15</v>
      </c>
      <c r="D24" s="24" t="s">
        <v>32</v>
      </c>
      <c r="G24" s="24" t="s">
        <v>32</v>
      </c>
    </row>
    <row r="25" spans="1:8" ht="20.25">
      <c r="B25" s="25"/>
      <c r="D25" s="25"/>
      <c r="G25" s="25"/>
    </row>
    <row r="26" spans="1:8" ht="18.75">
      <c r="B26" s="26" t="s">
        <v>53</v>
      </c>
      <c r="D26" s="26" t="s">
        <v>54</v>
      </c>
      <c r="G26" s="26" t="s">
        <v>54</v>
      </c>
    </row>
    <row r="32" spans="1:8" ht="20.25">
      <c r="C32" s="24" t="s">
        <v>32</v>
      </c>
      <c r="E32" s="24" t="s">
        <v>35</v>
      </c>
    </row>
    <row r="33" spans="3:5" ht="20.25">
      <c r="C33" s="25"/>
      <c r="E33" s="25"/>
    </row>
    <row r="34" spans="3:5" ht="18.75">
      <c r="C34" s="26" t="s">
        <v>34</v>
      </c>
      <c r="D34" s="27"/>
      <c r="E34" s="26" t="s">
        <v>33</v>
      </c>
    </row>
    <row r="39" spans="3:5">
      <c r="C39" s="4" t="s">
        <v>19</v>
      </c>
      <c r="D39" s="4" t="s">
        <v>20</v>
      </c>
      <c r="E39" s="4" t="s">
        <v>21</v>
      </c>
    </row>
    <row r="40" spans="3:5">
      <c r="C40" s="4" t="s">
        <v>22</v>
      </c>
      <c r="D40" s="4" t="s">
        <v>23</v>
      </c>
      <c r="E40" s="4" t="str">
        <f>E39</f>
        <v>without vat</v>
      </c>
    </row>
  </sheetData>
  <mergeCells count="7">
    <mergeCell ref="A9:C9"/>
    <mergeCell ref="A1:H1"/>
    <mergeCell ref="A2:H2"/>
    <mergeCell ref="A3:H3"/>
    <mergeCell ref="A4:H4"/>
    <mergeCell ref="A6:H6"/>
    <mergeCell ref="A7:C7"/>
  </mergeCells>
  <printOptions horizontalCentered="1"/>
  <pageMargins left="0.25" right="0.25" top="0.75" bottom="0.75" header="0.3" footer="0.3"/>
  <pageSetup scale="63" fitToHeight="2"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BEC72-AA83-4459-9CC2-036ACA69024E}">
  <dimension ref="A1:J40"/>
  <sheetViews>
    <sheetView view="pageBreakPreview" zoomScaleNormal="100" zoomScaleSheetLayoutView="100" workbookViewId="0">
      <selection activeCell="H13" sqref="H13"/>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32" t="s">
        <v>52</v>
      </c>
      <c r="C10" s="28">
        <v>186</v>
      </c>
      <c r="D10" s="29">
        <v>194</v>
      </c>
      <c r="E10" s="29">
        <f t="shared" ref="E10" si="0">D10-C10</f>
        <v>8</v>
      </c>
      <c r="F10" s="30">
        <v>3102</v>
      </c>
      <c r="G10" s="1">
        <f t="shared" ref="G10" si="1">F10*E10</f>
        <v>24816</v>
      </c>
      <c r="H10" s="1" t="s">
        <v>63</v>
      </c>
      <c r="J10" s="31"/>
    </row>
    <row r="11" spans="1:10">
      <c r="A11" s="1"/>
      <c r="B11" s="1"/>
      <c r="C11" s="3"/>
      <c r="D11" s="1"/>
      <c r="E11" s="10" t="s">
        <v>9</v>
      </c>
      <c r="F11" s="8"/>
      <c r="G11" s="2">
        <f>SUM(G10:G10)</f>
        <v>24816</v>
      </c>
      <c r="H11" s="3"/>
    </row>
    <row r="12" spans="1:10">
      <c r="A12" s="1"/>
      <c r="B12" s="1"/>
      <c r="C12" s="3"/>
      <c r="D12" s="1"/>
      <c r="E12" s="10" t="s">
        <v>10</v>
      </c>
      <c r="F12" s="8"/>
      <c r="G12" s="2"/>
      <c r="H12" s="3"/>
    </row>
    <row r="13" spans="1:10">
      <c r="A13" s="1"/>
      <c r="B13" s="1"/>
      <c r="C13" s="3"/>
      <c r="D13" s="1"/>
      <c r="E13" s="10" t="s">
        <v>11</v>
      </c>
      <c r="F13" s="8"/>
      <c r="G13" s="2">
        <f>G11</f>
        <v>24816</v>
      </c>
      <c r="H13" s="3"/>
    </row>
    <row r="14" spans="1:10">
      <c r="A14" s="1"/>
      <c r="B14" s="1"/>
      <c r="C14" s="3"/>
      <c r="D14" s="1"/>
      <c r="E14" s="10" t="s">
        <v>12</v>
      </c>
      <c r="F14" s="8"/>
      <c r="G14" s="2">
        <f>0.13*G13</f>
        <v>3226.08</v>
      </c>
      <c r="H14" s="3"/>
    </row>
    <row r="15" spans="1:10">
      <c r="A15" s="1"/>
      <c r="B15" s="1"/>
      <c r="C15" s="3"/>
      <c r="D15" s="1"/>
      <c r="E15" s="10" t="s">
        <v>13</v>
      </c>
      <c r="F15" s="8"/>
      <c r="G15" s="2">
        <f>SUM(G13:G14)</f>
        <v>28042.080000000002</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634F-70BE-4E70-8008-712172581723}">
  <dimension ref="A1:J40"/>
  <sheetViews>
    <sheetView view="pageBreakPreview" topLeftCell="A7" zoomScaleNormal="100" zoomScaleSheetLayoutView="100" workbookViewId="0">
      <selection activeCell="A28" sqref="A28:XFD28"/>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32" t="s">
        <v>51</v>
      </c>
      <c r="C10" s="28">
        <v>179</v>
      </c>
      <c r="D10" s="29">
        <v>186</v>
      </c>
      <c r="E10" s="29">
        <f t="shared" ref="E10" si="0">D10-C10</f>
        <v>7</v>
      </c>
      <c r="F10" s="30">
        <v>3102</v>
      </c>
      <c r="G10" s="1">
        <f t="shared" ref="G10" si="1">F10*E10</f>
        <v>21714</v>
      </c>
      <c r="H10" s="1" t="s">
        <v>63</v>
      </c>
      <c r="J10" s="31"/>
    </row>
    <row r="11" spans="1:10">
      <c r="A11" s="1"/>
      <c r="B11" s="1"/>
      <c r="C11" s="3"/>
      <c r="D11" s="1"/>
      <c r="E11" s="10" t="s">
        <v>9</v>
      </c>
      <c r="F11" s="8"/>
      <c r="G11" s="2">
        <f>SUM(G10:G10)</f>
        <v>21714</v>
      </c>
      <c r="H11" s="3"/>
    </row>
    <row r="12" spans="1:10">
      <c r="A12" s="1"/>
      <c r="B12" s="1"/>
      <c r="C12" s="3"/>
      <c r="D12" s="1"/>
      <c r="E12" s="10" t="s">
        <v>10</v>
      </c>
      <c r="F12" s="8"/>
      <c r="G12" s="2"/>
      <c r="H12" s="3"/>
    </row>
    <row r="13" spans="1:10">
      <c r="A13" s="1"/>
      <c r="B13" s="1"/>
      <c r="C13" s="3"/>
      <c r="D13" s="1"/>
      <c r="E13" s="10" t="s">
        <v>11</v>
      </c>
      <c r="F13" s="8"/>
      <c r="G13" s="2">
        <f>G11</f>
        <v>21714</v>
      </c>
      <c r="H13" s="3"/>
    </row>
    <row r="14" spans="1:10">
      <c r="A14" s="1"/>
      <c r="B14" s="1"/>
      <c r="C14" s="3"/>
      <c r="D14" s="1"/>
      <c r="E14" s="10" t="s">
        <v>12</v>
      </c>
      <c r="F14" s="8"/>
      <c r="G14" s="2">
        <f>0.13*G13</f>
        <v>2822.82</v>
      </c>
      <c r="H14" s="3"/>
    </row>
    <row r="15" spans="1:10">
      <c r="A15" s="1"/>
      <c r="B15" s="1"/>
      <c r="C15" s="3"/>
      <c r="D15" s="1"/>
      <c r="E15" s="10" t="s">
        <v>13</v>
      </c>
      <c r="F15" s="8"/>
      <c r="G15" s="2">
        <f>SUM(G13:G14)</f>
        <v>24536.82</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E923-7B4C-4047-9FFC-89BBA291E89A}">
  <dimension ref="A1:J40"/>
  <sheetViews>
    <sheetView view="pageBreakPreview" topLeftCell="A4" zoomScaleNormal="100" zoomScaleSheetLayoutView="100" workbookViewId="0">
      <selection activeCell="H12" sqref="H12"/>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31.5">
      <c r="A10" s="9">
        <v>1</v>
      </c>
      <c r="B10" s="32" t="s">
        <v>49</v>
      </c>
      <c r="C10" s="28">
        <v>173</v>
      </c>
      <c r="D10" s="29">
        <v>179</v>
      </c>
      <c r="E10" s="29">
        <f t="shared" ref="E10" si="0">D10-C10</f>
        <v>6</v>
      </c>
      <c r="F10" s="30">
        <v>3113</v>
      </c>
      <c r="G10" s="1">
        <f t="shared" ref="G10" si="1">F10*E10</f>
        <v>18678</v>
      </c>
      <c r="H10" s="3" t="s">
        <v>66</v>
      </c>
      <c r="J10" s="31"/>
    </row>
    <row r="11" spans="1:10">
      <c r="A11" s="1"/>
      <c r="B11" s="1"/>
      <c r="C11" s="3"/>
      <c r="D11" s="1"/>
      <c r="E11" s="10" t="s">
        <v>9</v>
      </c>
      <c r="F11" s="8"/>
      <c r="G11" s="2">
        <f>SUM(G10:G10)</f>
        <v>18678</v>
      </c>
      <c r="H11" s="3"/>
    </row>
    <row r="12" spans="1:10">
      <c r="A12" s="1"/>
      <c r="B12" s="1"/>
      <c r="C12" s="3"/>
      <c r="D12" s="1"/>
      <c r="E12" s="10" t="s">
        <v>10</v>
      </c>
      <c r="F12" s="8"/>
      <c r="G12" s="2"/>
      <c r="H12" s="3"/>
    </row>
    <row r="13" spans="1:10">
      <c r="A13" s="1"/>
      <c r="B13" s="1"/>
      <c r="C13" s="3"/>
      <c r="D13" s="1"/>
      <c r="E13" s="10" t="s">
        <v>11</v>
      </c>
      <c r="F13" s="8"/>
      <c r="G13" s="2">
        <f>G11</f>
        <v>18678</v>
      </c>
      <c r="H13" s="3"/>
    </row>
    <row r="14" spans="1:10">
      <c r="A14" s="1"/>
      <c r="B14" s="1"/>
      <c r="C14" s="3"/>
      <c r="D14" s="1"/>
      <c r="E14" s="10" t="s">
        <v>12</v>
      </c>
      <c r="F14" s="8"/>
      <c r="G14" s="2">
        <f>0.13*G13</f>
        <v>2428.14</v>
      </c>
      <c r="H14" s="3"/>
    </row>
    <row r="15" spans="1:10">
      <c r="A15" s="1"/>
      <c r="B15" s="1"/>
      <c r="C15" s="3"/>
      <c r="D15" s="1"/>
      <c r="E15" s="10" t="s">
        <v>13</v>
      </c>
      <c r="F15" s="8"/>
      <c r="G15" s="2">
        <f>SUM(G13:G14)</f>
        <v>21106.14</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001F-D207-4F29-B78F-150725CE6D6C}">
  <dimension ref="A1:J40"/>
  <sheetViews>
    <sheetView view="pageBreakPreview" topLeftCell="A4" zoomScaleNormal="100" zoomScaleSheetLayoutView="100" workbookViewId="0">
      <selection activeCell="H11" sqref="H11"/>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15" t="s">
        <v>48</v>
      </c>
      <c r="C10" s="28">
        <v>140</v>
      </c>
      <c r="D10" s="29">
        <v>147</v>
      </c>
      <c r="E10" s="29">
        <f t="shared" ref="E10" si="0">D10-C10</f>
        <v>7</v>
      </c>
      <c r="F10" s="30">
        <v>3112</v>
      </c>
      <c r="G10" s="1">
        <f t="shared" ref="G10" si="1">F10*E10</f>
        <v>21784</v>
      </c>
      <c r="H10" s="1" t="s">
        <v>67</v>
      </c>
      <c r="J10" s="31"/>
    </row>
    <row r="11" spans="1:10">
      <c r="A11" s="1"/>
      <c r="B11" s="1"/>
      <c r="C11" s="3"/>
      <c r="D11" s="1"/>
      <c r="E11" s="10" t="s">
        <v>9</v>
      </c>
      <c r="F11" s="8"/>
      <c r="G11" s="2">
        <f>SUM(G10:G10)</f>
        <v>21784</v>
      </c>
      <c r="H11" s="3"/>
    </row>
    <row r="12" spans="1:10">
      <c r="A12" s="1"/>
      <c r="B12" s="1"/>
      <c r="C12" s="3"/>
      <c r="D12" s="1"/>
      <c r="E12" s="10" t="s">
        <v>10</v>
      </c>
      <c r="F12" s="8"/>
      <c r="G12" s="2"/>
      <c r="H12" s="3"/>
    </row>
    <row r="13" spans="1:10">
      <c r="A13" s="1"/>
      <c r="B13" s="1"/>
      <c r="C13" s="3"/>
      <c r="D13" s="1"/>
      <c r="E13" s="10" t="s">
        <v>11</v>
      </c>
      <c r="F13" s="8"/>
      <c r="G13" s="2">
        <f>G11</f>
        <v>21784</v>
      </c>
      <c r="H13" s="3"/>
    </row>
    <row r="14" spans="1:10">
      <c r="A14" s="1"/>
      <c r="B14" s="1"/>
      <c r="C14" s="3"/>
      <c r="D14" s="1"/>
      <c r="E14" s="10" t="s">
        <v>12</v>
      </c>
      <c r="F14" s="8"/>
      <c r="G14" s="2">
        <f>0.13*G13</f>
        <v>2831.92</v>
      </c>
      <c r="H14" s="3"/>
    </row>
    <row r="15" spans="1:10">
      <c r="A15" s="1"/>
      <c r="B15" s="1"/>
      <c r="C15" s="3"/>
      <c r="D15" s="1"/>
      <c r="E15" s="10" t="s">
        <v>13</v>
      </c>
      <c r="F15" s="8"/>
      <c r="G15" s="2">
        <f>SUM(G13:G14)</f>
        <v>24615.919999999998</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2F82-81E1-4ED3-A24E-7C71A929F800}">
  <dimension ref="A1:J40"/>
  <sheetViews>
    <sheetView view="pageBreakPreview" topLeftCell="A4" zoomScaleNormal="100" zoomScaleSheetLayoutView="100" workbookViewId="0">
      <selection activeCell="H11" sqref="H11"/>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15" t="s">
        <v>47</v>
      </c>
      <c r="C10" s="28">
        <v>135</v>
      </c>
      <c r="D10" s="29">
        <v>140</v>
      </c>
      <c r="E10" s="29">
        <f t="shared" ref="E10" si="0">D10-C10</f>
        <v>5</v>
      </c>
      <c r="F10" s="30">
        <v>3111</v>
      </c>
      <c r="G10" s="1">
        <f t="shared" ref="G10" si="1">F10*E10</f>
        <v>15555</v>
      </c>
      <c r="H10" s="1" t="s">
        <v>68</v>
      </c>
      <c r="J10" s="31"/>
    </row>
    <row r="11" spans="1:10">
      <c r="A11" s="1"/>
      <c r="B11" s="1"/>
      <c r="C11" s="3"/>
      <c r="D11" s="1"/>
      <c r="E11" s="10" t="s">
        <v>9</v>
      </c>
      <c r="F11" s="8"/>
      <c r="G11" s="2">
        <f>SUM(G10:G10)</f>
        <v>15555</v>
      </c>
      <c r="H11" s="3"/>
    </row>
    <row r="12" spans="1:10">
      <c r="A12" s="1"/>
      <c r="B12" s="1"/>
      <c r="C12" s="3"/>
      <c r="D12" s="1"/>
      <c r="E12" s="10" t="s">
        <v>10</v>
      </c>
      <c r="F12" s="8"/>
      <c r="G12" s="2"/>
      <c r="H12" s="3"/>
    </row>
    <row r="13" spans="1:10">
      <c r="A13" s="1"/>
      <c r="B13" s="1"/>
      <c r="C13" s="3"/>
      <c r="D13" s="1"/>
      <c r="E13" s="10" t="s">
        <v>11</v>
      </c>
      <c r="F13" s="8"/>
      <c r="G13" s="2">
        <f>G11</f>
        <v>15555</v>
      </c>
      <c r="H13" s="3"/>
    </row>
    <row r="14" spans="1:10">
      <c r="A14" s="1"/>
      <c r="B14" s="1"/>
      <c r="C14" s="3"/>
      <c r="D14" s="1"/>
      <c r="E14" s="10" t="s">
        <v>12</v>
      </c>
      <c r="F14" s="8"/>
      <c r="G14" s="2">
        <f>0.13*G13</f>
        <v>2022.15</v>
      </c>
      <c r="H14" s="3"/>
    </row>
    <row r="15" spans="1:10">
      <c r="A15" s="1"/>
      <c r="B15" s="1"/>
      <c r="C15" s="3"/>
      <c r="D15" s="1"/>
      <c r="E15" s="10" t="s">
        <v>13</v>
      </c>
      <c r="F15" s="8"/>
      <c r="G15" s="2">
        <f>SUM(G13:G14)</f>
        <v>17577.150000000001</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1AB25-1573-4DC7-BF63-2189B2B57D00}">
  <dimension ref="A1:J40"/>
  <sheetViews>
    <sheetView view="pageBreakPreview" topLeftCell="A7" zoomScaleNormal="100" zoomScaleSheetLayoutView="100" workbookViewId="0">
      <selection activeCell="A28" sqref="A28:XFD28"/>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15" t="s">
        <v>46</v>
      </c>
      <c r="C10" s="28">
        <v>129</v>
      </c>
      <c r="D10" s="29">
        <v>135</v>
      </c>
      <c r="E10" s="29">
        <f>D10-C10</f>
        <v>6</v>
      </c>
      <c r="F10" s="30">
        <v>3110</v>
      </c>
      <c r="G10" s="1">
        <f>F10*E10</f>
        <v>18660</v>
      </c>
      <c r="H10" s="1" t="s">
        <v>60</v>
      </c>
      <c r="J10" s="31"/>
    </row>
    <row r="11" spans="1:10">
      <c r="A11" s="1"/>
      <c r="B11" s="1"/>
      <c r="C11" s="3"/>
      <c r="D11" s="1"/>
      <c r="E11" s="10" t="s">
        <v>9</v>
      </c>
      <c r="F11" s="8"/>
      <c r="G11" s="2">
        <f>SUM(G10:G10)</f>
        <v>18660</v>
      </c>
      <c r="H11" s="3"/>
    </row>
    <row r="12" spans="1:10">
      <c r="A12" s="1"/>
      <c r="B12" s="1"/>
      <c r="C12" s="3"/>
      <c r="D12" s="1"/>
      <c r="E12" s="10" t="s">
        <v>10</v>
      </c>
      <c r="F12" s="8"/>
      <c r="G12" s="2"/>
      <c r="H12" s="3"/>
    </row>
    <row r="13" spans="1:10">
      <c r="A13" s="1"/>
      <c r="B13" s="1"/>
      <c r="C13" s="3"/>
      <c r="D13" s="1"/>
      <c r="E13" s="10" t="s">
        <v>11</v>
      </c>
      <c r="F13" s="8"/>
      <c r="G13" s="2">
        <f>G11</f>
        <v>18660</v>
      </c>
      <c r="H13" s="3"/>
    </row>
    <row r="14" spans="1:10">
      <c r="A14" s="1"/>
      <c r="B14" s="1"/>
      <c r="C14" s="3"/>
      <c r="D14" s="1"/>
      <c r="E14" s="10" t="s">
        <v>12</v>
      </c>
      <c r="F14" s="8"/>
      <c r="G14" s="2">
        <f>0.13*G13</f>
        <v>2425.8000000000002</v>
      </c>
      <c r="H14" s="3"/>
    </row>
    <row r="15" spans="1:10">
      <c r="A15" s="1"/>
      <c r="B15" s="1"/>
      <c r="C15" s="3"/>
      <c r="D15" s="1"/>
      <c r="E15" s="10" t="s">
        <v>13</v>
      </c>
      <c r="F15" s="8"/>
      <c r="G15" s="2">
        <f>SUM(G13:G14)</f>
        <v>21085.8</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D428-3042-4057-A793-ED1FA591C7B8}">
  <dimension ref="A1:J41"/>
  <sheetViews>
    <sheetView view="pageBreakPreview" topLeftCell="A4" zoomScaleNormal="100" zoomScaleSheetLayoutView="100" workbookViewId="0">
      <selection activeCell="H10" sqref="H10"/>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15" t="s">
        <v>41</v>
      </c>
      <c r="C10" s="28">
        <v>87</v>
      </c>
      <c r="D10" s="29">
        <v>89</v>
      </c>
      <c r="E10" s="29">
        <f t="shared" ref="E10" si="0">D10-C10</f>
        <v>2</v>
      </c>
      <c r="F10" s="30">
        <v>3104</v>
      </c>
      <c r="G10" s="1">
        <f t="shared" ref="G10" si="1">F10*E10</f>
        <v>6208</v>
      </c>
      <c r="H10" s="1" t="s">
        <v>57</v>
      </c>
      <c r="J10" s="31"/>
    </row>
    <row r="11" spans="1:10" ht="31.5">
      <c r="A11" s="9">
        <v>2</v>
      </c>
      <c r="B11" s="15" t="s">
        <v>42</v>
      </c>
      <c r="C11" s="28">
        <v>89</v>
      </c>
      <c r="D11" s="29">
        <v>93</v>
      </c>
      <c r="E11" s="29">
        <f>D11-C11</f>
        <v>4</v>
      </c>
      <c r="F11" s="30">
        <v>3105</v>
      </c>
      <c r="G11" s="1">
        <f>F11*E11</f>
        <v>12420</v>
      </c>
      <c r="H11" s="3" t="s">
        <v>69</v>
      </c>
      <c r="J11" s="31"/>
    </row>
    <row r="12" spans="1:10">
      <c r="A12" s="1"/>
      <c r="B12" s="1"/>
      <c r="C12" s="3"/>
      <c r="D12" s="1"/>
      <c r="E12" s="10" t="s">
        <v>9</v>
      </c>
      <c r="F12" s="8"/>
      <c r="G12" s="2">
        <f>SUM(G10:G10)</f>
        <v>6208</v>
      </c>
      <c r="H12" s="3"/>
    </row>
    <row r="13" spans="1:10">
      <c r="A13" s="1"/>
      <c r="B13" s="1"/>
      <c r="C13" s="3"/>
      <c r="D13" s="1"/>
      <c r="E13" s="10" t="s">
        <v>10</v>
      </c>
      <c r="F13" s="8"/>
      <c r="G13" s="2"/>
      <c r="H13" s="3"/>
    </row>
    <row r="14" spans="1:10">
      <c r="A14" s="1"/>
      <c r="B14" s="1"/>
      <c r="C14" s="3"/>
      <c r="D14" s="1"/>
      <c r="E14" s="10" t="s">
        <v>11</v>
      </c>
      <c r="F14" s="8"/>
      <c r="G14" s="2">
        <f>G12</f>
        <v>6208</v>
      </c>
      <c r="H14" s="3"/>
    </row>
    <row r="15" spans="1:10">
      <c r="A15" s="1"/>
      <c r="B15" s="1"/>
      <c r="C15" s="3"/>
      <c r="D15" s="1"/>
      <c r="E15" s="10" t="s">
        <v>12</v>
      </c>
      <c r="F15" s="8"/>
      <c r="G15" s="2">
        <f>0.13*G14</f>
        <v>807.04000000000008</v>
      </c>
      <c r="H15" s="3"/>
    </row>
    <row r="16" spans="1:10">
      <c r="A16" s="1"/>
      <c r="B16" s="1"/>
      <c r="C16" s="3"/>
      <c r="D16" s="1"/>
      <c r="E16" s="10" t="s">
        <v>13</v>
      </c>
      <c r="F16" s="8"/>
      <c r="G16" s="2">
        <f>SUM(G14:G15)</f>
        <v>7015.04</v>
      </c>
      <c r="H16" s="3"/>
    </row>
    <row r="17" spans="1:8">
      <c r="A17" s="11"/>
      <c r="B17" s="11"/>
      <c r="C17" s="12"/>
      <c r="D17" s="11"/>
      <c r="E17" s="13"/>
      <c r="G17" s="14"/>
      <c r="H17" s="12"/>
    </row>
    <row r="24" spans="1:8" ht="20.25">
      <c r="B24" s="24" t="s">
        <v>15</v>
      </c>
      <c r="E24" s="24" t="s">
        <v>32</v>
      </c>
      <c r="H24" s="24" t="s">
        <v>32</v>
      </c>
    </row>
    <row r="25" spans="1:8" ht="20.25">
      <c r="B25" s="25"/>
      <c r="E25" s="25"/>
      <c r="H25" s="25"/>
    </row>
    <row r="26" spans="1:8" ht="18.75">
      <c r="B26" s="26" t="s">
        <v>53</v>
      </c>
      <c r="E26" s="26" t="s">
        <v>54</v>
      </c>
      <c r="H26" s="26" t="s">
        <v>54</v>
      </c>
    </row>
    <row r="33" spans="3:6" ht="20.25">
      <c r="C33" s="24" t="s">
        <v>32</v>
      </c>
      <c r="F33" s="24" t="s">
        <v>35</v>
      </c>
    </row>
    <row r="34" spans="3:6" ht="20.25">
      <c r="C34" s="25"/>
      <c r="F34" s="25"/>
    </row>
    <row r="35" spans="3:6" ht="18.75">
      <c r="C35" s="26" t="s">
        <v>34</v>
      </c>
      <c r="D35" s="27"/>
      <c r="F35" s="26" t="s">
        <v>33</v>
      </c>
    </row>
    <row r="40" spans="3:6">
      <c r="C40" s="4" t="s">
        <v>19</v>
      </c>
      <c r="D40" s="4" t="s">
        <v>20</v>
      </c>
      <c r="E40" s="4" t="s">
        <v>21</v>
      </c>
    </row>
    <row r="41" spans="3:6">
      <c r="C41" s="4" t="s">
        <v>22</v>
      </c>
      <c r="D41" s="4" t="s">
        <v>23</v>
      </c>
      <c r="E41" s="4" t="str">
        <f>E40</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3AB-31F1-4B71-A5FC-BE85899C2118}">
  <dimension ref="A1:J40"/>
  <sheetViews>
    <sheetView view="pageBreakPreview" topLeftCell="A7" zoomScaleNormal="100" zoomScaleSheetLayoutView="100" workbookViewId="0">
      <selection activeCell="H11" sqref="H11"/>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15" t="s">
        <v>40</v>
      </c>
      <c r="C10" s="28">
        <v>79.7</v>
      </c>
      <c r="D10" s="29">
        <v>87</v>
      </c>
      <c r="E10" s="29">
        <f t="shared" ref="E10" si="0">D10-C10</f>
        <v>7.2999999999999972</v>
      </c>
      <c r="F10" s="30">
        <v>3103</v>
      </c>
      <c r="G10" s="1">
        <f t="shared" ref="G10" si="1">F10*E10</f>
        <v>22651.899999999991</v>
      </c>
      <c r="H10" s="1" t="s">
        <v>70</v>
      </c>
      <c r="J10" s="31"/>
    </row>
    <row r="11" spans="1:10">
      <c r="A11" s="1"/>
      <c r="B11" s="1"/>
      <c r="C11" s="3"/>
      <c r="D11" s="1"/>
      <c r="E11" s="10" t="s">
        <v>9</v>
      </c>
      <c r="F11" s="8"/>
      <c r="G11" s="2">
        <f>SUM(G10:G10)</f>
        <v>22651.899999999991</v>
      </c>
      <c r="H11" s="3"/>
    </row>
    <row r="12" spans="1:10">
      <c r="A12" s="1"/>
      <c r="B12" s="1"/>
      <c r="C12" s="3"/>
      <c r="D12" s="1"/>
      <c r="E12" s="10" t="s">
        <v>10</v>
      </c>
      <c r="F12" s="8"/>
      <c r="G12" s="2"/>
      <c r="H12" s="3"/>
    </row>
    <row r="13" spans="1:10">
      <c r="A13" s="1"/>
      <c r="B13" s="1"/>
      <c r="C13" s="3"/>
      <c r="D13" s="1"/>
      <c r="E13" s="10" t="s">
        <v>11</v>
      </c>
      <c r="F13" s="8"/>
      <c r="G13" s="2">
        <f>G11</f>
        <v>22651.899999999991</v>
      </c>
      <c r="H13" s="3"/>
    </row>
    <row r="14" spans="1:10">
      <c r="A14" s="1"/>
      <c r="B14" s="1"/>
      <c r="C14" s="3"/>
      <c r="D14" s="1"/>
      <c r="E14" s="10" t="s">
        <v>12</v>
      </c>
      <c r="F14" s="8"/>
      <c r="G14" s="2">
        <f>0.13*G13</f>
        <v>2944.7469999999989</v>
      </c>
      <c r="H14" s="3"/>
    </row>
    <row r="15" spans="1:10">
      <c r="A15" s="1"/>
      <c r="B15" s="1"/>
      <c r="C15" s="3"/>
      <c r="D15" s="1"/>
      <c r="E15" s="10" t="s">
        <v>13</v>
      </c>
      <c r="F15" s="8"/>
      <c r="G15" s="2">
        <f>SUM(G13:G14)</f>
        <v>25596.64699999999</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C5E6-1151-4B79-8504-C8448F9890FB}">
  <dimension ref="A1:J40"/>
  <sheetViews>
    <sheetView tabSelected="1" view="pageBreakPreview" topLeftCell="A7" zoomScaleNormal="100" zoomScaleSheetLayoutView="100" workbookViewId="0">
      <selection activeCell="B18" sqref="B18"/>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15" t="s">
        <v>39</v>
      </c>
      <c r="C10" s="28">
        <v>77.7</v>
      </c>
      <c r="D10" s="29">
        <v>79.7</v>
      </c>
      <c r="E10" s="29">
        <f>D10-C10</f>
        <v>2</v>
      </c>
      <c r="F10" s="30">
        <v>3102</v>
      </c>
      <c r="G10" s="1">
        <f>F10*E10</f>
        <v>6204</v>
      </c>
      <c r="H10" s="1" t="s">
        <v>55</v>
      </c>
      <c r="J10" s="30">
        <v>2198</v>
      </c>
    </row>
    <row r="11" spans="1:10">
      <c r="A11" s="1"/>
      <c r="B11" s="1"/>
      <c r="C11" s="3"/>
      <c r="D11" s="1"/>
      <c r="E11" s="10" t="s">
        <v>9</v>
      </c>
      <c r="F11" s="8"/>
      <c r="G11" s="2">
        <f>SUM(G10:G10)</f>
        <v>6204</v>
      </c>
      <c r="H11" s="3"/>
    </row>
    <row r="12" spans="1:10">
      <c r="A12" s="1"/>
      <c r="B12" s="1"/>
      <c r="C12" s="3"/>
      <c r="D12" s="1"/>
      <c r="E12" s="10" t="s">
        <v>10</v>
      </c>
      <c r="F12" s="8"/>
      <c r="G12" s="2"/>
      <c r="H12" s="3"/>
    </row>
    <row r="13" spans="1:10">
      <c r="A13" s="1"/>
      <c r="B13" s="1"/>
      <c r="C13" s="3"/>
      <c r="D13" s="1"/>
      <c r="E13" s="10" t="s">
        <v>11</v>
      </c>
      <c r="F13" s="8"/>
      <c r="G13" s="2">
        <f>G11</f>
        <v>6204</v>
      </c>
      <c r="H13" s="3"/>
    </row>
    <row r="14" spans="1:10">
      <c r="A14" s="1"/>
      <c r="B14" s="1"/>
      <c r="C14" s="3"/>
      <c r="D14" s="1"/>
      <c r="E14" s="10" t="s">
        <v>12</v>
      </c>
      <c r="F14" s="8"/>
      <c r="G14" s="2">
        <f>0.13*G13</f>
        <v>806.52</v>
      </c>
      <c r="H14" s="3"/>
    </row>
    <row r="15" spans="1:10">
      <c r="A15" s="1"/>
      <c r="B15" s="1"/>
      <c r="C15" s="3"/>
      <c r="D15" s="1"/>
      <c r="E15" s="10" t="s">
        <v>13</v>
      </c>
      <c r="F15" s="8"/>
      <c r="G15" s="2">
        <f>SUM(G13:G14)</f>
        <v>7010.52</v>
      </c>
      <c r="H15" s="3"/>
    </row>
    <row r="16" spans="1:10">
      <c r="A16" s="11"/>
      <c r="B16" s="11"/>
      <c r="C16" s="12"/>
      <c r="D16" s="11"/>
      <c r="E16" s="13"/>
      <c r="G16" s="14"/>
      <c r="H16" s="12"/>
    </row>
    <row r="23" spans="2:8" ht="20.25">
      <c r="B23" s="24" t="s">
        <v>15</v>
      </c>
      <c r="E23" s="24" t="s">
        <v>32</v>
      </c>
      <c r="H23" s="24" t="s">
        <v>32</v>
      </c>
    </row>
    <row r="24" spans="2:8" ht="20.25">
      <c r="B24" s="25"/>
      <c r="E24" s="25"/>
      <c r="H24" s="25"/>
    </row>
    <row r="25" spans="2:8" ht="18.75">
      <c r="B25" s="26" t="s">
        <v>53</v>
      </c>
      <c r="E25" s="26" t="s">
        <v>54</v>
      </c>
      <c r="H25" s="26" t="s">
        <v>54</v>
      </c>
    </row>
    <row r="32" spans="2:8" ht="20.25">
      <c r="C32" s="24" t="s">
        <v>32</v>
      </c>
      <c r="F32" s="24" t="s">
        <v>35</v>
      </c>
    </row>
    <row r="33" spans="3:6" ht="20.25">
      <c r="C33" s="25"/>
      <c r="F33" s="25"/>
    </row>
    <row r="34" spans="3:6" ht="18.75">
      <c r="C34" s="26" t="s">
        <v>34</v>
      </c>
      <c r="D34" s="27"/>
      <c r="F34" s="26" t="s">
        <v>33</v>
      </c>
    </row>
    <row r="39" spans="3:6">
      <c r="C39" s="4" t="s">
        <v>19</v>
      </c>
      <c r="D39" s="4" t="s">
        <v>20</v>
      </c>
      <c r="E39" s="4" t="s">
        <v>21</v>
      </c>
    </row>
    <row r="40" spans="3:6">
      <c r="C40" s="4" t="s">
        <v>22</v>
      </c>
      <c r="D40" s="4" t="s">
        <v>23</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7736-3846-4BA4-9720-EF30AB2CCE9A}">
  <dimension ref="A1:J43"/>
  <sheetViews>
    <sheetView view="pageBreakPreview" topLeftCell="A7" zoomScaleNormal="100" zoomScaleSheetLayoutView="100" workbookViewId="0">
      <selection activeCell="C34" sqref="C34"/>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8" t="s">
        <v>4</v>
      </c>
      <c r="B1" s="38"/>
      <c r="C1" s="38"/>
      <c r="D1" s="38"/>
      <c r="E1" s="38"/>
      <c r="F1" s="38"/>
      <c r="G1" s="38"/>
      <c r="H1" s="38"/>
    </row>
    <row r="2" spans="1:10" ht="23.25" customHeight="1">
      <c r="A2" s="39" t="s">
        <v>5</v>
      </c>
      <c r="B2" s="39"/>
      <c r="C2" s="39"/>
      <c r="D2" s="39"/>
      <c r="E2" s="39"/>
      <c r="F2" s="39"/>
      <c r="G2" s="39"/>
      <c r="H2" s="39"/>
    </row>
    <row r="3" spans="1:10" ht="23.25" customHeight="1">
      <c r="A3" s="39" t="s">
        <v>6</v>
      </c>
      <c r="B3" s="39"/>
      <c r="C3" s="39"/>
      <c r="D3" s="39"/>
      <c r="E3" s="39"/>
      <c r="F3" s="39"/>
      <c r="G3" s="39"/>
      <c r="H3" s="39"/>
    </row>
    <row r="4" spans="1:10" ht="12.75" customHeight="1">
      <c r="A4" s="21"/>
      <c r="B4" s="21"/>
      <c r="C4" s="21"/>
      <c r="D4" s="20"/>
      <c r="E4" s="20"/>
      <c r="F4" s="20"/>
      <c r="G4" s="20"/>
      <c r="H4" s="20"/>
    </row>
    <row r="5" spans="1:10" ht="28.5" customHeight="1">
      <c r="A5" s="40" t="s">
        <v>18</v>
      </c>
      <c r="B5" s="40"/>
      <c r="C5" s="40"/>
      <c r="D5" s="40"/>
      <c r="E5" s="40"/>
      <c r="F5" s="40"/>
      <c r="G5" s="40"/>
      <c r="H5" s="40"/>
    </row>
    <row r="6" spans="1:10" ht="21" customHeight="1">
      <c r="A6" s="21" t="s">
        <v>37</v>
      </c>
      <c r="B6" s="21"/>
      <c r="C6" s="21"/>
      <c r="D6" s="20"/>
      <c r="E6" s="20"/>
      <c r="F6" s="20"/>
      <c r="G6" s="20"/>
      <c r="H6" s="20"/>
    </row>
    <row r="7" spans="1:10" ht="21" customHeight="1">
      <c r="A7" s="21" t="s">
        <v>64</v>
      </c>
      <c r="B7" s="21"/>
      <c r="C7" s="21"/>
      <c r="D7" s="20"/>
      <c r="E7" s="20"/>
      <c r="F7" s="20"/>
      <c r="G7" s="20"/>
      <c r="H7" s="20"/>
    </row>
    <row r="8" spans="1:10" ht="21" customHeight="1">
      <c r="A8" s="21" t="s">
        <v>50</v>
      </c>
      <c r="B8" s="21"/>
      <c r="C8" s="21"/>
      <c r="D8" s="20"/>
      <c r="E8" s="20"/>
      <c r="F8" s="20"/>
      <c r="G8" s="20"/>
      <c r="H8" s="20"/>
    </row>
    <row r="9" spans="1:10" s="35" customFormat="1" ht="40.5">
      <c r="A9" s="33" t="s">
        <v>2</v>
      </c>
      <c r="B9" s="33" t="s">
        <v>14</v>
      </c>
      <c r="C9" s="34" t="s">
        <v>0</v>
      </c>
      <c r="D9" s="34" t="s">
        <v>1</v>
      </c>
      <c r="E9" s="34" t="s">
        <v>8</v>
      </c>
      <c r="F9" s="34" t="s">
        <v>3</v>
      </c>
      <c r="G9" s="34" t="s">
        <v>65</v>
      </c>
      <c r="H9" s="33" t="s">
        <v>7</v>
      </c>
    </row>
    <row r="10" spans="1:10" ht="20.25">
      <c r="A10" s="9">
        <v>1</v>
      </c>
      <c r="B10" s="15" t="s">
        <v>39</v>
      </c>
      <c r="C10" s="28">
        <v>77.7</v>
      </c>
      <c r="D10" s="29">
        <v>79.7</v>
      </c>
      <c r="E10" s="29">
        <f>D10-C10</f>
        <v>2</v>
      </c>
      <c r="F10" s="30">
        <v>3102</v>
      </c>
      <c r="G10" s="1">
        <f>F10*E10</f>
        <v>6204</v>
      </c>
      <c r="H10" s="1" t="s">
        <v>55</v>
      </c>
      <c r="J10" s="30">
        <v>2198</v>
      </c>
    </row>
    <row r="11" spans="1:10" ht="20.25">
      <c r="A11" s="9">
        <v>2</v>
      </c>
      <c r="B11" s="15" t="s">
        <v>40</v>
      </c>
      <c r="C11" s="28">
        <v>79.7</v>
      </c>
      <c r="D11" s="29">
        <v>87</v>
      </c>
      <c r="E11" s="29">
        <f t="shared" ref="E11:E19" si="0">D11-C11</f>
        <v>7.2999999999999972</v>
      </c>
      <c r="F11" s="30">
        <v>3103</v>
      </c>
      <c r="G11" s="1">
        <f t="shared" ref="G11:G19" si="1">F11*E11</f>
        <v>22651.899999999991</v>
      </c>
      <c r="H11" s="1" t="s">
        <v>56</v>
      </c>
      <c r="J11" s="31"/>
    </row>
    <row r="12" spans="1:10" ht="20.25">
      <c r="A12" s="9">
        <v>3</v>
      </c>
      <c r="B12" s="15" t="s">
        <v>41</v>
      </c>
      <c r="C12" s="28">
        <v>87</v>
      </c>
      <c r="D12" s="29">
        <v>89</v>
      </c>
      <c r="E12" s="29">
        <f t="shared" si="0"/>
        <v>2</v>
      </c>
      <c r="F12" s="30">
        <v>3104</v>
      </c>
      <c r="G12" s="1">
        <f t="shared" si="1"/>
        <v>6208</v>
      </c>
      <c r="H12" s="1" t="s">
        <v>57</v>
      </c>
      <c r="J12" s="31"/>
    </row>
    <row r="13" spans="1:10" ht="20.25">
      <c r="A13" s="9">
        <v>4</v>
      </c>
      <c r="B13" s="15" t="s">
        <v>42</v>
      </c>
      <c r="C13" s="28">
        <v>89</v>
      </c>
      <c r="D13" s="29">
        <v>93</v>
      </c>
      <c r="E13" s="29">
        <f t="shared" si="0"/>
        <v>4</v>
      </c>
      <c r="F13" s="30">
        <v>3105</v>
      </c>
      <c r="G13" s="1">
        <f t="shared" si="1"/>
        <v>12420</v>
      </c>
      <c r="H13" s="1" t="s">
        <v>58</v>
      </c>
      <c r="J13" s="31"/>
    </row>
    <row r="14" spans="1:10" ht="20.25">
      <c r="A14" s="9">
        <v>5</v>
      </c>
      <c r="B14" s="15" t="s">
        <v>46</v>
      </c>
      <c r="C14" s="28">
        <v>129</v>
      </c>
      <c r="D14" s="29">
        <v>135</v>
      </c>
      <c r="E14" s="29">
        <f t="shared" si="0"/>
        <v>6</v>
      </c>
      <c r="F14" s="30">
        <v>3110</v>
      </c>
      <c r="G14" s="1">
        <f t="shared" si="1"/>
        <v>18660</v>
      </c>
      <c r="H14" s="1" t="s">
        <v>60</v>
      </c>
      <c r="J14" s="31"/>
    </row>
    <row r="15" spans="1:10" ht="20.25">
      <c r="A15" s="9">
        <v>6</v>
      </c>
      <c r="B15" s="15" t="s">
        <v>47</v>
      </c>
      <c r="C15" s="28">
        <v>135</v>
      </c>
      <c r="D15" s="29">
        <v>140</v>
      </c>
      <c r="E15" s="29">
        <f t="shared" si="0"/>
        <v>5</v>
      </c>
      <c r="F15" s="30">
        <v>3111</v>
      </c>
      <c r="G15" s="1">
        <f t="shared" si="1"/>
        <v>15555</v>
      </c>
      <c r="H15" s="1" t="s">
        <v>61</v>
      </c>
      <c r="J15" s="31"/>
    </row>
    <row r="16" spans="1:10" ht="20.25">
      <c r="A16" s="9">
        <v>7</v>
      </c>
      <c r="B16" s="15" t="s">
        <v>48</v>
      </c>
      <c r="C16" s="28">
        <v>140</v>
      </c>
      <c r="D16" s="29">
        <v>147</v>
      </c>
      <c r="E16" s="29">
        <f t="shared" si="0"/>
        <v>7</v>
      </c>
      <c r="F16" s="30">
        <v>3112</v>
      </c>
      <c r="G16" s="1">
        <f t="shared" si="1"/>
        <v>21784</v>
      </c>
      <c r="H16" s="1" t="s">
        <v>61</v>
      </c>
      <c r="J16" s="31"/>
    </row>
    <row r="17" spans="1:10" ht="20.25">
      <c r="A17" s="9">
        <v>8</v>
      </c>
      <c r="B17" s="32" t="s">
        <v>49</v>
      </c>
      <c r="C17" s="28">
        <v>173</v>
      </c>
      <c r="D17" s="29">
        <v>179</v>
      </c>
      <c r="E17" s="29">
        <f t="shared" si="0"/>
        <v>6</v>
      </c>
      <c r="F17" s="30">
        <v>3113</v>
      </c>
      <c r="G17" s="1">
        <f t="shared" si="1"/>
        <v>18678</v>
      </c>
      <c r="H17" s="1" t="s">
        <v>62</v>
      </c>
      <c r="J17" s="31"/>
    </row>
    <row r="18" spans="1:10" ht="20.25">
      <c r="A18" s="9">
        <v>9</v>
      </c>
      <c r="B18" s="32" t="s">
        <v>51</v>
      </c>
      <c r="C18" s="28">
        <v>179</v>
      </c>
      <c r="D18" s="29">
        <v>186</v>
      </c>
      <c r="E18" s="29">
        <f t="shared" si="0"/>
        <v>7</v>
      </c>
      <c r="F18" s="30">
        <v>3102</v>
      </c>
      <c r="G18" s="1">
        <f t="shared" si="1"/>
        <v>21714</v>
      </c>
      <c r="H18" s="1" t="s">
        <v>63</v>
      </c>
      <c r="J18" s="31"/>
    </row>
    <row r="19" spans="1:10" ht="20.25">
      <c r="A19" s="9">
        <v>10</v>
      </c>
      <c r="B19" s="32" t="s">
        <v>52</v>
      </c>
      <c r="C19" s="28">
        <v>186</v>
      </c>
      <c r="D19" s="29">
        <v>194</v>
      </c>
      <c r="E19" s="29">
        <f t="shared" si="0"/>
        <v>8</v>
      </c>
      <c r="F19" s="30">
        <v>3102</v>
      </c>
      <c r="G19" s="1">
        <f t="shared" si="1"/>
        <v>24816</v>
      </c>
      <c r="H19" s="1" t="s">
        <v>63</v>
      </c>
      <c r="J19" s="31"/>
    </row>
    <row r="20" spans="1:10">
      <c r="A20" s="1"/>
      <c r="B20" s="1"/>
      <c r="C20" s="3"/>
      <c r="D20" s="1"/>
      <c r="E20" s="10" t="s">
        <v>9</v>
      </c>
      <c r="F20" s="8"/>
      <c r="G20" s="2">
        <f>SUM(G10:G19)</f>
        <v>168690.9</v>
      </c>
      <c r="H20" s="3"/>
    </row>
    <row r="21" spans="1:10">
      <c r="A21" s="1"/>
      <c r="B21" s="1"/>
      <c r="C21" s="3"/>
      <c r="D21" s="1"/>
      <c r="E21" s="10" t="s">
        <v>10</v>
      </c>
      <c r="F21" s="8"/>
      <c r="G21" s="2"/>
      <c r="H21" s="3"/>
    </row>
    <row r="22" spans="1:10">
      <c r="A22" s="1"/>
      <c r="B22" s="1"/>
      <c r="C22" s="3"/>
      <c r="D22" s="1"/>
      <c r="E22" s="10" t="s">
        <v>11</v>
      </c>
      <c r="F22" s="8"/>
      <c r="G22" s="2">
        <f>G20</f>
        <v>168690.9</v>
      </c>
      <c r="H22" s="3"/>
    </row>
    <row r="23" spans="1:10">
      <c r="A23" s="1"/>
      <c r="B23" s="1"/>
      <c r="C23" s="3"/>
      <c r="D23" s="1"/>
      <c r="E23" s="10" t="s">
        <v>12</v>
      </c>
      <c r="F23" s="8"/>
      <c r="G23" s="2">
        <f>0.13*G22</f>
        <v>21929.816999999999</v>
      </c>
      <c r="H23" s="3"/>
    </row>
    <row r="24" spans="1:10">
      <c r="A24" s="1"/>
      <c r="B24" s="1"/>
      <c r="C24" s="3"/>
      <c r="D24" s="1"/>
      <c r="E24" s="10" t="s">
        <v>13</v>
      </c>
      <c r="F24" s="8"/>
      <c r="G24" s="2">
        <f>SUM(G22:G23)</f>
        <v>190620.717</v>
      </c>
      <c r="H24" s="3"/>
    </row>
    <row r="25" spans="1:10">
      <c r="A25" s="11"/>
      <c r="B25" s="11"/>
      <c r="C25" s="12"/>
      <c r="D25" s="11"/>
      <c r="E25" s="13"/>
      <c r="G25" s="14"/>
      <c r="H25" s="12"/>
    </row>
    <row r="28" spans="1:10" ht="20.25">
      <c r="B28" s="24" t="s">
        <v>15</v>
      </c>
      <c r="E28" s="24" t="s">
        <v>32</v>
      </c>
      <c r="H28" s="24" t="s">
        <v>32</v>
      </c>
    </row>
    <row r="29" spans="1:10" ht="20.25">
      <c r="B29" s="25"/>
      <c r="E29" s="25"/>
      <c r="H29" s="25"/>
    </row>
    <row r="30" spans="1:10" ht="18.75">
      <c r="B30" s="26" t="s">
        <v>53</v>
      </c>
      <c r="E30" s="26" t="s">
        <v>54</v>
      </c>
      <c r="H30" s="26" t="s">
        <v>54</v>
      </c>
    </row>
    <row r="35" spans="3:6" ht="20.25">
      <c r="C35" s="24" t="s">
        <v>32</v>
      </c>
      <c r="F35" s="24" t="s">
        <v>35</v>
      </c>
    </row>
    <row r="36" spans="3:6" ht="20.25">
      <c r="C36" s="25"/>
      <c r="F36" s="25"/>
    </row>
    <row r="37" spans="3:6" ht="18.75">
      <c r="C37" s="26" t="s">
        <v>34</v>
      </c>
      <c r="D37" s="27"/>
      <c r="F37" s="26" t="s">
        <v>33</v>
      </c>
    </row>
    <row r="42" spans="3:6">
      <c r="C42" s="4" t="s">
        <v>19</v>
      </c>
      <c r="D42" s="4" t="s">
        <v>20</v>
      </c>
      <c r="E42" s="4" t="s">
        <v>21</v>
      </c>
    </row>
    <row r="43" spans="3:6">
      <c r="C43" s="4" t="s">
        <v>22</v>
      </c>
      <c r="D43" s="4" t="s">
        <v>23</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26</vt:i4>
      </vt:variant>
    </vt:vector>
  </HeadingPairs>
  <TitlesOfParts>
    <vt:vector size="39" baseType="lpstr">
      <vt:lpstr>ESTIMATE (3)</vt:lpstr>
      <vt:lpstr>all</vt:lpstr>
      <vt:lpstr>month 3</vt:lpstr>
      <vt:lpstr>1</vt:lpstr>
      <vt:lpstr>2</vt:lpstr>
      <vt:lpstr>3</vt:lpstr>
      <vt:lpstr>4</vt:lpstr>
      <vt:lpstr>5</vt:lpstr>
      <vt:lpstr>6</vt:lpstr>
      <vt:lpstr>7</vt:lpstr>
      <vt:lpstr>8</vt:lpstr>
      <vt:lpstr>9</vt:lpstr>
      <vt:lpstr>month 4 and 5</vt:lpstr>
      <vt:lpstr>'1'!Print_Area</vt:lpstr>
      <vt:lpstr>'2'!Print_Area</vt:lpstr>
      <vt:lpstr>'3'!Print_Area</vt:lpstr>
      <vt:lpstr>'4'!Print_Area</vt:lpstr>
      <vt:lpstr>'5'!Print_Area</vt:lpstr>
      <vt:lpstr>'6'!Print_Area</vt:lpstr>
      <vt:lpstr>'7'!Print_Area</vt:lpstr>
      <vt:lpstr>'8'!Print_Area</vt:lpstr>
      <vt:lpstr>'9'!Print_Area</vt:lpstr>
      <vt:lpstr>all!Print_Area</vt:lpstr>
      <vt:lpstr>'ESTIMATE (3)'!Print_Area</vt:lpstr>
      <vt:lpstr>'month 3'!Print_Area</vt:lpstr>
      <vt:lpstr>'month 4 and 5'!Print_Area</vt:lpstr>
      <vt:lpstr>'1'!Print_Titles</vt:lpstr>
      <vt:lpstr>'2'!Print_Titles</vt:lpstr>
      <vt:lpstr>'3'!Print_Titles</vt:lpstr>
      <vt:lpstr>'4'!Print_Titles</vt:lpstr>
      <vt:lpstr>'5'!Print_Titles</vt:lpstr>
      <vt:lpstr>'6'!Print_Titles</vt:lpstr>
      <vt:lpstr>'7'!Print_Titles</vt:lpstr>
      <vt:lpstr>'8'!Print_Titles</vt:lpstr>
      <vt:lpstr>'9'!Print_Titles</vt:lpstr>
      <vt:lpstr>all!Print_Titles</vt:lpstr>
      <vt:lpstr>'ESTIMATE (3)'!Print_Titles</vt:lpstr>
      <vt:lpstr>'month 3'!Print_Titles</vt:lpstr>
      <vt:lpstr>'month 4 and 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2025-09-23T06:17:56Z</cp:lastPrinted>
  <dcterms:created xsi:type="dcterms:W3CDTF">2024-08-25T06:49:54Z</dcterms:created>
  <dcterms:modified xsi:type="dcterms:W3CDTF">2025-09-23T06:29:29Z</dcterms:modified>
</cp:coreProperties>
</file>