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G:\2082_2083\बजेट माग estimate\JCB log\"/>
    </mc:Choice>
  </mc:AlternateContent>
  <xr:revisionPtr revIDLastSave="0" documentId="13_ncr:1_{8374131E-90BD-4E5A-B4B1-C6AF24FB9FA7}" xr6:coauthVersionLast="47" xr6:coauthVersionMax="47" xr10:uidLastSave="{00000000-0000-0000-0000-000000000000}"/>
  <bookViews>
    <workbookView xWindow="-120" yWindow="-120" windowWidth="20730" windowHeight="11040" activeTab="2" xr2:uid="{00000000-000D-0000-FFFF-FFFF00000000}"/>
  </bookViews>
  <sheets>
    <sheet name="9" sheetId="13" r:id="rId1"/>
    <sheet name="new" sheetId="15" r:id="rId2"/>
    <sheet name="new (2)" sheetId="16" r:id="rId3"/>
  </sheets>
  <externalReferences>
    <externalReference r:id="rId4"/>
    <externalReference r:id="rId5"/>
    <externalReference r:id="rId6"/>
    <externalReference r:id="rId7"/>
    <externalReference r:id="rId8"/>
    <externalReference r:id="rId9"/>
  </externalReferences>
  <definedNames>
    <definedName name="adopted_rate_aggregate_10_20_mm">[1]District_Rate!$L$6</definedName>
    <definedName name="adopted_rate_aggregate_10_mm">[1]District_Rate!$L$7</definedName>
    <definedName name="adopted_rate_aggregate_20_40_mm">[1]District_Rate!$L$9</definedName>
    <definedName name="adopted_rate_binding_wire">[1]District_Rate!$L$17</definedName>
    <definedName name="adopted_rate_cement">[1]District_Rate!$L$25</definedName>
    <definedName name="adopted_rate_HYSD_bar">[1]District_Rate!$L$73</definedName>
    <definedName name="adopted_rate_sand">[1]District_Rate!$L$111</definedName>
    <definedName name="adopted_rate_water">[1]District_Rate!$L$129</definedName>
    <definedName name="concrete_mixer">[1]Equipment_Rate!$J$10</definedName>
    <definedName name="description_1">[2]Abstract!$B$167</definedName>
    <definedName name="description_124">[3]Abstract!$B$18</definedName>
    <definedName name="description_2">[2]Abstract!$B$168</definedName>
    <definedName name="description_261">[4]Abstract!$B$33</definedName>
    <definedName name="description_262">[5]Abstract!$B$34</definedName>
    <definedName name="description_3">[6]Abstract!$B$169</definedName>
    <definedName name="description_6">[2]Abstract!$B$172</definedName>
    <definedName name="description_784">[2]Abstract!$B$300</definedName>
    <definedName name="excavator">[1]Equipment_Rate!$J$19</definedName>
    <definedName name="generator">[1]Equipment_Rate!$J$20</definedName>
    <definedName name="_xlnm.Print_Area" localSheetId="0">'9'!$A$1:$H$37</definedName>
    <definedName name="_xlnm.Print_Area" localSheetId="1">new!$A$1:$H$37</definedName>
    <definedName name="_xlnm.Print_Area" localSheetId="2">'new (2)'!$A$1:$H$37</definedName>
    <definedName name="_xlnm.Print_Titles" localSheetId="0">'9'!$1:$9</definedName>
    <definedName name="_xlnm.Print_Titles" localSheetId="1">new!$1:$9</definedName>
    <definedName name="_xlnm.Print_Titles" localSheetId="2">'new (2)'!$1:$9</definedName>
    <definedName name="skilled">[1]District_Rate!$D$148</definedName>
    <definedName name="skilled_blacksmith">[1]District_Rate!$D$149</definedName>
    <definedName name="unskilled">[1]District_Rate!$D$156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 i="16" l="1"/>
  <c r="G13" i="16" s="1"/>
  <c r="E12" i="16"/>
  <c r="G12" i="16" s="1"/>
  <c r="E11" i="16"/>
  <c r="G11" i="16" s="1"/>
  <c r="E10" i="16"/>
  <c r="G10" i="16" s="1"/>
  <c r="E14" i="16"/>
  <c r="G14" i="16" s="1"/>
  <c r="E48" i="16"/>
  <c r="E43" i="15"/>
  <c r="E13" i="15"/>
  <c r="G13" i="15" s="1"/>
  <c r="E12" i="15"/>
  <c r="G12" i="15" s="1"/>
  <c r="E11" i="15"/>
  <c r="G11" i="15" s="1"/>
  <c r="E10" i="15"/>
  <c r="G10" i="15" s="1"/>
  <c r="G14" i="13"/>
  <c r="E13" i="13"/>
  <c r="G13" i="13" s="1"/>
  <c r="E11" i="13"/>
  <c r="G11" i="13" s="1"/>
  <c r="E12" i="13"/>
  <c r="G12" i="13" s="1"/>
  <c r="G16" i="16" l="1"/>
  <c r="G18" i="16" s="1"/>
  <c r="G19" i="16" s="1"/>
  <c r="G20" i="16" s="1"/>
  <c r="G14" i="15"/>
  <c r="G16" i="15" s="1"/>
  <c r="G17" i="15" l="1"/>
  <c r="G18" i="15" s="1"/>
  <c r="E43" i="13" l="1"/>
  <c r="E10" i="13"/>
  <c r="G10" i="13" s="1"/>
  <c r="G16" i="13" l="1"/>
  <c r="G17" i="13" l="1"/>
  <c r="G18" i="13" s="1"/>
</calcChain>
</file>

<file path=xl/sharedStrings.xml><?xml version="1.0" encoding="utf-8"?>
<sst xmlns="http://schemas.openxmlformats.org/spreadsheetml/2006/main" count="110" uniqueCount="42">
  <si>
    <t>सुरु घण्टा मिटर (क)</t>
  </si>
  <si>
    <t>समाप्त घण्टा मिटर (ख)</t>
  </si>
  <si>
    <t>सि. न</t>
  </si>
  <si>
    <t>दर (रुपैया)</t>
  </si>
  <si>
    <t>शंखरापुर नगरपालिका</t>
  </si>
  <si>
    <t>नगर कार्यपालिकाको कार्यालय</t>
  </si>
  <si>
    <t>साँखु, काठमाण्डौ।</t>
  </si>
  <si>
    <t>कैफियत</t>
  </si>
  <si>
    <t>लागेको समय ग (ख-क) घण्टा</t>
  </si>
  <si>
    <t>कुल</t>
  </si>
  <si>
    <t>.......... प्रतिशत छुट</t>
  </si>
  <si>
    <t>कर लाग्ने रकम</t>
  </si>
  <si>
    <t xml:space="preserve">१३ % प्रतिशत </t>
  </si>
  <si>
    <t>कुल जम्मा रकम</t>
  </si>
  <si>
    <t xml:space="preserve">काम गरेको मिति </t>
  </si>
  <si>
    <t>................................</t>
  </si>
  <si>
    <t xml:space="preserve"> लग सिट</t>
  </si>
  <si>
    <t xml:space="preserve">Backhoe per hour </t>
  </si>
  <si>
    <t>Rs 2198</t>
  </si>
  <si>
    <t>without vat</t>
  </si>
  <si>
    <t>excavator per hour</t>
  </si>
  <si>
    <t>Rs 3214</t>
  </si>
  <si>
    <t>............................</t>
  </si>
  <si>
    <t>वडा अधक्ष्यको सहि</t>
  </si>
  <si>
    <t>वडा सदस्यको सहि</t>
  </si>
  <si>
    <t>...............................</t>
  </si>
  <si>
    <t xml:space="preserve">फर्म्/व्यक्तिको नाम : </t>
  </si>
  <si>
    <t xml:space="preserve">काम गरेको वडा: नाङ्गलेभारे  - १, काठमाण्डौ  </t>
  </si>
  <si>
    <t>अपरेटरको नाम र सहि</t>
  </si>
  <si>
    <t>स्थानीय  साक्षिको  नाम र सहि</t>
  </si>
  <si>
    <t xml:space="preserve">काम गरेको स्थान : नाङ्गलेभारे  - १, काठमाण्डौ  </t>
  </si>
  <si>
    <t>जम्मा (रुपैया)</t>
  </si>
  <si>
    <t>2082/6/31</t>
  </si>
  <si>
    <t>नेपाल टोल सडक</t>
  </si>
  <si>
    <t>टावर जाने बाटो</t>
  </si>
  <si>
    <t>अमला ढुटो बिचौरे सडक</t>
  </si>
  <si>
    <t xml:space="preserve">अपरेटरको/फर्मको नाम र सहि/छाप </t>
  </si>
  <si>
    <t>अमला ढुत्तो बिचौरे सडक (बा. २ क ७०६८)</t>
  </si>
  <si>
    <t>(बा. २ क ७०६८)</t>
  </si>
  <si>
    <t>टावर जाने बाटो  (बा. २ क ७०६८)</t>
  </si>
  <si>
    <t>मानेगैरो ओखरबोट सडक (बा. ३ क ९७७०)</t>
  </si>
  <si>
    <t>फर्म्/व्यक्तिको नाम : न्यु शंकरापुर निर्माण एंड सप्लायर्स प्रा. 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</si>
</sst>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4000439]0"/>
    <numFmt numFmtId="166" formatCode="yyyy/mm/dd"/>
    <numFmt numFmtId="167" formatCode="[$-4000439]0.#"/>
  </numFmts>
  <fonts count="14">
    <font>
      <sz val="11"/>
      <color theme="1"/>
      <name val="Calibri"/>
      <family val="2"/>
      <scheme val="minor"/>
    </font>
    <font>
      <sz val="11"/>
      <color theme="1"/>
      <name val="Calibri"/>
      <family val="2"/>
      <scheme val="minor"/>
    </font>
    <font>
      <sz val="12"/>
      <color theme="1"/>
      <name val="Times New Roman"/>
      <family val="1"/>
    </font>
    <font>
      <b/>
      <sz val="22"/>
      <color theme="1"/>
      <name val="Times New Roman"/>
      <family val="1"/>
    </font>
    <font>
      <b/>
      <sz val="16"/>
      <color theme="1"/>
      <name val="Times New Roman"/>
      <family val="1"/>
    </font>
    <font>
      <sz val="16"/>
      <color theme="1"/>
      <name val="Times New Roman"/>
      <family val="1"/>
    </font>
    <font>
      <b/>
      <sz val="36"/>
      <color theme="1"/>
      <name val="Times New Roman"/>
      <family val="1"/>
    </font>
    <font>
      <b/>
      <sz val="28"/>
      <color theme="1"/>
      <name val="Times New Roman"/>
      <family val="1"/>
    </font>
    <font>
      <b/>
      <sz val="12"/>
      <color theme="1"/>
      <name val="Kalimati"/>
      <charset val="1"/>
    </font>
    <font>
      <sz val="12"/>
      <color theme="1"/>
      <name val="Kalimati"/>
      <charset val="1"/>
    </font>
    <font>
      <b/>
      <sz val="11"/>
      <color theme="1"/>
      <name val="Kalimati"/>
      <charset val="1"/>
    </font>
    <font>
      <b/>
      <sz val="14"/>
      <color theme="1"/>
      <name val="Times New Roman"/>
      <family val="1"/>
    </font>
    <font>
      <sz val="14"/>
      <color theme="1"/>
      <name val="Times New Roman"/>
      <family val="1"/>
    </font>
    <font>
      <sz val="10"/>
      <color theme="1"/>
      <name val="Times New Roman"/>
      <family val="1"/>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31">
    <xf numFmtId="0" fontId="0" fillId="0" borderId="0" xfId="0"/>
    <xf numFmtId="0" fontId="2" fillId="3" borderId="1" xfId="0" applyFont="1" applyFill="1" applyBorder="1" applyAlignment="1">
      <alignment horizontal="left" vertical="center"/>
    </xf>
    <xf numFmtId="2" fontId="2" fillId="3" borderId="1" xfId="0" applyNumberFormat="1" applyFont="1" applyFill="1" applyBorder="1" applyAlignment="1">
      <alignment horizontal="left" vertical="center"/>
    </xf>
    <xf numFmtId="0" fontId="2" fillId="3" borderId="1" xfId="0" applyFont="1" applyFill="1" applyBorder="1" applyAlignment="1">
      <alignment horizontal="left" vertical="center" wrapText="1"/>
    </xf>
    <xf numFmtId="0" fontId="2" fillId="0" borderId="0" xfId="0" applyFont="1"/>
    <xf numFmtId="0" fontId="2" fillId="0" borderId="1" xfId="0" applyFont="1" applyBorder="1"/>
    <xf numFmtId="165" fontId="9" fillId="3" borderId="1" xfId="0" applyNumberFormat="1" applyFont="1" applyFill="1" applyBorder="1" applyAlignment="1">
      <alignment horizontal="left" vertical="center"/>
    </xf>
    <xf numFmtId="0" fontId="10" fillId="0" borderId="1" xfId="0" applyFont="1" applyBorder="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horizontal="left" vertical="center" wrapText="1"/>
    </xf>
    <xf numFmtId="0" fontId="10" fillId="0" borderId="0" xfId="0" applyFont="1" applyAlignment="1">
      <alignment horizontal="left" vertical="center"/>
    </xf>
    <xf numFmtId="2" fontId="2" fillId="3" borderId="0" xfId="0" applyNumberFormat="1" applyFont="1" applyFill="1" applyAlignment="1">
      <alignment horizontal="left" vertical="center"/>
    </xf>
    <xf numFmtId="166" fontId="2" fillId="3" borderId="1" xfId="0" applyNumberFormat="1" applyFont="1" applyFill="1" applyBorder="1" applyAlignment="1">
      <alignment horizontal="left" vertical="center"/>
    </xf>
    <xf numFmtId="0" fontId="7" fillId="0" borderId="0" xfId="0" applyFont="1" applyAlignment="1">
      <alignment horizontal="center"/>
    </xf>
    <xf numFmtId="0" fontId="8" fillId="0" borderId="0" xfId="0" applyFont="1"/>
    <xf numFmtId="0" fontId="5" fillId="0" borderId="0" xfId="0" applyFont="1"/>
    <xf numFmtId="0" fontId="4" fillId="0" borderId="0" xfId="0" applyFont="1"/>
    <xf numFmtId="0" fontId="11" fillId="0" borderId="0" xfId="0" applyFont="1"/>
    <xf numFmtId="0" fontId="12" fillId="0" borderId="0" xfId="0" applyFont="1"/>
    <xf numFmtId="167" fontId="5" fillId="0" borderId="1" xfId="0" applyNumberFormat="1" applyFont="1" applyBorder="1" applyAlignment="1">
      <alignment horizontal="left" vertical="center" wrapText="1"/>
    </xf>
    <xf numFmtId="167" fontId="5" fillId="3" borderId="1" xfId="0" applyNumberFormat="1" applyFont="1" applyFill="1" applyBorder="1" applyAlignment="1">
      <alignment horizontal="left" vertical="center"/>
    </xf>
    <xf numFmtId="165" fontId="5" fillId="3" borderId="1" xfId="0" applyNumberFormat="1" applyFont="1" applyFill="1" applyBorder="1" applyAlignment="1">
      <alignment horizontal="left"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2" fillId="0" borderId="0" xfId="0" applyFont="1" applyAlignment="1">
      <alignment vertical="center"/>
    </xf>
    <xf numFmtId="165" fontId="5" fillId="3" borderId="0" xfId="0" applyNumberFormat="1" applyFont="1" applyFill="1" applyAlignment="1">
      <alignment horizontal="left" vertical="center"/>
    </xf>
    <xf numFmtId="0" fontId="6" fillId="0" borderId="0" xfId="0" applyFont="1" applyAlignment="1">
      <alignment horizontal="center"/>
    </xf>
    <xf numFmtId="0" fontId="3" fillId="0" borderId="0" xfId="0" applyFont="1" applyAlignment="1">
      <alignment horizontal="center"/>
    </xf>
    <xf numFmtId="0" fontId="7" fillId="0" borderId="0" xfId="0" applyFont="1" applyAlignment="1">
      <alignment horizontal="center"/>
    </xf>
    <xf numFmtId="165" fontId="5" fillId="3" borderId="0" xfId="0" applyNumberFormat="1" applyFont="1" applyFill="1" applyBorder="1" applyAlignment="1">
      <alignment horizontal="left" vertical="center"/>
    </xf>
    <xf numFmtId="0" fontId="13" fillId="3" borderId="1" xfId="0" applyFont="1" applyFill="1" applyBorder="1" applyAlignment="1">
      <alignment horizontal="left" vertical="center"/>
    </xf>
  </cellXfs>
  <cellStyles count="2">
    <cellStyle name="Comma 2"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ward%20office%20aayojana%202\For-all-Road-rate-analysis-80-81-shankharapur.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080-081\ward%20office%20aayojana\For-all-Road-rate-analysis-80-81-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079-080\Road-rate-analysis-079-80-shankharapur-as-per-dor-norms-nnnn.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81-082\For-all-Road-rate-analysis-81-82-shankharapur-as-per-dor-norm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081-082\ofc\For-all-Road-rate-analysis-81-82-shankharapur-as-per-dor-norm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sheetData sheetId="2"/>
      <sheetData sheetId="3">
        <row r="6">
          <cell r="L6">
            <v>3598.56</v>
          </cell>
        </row>
        <row r="7">
          <cell r="L7">
            <v>3104.6400000000003</v>
          </cell>
        </row>
        <row r="9">
          <cell r="L9">
            <v>3457.44</v>
          </cell>
        </row>
        <row r="17">
          <cell r="L17">
            <v>106</v>
          </cell>
        </row>
        <row r="25">
          <cell r="L25">
            <v>14231</v>
          </cell>
        </row>
        <row r="73">
          <cell r="L73">
            <v>99000</v>
          </cell>
        </row>
        <row r="111">
          <cell r="L111">
            <v>2504.88</v>
          </cell>
        </row>
        <row r="129">
          <cell r="L129">
            <v>310</v>
          </cell>
        </row>
        <row r="148">
          <cell r="D148">
            <v>1200</v>
          </cell>
        </row>
        <row r="149">
          <cell r="D149">
            <v>1200</v>
          </cell>
        </row>
        <row r="156">
          <cell r="D156">
            <v>900</v>
          </cell>
        </row>
      </sheetData>
      <sheetData sheetId="4">
        <row r="10">
          <cell r="J10">
            <v>293</v>
          </cell>
        </row>
        <row r="19">
          <cell r="J19">
            <v>3071</v>
          </cell>
        </row>
        <row r="20">
          <cell r="J20">
            <v>841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7">
          <cell r="B167" t="str">
            <v>Providing and laying of Plain Cement Concrete M 10 ( or 1:3:6 for nominal mix) in Foundation complete as per Drawing and Technical Specifications.</v>
          </cell>
        </row>
        <row r="168">
          <cell r="B168" t="str">
            <v>Providing and laying of Plain Cement Concrete M 10 ( or 1:3:6 for nominal mix) in Foundation complete as per Drawing and Technical Specifications., Manual Mixing</v>
          </cell>
        </row>
        <row r="172">
          <cell r="B172" t="str">
            <v>Providing and laying of Plain/Reinforced Cement Concrete in Foundation complete as per Drawing and Technical Specifications., RCC Grade M 20</v>
          </cell>
        </row>
        <row r="300">
          <cell r="B300" t="str">
            <v>Random Rubble Masonry, Providing and laying of Stone Masonry Work in Cement Mortar 1:6 in Foundation complete as per Drawing and Technical Specifications., Using Concrete Mixer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8">
          <cell r="B18" t="str">
            <v>Dismantling of existing structures like culverts, bridges, retaining walls and other structure comprising of masonry, cement concrete, wood work, steel work, including scaffolding wherever necessary, sorting the dismantled Material, disposal of unserviceable Material and stacking the serviceable Material with all lifts and lead of 1000 meters, Dismantling Brick / Tile work, In cement mortar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169">
          <cell r="B169" t="str">
            <v>Providing and laying of Plain/Reinforced Cement Concrete in Foundation complete as per Drawing and Technical Specifications, PCC Grade M 15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BC5E6-1151-4B79-8504-C8448F9890FB}">
  <dimension ref="A1:J43"/>
  <sheetViews>
    <sheetView view="pageBreakPreview" zoomScaleNormal="100" zoomScaleSheetLayoutView="100" workbookViewId="0">
      <selection activeCell="G11" sqref="G11"/>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26" t="s">
        <v>4</v>
      </c>
      <c r="B1" s="26"/>
      <c r="C1" s="26"/>
      <c r="D1" s="26"/>
      <c r="E1" s="26"/>
      <c r="F1" s="26"/>
      <c r="G1" s="26"/>
      <c r="H1" s="26"/>
    </row>
    <row r="2" spans="1:10" ht="23.25" customHeight="1">
      <c r="A2" s="27" t="s">
        <v>5</v>
      </c>
      <c r="B2" s="27"/>
      <c r="C2" s="27"/>
      <c r="D2" s="27"/>
      <c r="E2" s="27"/>
      <c r="F2" s="27"/>
      <c r="G2" s="27"/>
      <c r="H2" s="27"/>
    </row>
    <row r="3" spans="1:10" ht="23.25" customHeight="1">
      <c r="A3" s="27" t="s">
        <v>6</v>
      </c>
      <c r="B3" s="27"/>
      <c r="C3" s="27"/>
      <c r="D3" s="27"/>
      <c r="E3" s="27"/>
      <c r="F3" s="27"/>
      <c r="G3" s="27"/>
      <c r="H3" s="27"/>
    </row>
    <row r="4" spans="1:10" ht="12.75" customHeight="1">
      <c r="A4" s="14"/>
      <c r="B4" s="14"/>
      <c r="C4" s="14"/>
      <c r="D4" s="13"/>
      <c r="E4" s="13"/>
      <c r="F4" s="13"/>
      <c r="G4" s="13"/>
      <c r="H4" s="13"/>
    </row>
    <row r="5" spans="1:10" ht="28.5" customHeight="1">
      <c r="A5" s="28" t="s">
        <v>16</v>
      </c>
      <c r="B5" s="28"/>
      <c r="C5" s="28"/>
      <c r="D5" s="28"/>
      <c r="E5" s="28"/>
      <c r="F5" s="28"/>
      <c r="G5" s="28"/>
      <c r="H5" s="28"/>
    </row>
    <row r="6" spans="1:10" ht="21" customHeight="1">
      <c r="A6" s="14" t="s">
        <v>26</v>
      </c>
      <c r="B6" s="14"/>
      <c r="C6" s="14"/>
      <c r="D6" s="13"/>
      <c r="E6" s="13"/>
      <c r="F6" s="13"/>
      <c r="G6" s="13"/>
      <c r="H6" s="13"/>
    </row>
    <row r="7" spans="1:10" ht="21" customHeight="1">
      <c r="A7" s="14" t="s">
        <v>30</v>
      </c>
      <c r="B7" s="14"/>
      <c r="C7" s="14"/>
      <c r="D7" s="13"/>
      <c r="E7" s="13"/>
      <c r="F7" s="13"/>
      <c r="G7" s="13"/>
      <c r="H7" s="13"/>
    </row>
    <row r="8" spans="1:10" ht="21" customHeight="1">
      <c r="A8" s="14" t="s">
        <v>27</v>
      </c>
      <c r="B8" s="14"/>
      <c r="C8" s="14"/>
      <c r="D8" s="13"/>
      <c r="E8" s="13"/>
      <c r="F8" s="13"/>
      <c r="G8" s="13"/>
      <c r="H8" s="13"/>
    </row>
    <row r="9" spans="1:10" s="24" customFormat="1" ht="40.5">
      <c r="A9" s="22" t="s">
        <v>2</v>
      </c>
      <c r="B9" s="22" t="s">
        <v>14</v>
      </c>
      <c r="C9" s="23" t="s">
        <v>0</v>
      </c>
      <c r="D9" s="23" t="s">
        <v>1</v>
      </c>
      <c r="E9" s="23" t="s">
        <v>8</v>
      </c>
      <c r="F9" s="23" t="s">
        <v>3</v>
      </c>
      <c r="G9" s="23" t="s">
        <v>31</v>
      </c>
      <c r="H9" s="22" t="s">
        <v>7</v>
      </c>
    </row>
    <row r="10" spans="1:10" ht="20.25">
      <c r="A10" s="6">
        <v>1</v>
      </c>
      <c r="B10" s="12" t="s">
        <v>32</v>
      </c>
      <c r="C10" s="19">
        <v>827.7</v>
      </c>
      <c r="D10" s="20">
        <v>838.2</v>
      </c>
      <c r="E10" s="20">
        <f>D10-C10</f>
        <v>10.5</v>
      </c>
      <c r="F10" s="21">
        <v>2137</v>
      </c>
      <c r="G10" s="1">
        <f>F10*E10</f>
        <v>22438.5</v>
      </c>
      <c r="H10" s="1" t="s">
        <v>33</v>
      </c>
      <c r="J10" s="21">
        <v>2198</v>
      </c>
    </row>
    <row r="11" spans="1:10" ht="20.25">
      <c r="A11" s="6">
        <v>2</v>
      </c>
      <c r="B11" s="12">
        <v>66658</v>
      </c>
      <c r="C11" s="19">
        <v>838.2</v>
      </c>
      <c r="D11" s="20">
        <v>847.2</v>
      </c>
      <c r="E11" s="20">
        <f t="shared" ref="E11:E12" si="0">D11-C11</f>
        <v>9</v>
      </c>
      <c r="F11" s="21">
        <v>2137</v>
      </c>
      <c r="G11" s="1">
        <f t="shared" ref="G11:G12" si="1">F11*E11</f>
        <v>19233</v>
      </c>
      <c r="H11" s="1"/>
      <c r="J11" s="25"/>
    </row>
    <row r="12" spans="1:10" ht="20.25">
      <c r="A12" s="6">
        <v>3</v>
      </c>
      <c r="B12" s="12">
        <v>66659</v>
      </c>
      <c r="C12" s="19">
        <v>847.2</v>
      </c>
      <c r="D12" s="20">
        <v>859.3</v>
      </c>
      <c r="E12" s="20">
        <f t="shared" si="0"/>
        <v>12.099999999999909</v>
      </c>
      <c r="F12" s="21">
        <v>2137</v>
      </c>
      <c r="G12" s="1">
        <f t="shared" si="1"/>
        <v>25857.699999999804</v>
      </c>
      <c r="H12" s="1"/>
      <c r="J12" s="25"/>
    </row>
    <row r="13" spans="1:10" ht="20.25">
      <c r="A13" s="6">
        <v>4</v>
      </c>
      <c r="B13" s="12">
        <v>66660</v>
      </c>
      <c r="C13" s="19">
        <v>859.3</v>
      </c>
      <c r="D13" s="20">
        <v>868.9</v>
      </c>
      <c r="E13" s="20">
        <f t="shared" ref="E13" si="2">D13-C13</f>
        <v>9.6000000000000227</v>
      </c>
      <c r="F13" s="21">
        <v>2137</v>
      </c>
      <c r="G13" s="1">
        <f t="shared" ref="G13" si="3">F13*E13</f>
        <v>20515.200000000048</v>
      </c>
      <c r="H13" s="1"/>
      <c r="J13" s="25"/>
    </row>
    <row r="14" spans="1:10">
      <c r="A14" s="1"/>
      <c r="B14" s="1"/>
      <c r="C14" s="3"/>
      <c r="D14" s="1"/>
      <c r="E14" s="7" t="s">
        <v>9</v>
      </c>
      <c r="F14" s="5"/>
      <c r="G14" s="2">
        <f>SUM(G10:G13)</f>
        <v>88044.399999999849</v>
      </c>
      <c r="H14" s="3"/>
    </row>
    <row r="15" spans="1:10">
      <c r="A15" s="1"/>
      <c r="B15" s="1"/>
      <c r="C15" s="3"/>
      <c r="D15" s="1"/>
      <c r="E15" s="7" t="s">
        <v>10</v>
      </c>
      <c r="F15" s="5"/>
      <c r="G15" s="2"/>
      <c r="H15" s="3"/>
    </row>
    <row r="16" spans="1:10">
      <c r="A16" s="1"/>
      <c r="B16" s="1"/>
      <c r="C16" s="3"/>
      <c r="D16" s="1"/>
      <c r="E16" s="7" t="s">
        <v>11</v>
      </c>
      <c r="F16" s="5"/>
      <c r="G16" s="2">
        <f>G14</f>
        <v>88044.399999999849</v>
      </c>
      <c r="H16" s="3"/>
    </row>
    <row r="17" spans="1:8">
      <c r="A17" s="1"/>
      <c r="B17" s="1"/>
      <c r="C17" s="3"/>
      <c r="D17" s="1"/>
      <c r="E17" s="7" t="s">
        <v>12</v>
      </c>
      <c r="F17" s="5"/>
      <c r="G17" s="2">
        <f>0.13*G16</f>
        <v>11445.771999999981</v>
      </c>
      <c r="H17" s="3"/>
    </row>
    <row r="18" spans="1:8">
      <c r="A18" s="1"/>
      <c r="B18" s="1"/>
      <c r="C18" s="3"/>
      <c r="D18" s="1"/>
      <c r="E18" s="7" t="s">
        <v>13</v>
      </c>
      <c r="F18" s="5"/>
      <c r="G18" s="2">
        <f>SUM(G16:G17)</f>
        <v>99490.171999999831</v>
      </c>
      <c r="H18" s="3"/>
    </row>
    <row r="19" spans="1:8">
      <c r="A19" s="8"/>
      <c r="B19" s="8"/>
      <c r="C19" s="9"/>
      <c r="D19" s="8"/>
      <c r="E19" s="10"/>
      <c r="G19" s="11"/>
      <c r="H19" s="9"/>
    </row>
    <row r="26" spans="1:8" ht="20.25">
      <c r="B26" s="15" t="s">
        <v>15</v>
      </c>
      <c r="E26" s="15" t="s">
        <v>22</v>
      </c>
      <c r="H26" s="15" t="s">
        <v>22</v>
      </c>
    </row>
    <row r="27" spans="1:8" ht="20.25">
      <c r="B27" s="16"/>
      <c r="E27" s="16"/>
      <c r="H27" s="16"/>
    </row>
    <row r="28" spans="1:8" ht="18.75">
      <c r="B28" s="17" t="s">
        <v>28</v>
      </c>
      <c r="E28" s="17" t="s">
        <v>29</v>
      </c>
      <c r="H28" s="17" t="s">
        <v>29</v>
      </c>
    </row>
    <row r="35" spans="3:6" ht="20.25">
      <c r="C35" s="15" t="s">
        <v>22</v>
      </c>
      <c r="F35" s="15" t="s">
        <v>25</v>
      </c>
    </row>
    <row r="36" spans="3:6" ht="20.25">
      <c r="C36" s="16"/>
      <c r="F36" s="16"/>
    </row>
    <row r="37" spans="3:6" ht="18.75">
      <c r="C37" s="17" t="s">
        <v>24</v>
      </c>
      <c r="D37" s="18"/>
      <c r="F37" s="17" t="s">
        <v>23</v>
      </c>
    </row>
    <row r="42" spans="3:6">
      <c r="C42" s="4" t="s">
        <v>17</v>
      </c>
      <c r="D42" s="4" t="s">
        <v>18</v>
      </c>
      <c r="E42" s="4" t="s">
        <v>19</v>
      </c>
    </row>
    <row r="43" spans="3:6">
      <c r="C43" s="4" t="s">
        <v>20</v>
      </c>
      <c r="D43" s="4" t="s">
        <v>21</v>
      </c>
      <c r="E43" s="4" t="str">
        <f>E42</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A5BCC-D31B-4C22-A2CF-5C7AB24AA216}">
  <dimension ref="A1:J43"/>
  <sheetViews>
    <sheetView view="pageBreakPreview" topLeftCell="A4" zoomScaleNormal="100" zoomScaleSheetLayoutView="100" workbookViewId="0">
      <selection activeCell="G10" sqref="G10"/>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39.75" customHeight="1">
      <c r="A1" s="26" t="s">
        <v>4</v>
      </c>
      <c r="B1" s="26"/>
      <c r="C1" s="26"/>
      <c r="D1" s="26"/>
      <c r="E1" s="26"/>
      <c r="F1" s="26"/>
      <c r="G1" s="26"/>
      <c r="H1" s="26"/>
    </row>
    <row r="2" spans="1:10" ht="23.25" customHeight="1">
      <c r="A2" s="27" t="s">
        <v>5</v>
      </c>
      <c r="B2" s="27"/>
      <c r="C2" s="27"/>
      <c r="D2" s="27"/>
      <c r="E2" s="27"/>
      <c r="F2" s="27"/>
      <c r="G2" s="27"/>
      <c r="H2" s="27"/>
    </row>
    <row r="3" spans="1:10" ht="23.25" customHeight="1">
      <c r="A3" s="27" t="s">
        <v>6</v>
      </c>
      <c r="B3" s="27"/>
      <c r="C3" s="27"/>
      <c r="D3" s="27"/>
      <c r="E3" s="27"/>
      <c r="F3" s="27"/>
      <c r="G3" s="27"/>
      <c r="H3" s="27"/>
    </row>
    <row r="4" spans="1:10" ht="12.75" customHeight="1">
      <c r="A4" s="14"/>
      <c r="B4" s="14"/>
      <c r="C4" s="14"/>
      <c r="D4" s="13"/>
      <c r="E4" s="13"/>
      <c r="F4" s="13"/>
      <c r="G4" s="13"/>
      <c r="H4" s="13"/>
    </row>
    <row r="5" spans="1:10" ht="28.5" customHeight="1">
      <c r="A5" s="28" t="s">
        <v>16</v>
      </c>
      <c r="B5" s="28"/>
      <c r="C5" s="28"/>
      <c r="D5" s="28"/>
      <c r="E5" s="28"/>
      <c r="F5" s="28"/>
      <c r="G5" s="28"/>
      <c r="H5" s="28"/>
    </row>
    <row r="6" spans="1:10" ht="21" customHeight="1">
      <c r="A6" s="14" t="s">
        <v>26</v>
      </c>
      <c r="B6" s="14"/>
      <c r="C6" s="14"/>
      <c r="D6" s="13"/>
      <c r="E6" s="13"/>
      <c r="F6" s="13"/>
      <c r="G6" s="13"/>
      <c r="H6" s="13"/>
    </row>
    <row r="7" spans="1:10" ht="21" customHeight="1">
      <c r="A7" s="14" t="s">
        <v>30</v>
      </c>
      <c r="B7" s="14"/>
      <c r="C7" s="14"/>
      <c r="D7" s="13"/>
      <c r="E7" s="13"/>
      <c r="F7" s="13"/>
      <c r="G7" s="13"/>
      <c r="H7" s="13"/>
    </row>
    <row r="8" spans="1:10" ht="21" customHeight="1">
      <c r="A8" s="14" t="s">
        <v>27</v>
      </c>
      <c r="B8" s="14"/>
      <c r="C8" s="14"/>
      <c r="D8" s="13"/>
      <c r="E8" s="13"/>
      <c r="F8" s="13"/>
      <c r="G8" s="13"/>
      <c r="H8" s="13"/>
    </row>
    <row r="9" spans="1:10" s="24" customFormat="1" ht="40.5">
      <c r="A9" s="22" t="s">
        <v>2</v>
      </c>
      <c r="B9" s="22" t="s">
        <v>14</v>
      </c>
      <c r="C9" s="23" t="s">
        <v>0</v>
      </c>
      <c r="D9" s="23" t="s">
        <v>1</v>
      </c>
      <c r="E9" s="23" t="s">
        <v>8</v>
      </c>
      <c r="F9" s="23" t="s">
        <v>3</v>
      </c>
      <c r="G9" s="23" t="s">
        <v>31</v>
      </c>
      <c r="H9" s="22" t="s">
        <v>7</v>
      </c>
    </row>
    <row r="10" spans="1:10" ht="20.25">
      <c r="A10" s="6">
        <v>1</v>
      </c>
      <c r="B10" s="12">
        <v>66669</v>
      </c>
      <c r="C10" s="19">
        <v>7391.9</v>
      </c>
      <c r="D10" s="20">
        <v>7397.8</v>
      </c>
      <c r="E10" s="20">
        <f>D10-C10</f>
        <v>5.9000000000005457</v>
      </c>
      <c r="F10" s="21">
        <v>2137</v>
      </c>
      <c r="G10" s="1">
        <f>F10*E10</f>
        <v>12608.300000001167</v>
      </c>
      <c r="H10" s="1" t="s">
        <v>35</v>
      </c>
      <c r="J10" s="21">
        <v>2198</v>
      </c>
    </row>
    <row r="11" spans="1:10" ht="20.25">
      <c r="A11" s="6">
        <v>2</v>
      </c>
      <c r="B11" s="12">
        <v>66670</v>
      </c>
      <c r="C11" s="19">
        <v>7397.8</v>
      </c>
      <c r="D11" s="20">
        <v>7408</v>
      </c>
      <c r="E11" s="20">
        <f t="shared" ref="E11:E13" si="0">D11-C11</f>
        <v>10.199999999999818</v>
      </c>
      <c r="F11" s="21">
        <v>2137</v>
      </c>
      <c r="G11" s="1">
        <f t="shared" ref="G11:G13" si="1">F11*E11</f>
        <v>21797.399999999612</v>
      </c>
      <c r="H11" s="1"/>
      <c r="J11" s="25"/>
    </row>
    <row r="12" spans="1:10" ht="20.25">
      <c r="A12" s="6">
        <v>3</v>
      </c>
      <c r="B12" s="12">
        <v>66673</v>
      </c>
      <c r="C12" s="19">
        <v>7408</v>
      </c>
      <c r="D12" s="20">
        <v>7418.4</v>
      </c>
      <c r="E12" s="20">
        <f t="shared" si="0"/>
        <v>10.399999999999636</v>
      </c>
      <c r="F12" s="21">
        <v>2137</v>
      </c>
      <c r="G12" s="1">
        <f t="shared" si="1"/>
        <v>22224.799999999224</v>
      </c>
      <c r="H12" s="1"/>
      <c r="J12" s="25"/>
    </row>
    <row r="13" spans="1:10" ht="20.25">
      <c r="A13" s="6">
        <v>4</v>
      </c>
      <c r="B13" s="12">
        <v>66674</v>
      </c>
      <c r="C13" s="19">
        <v>7418.4</v>
      </c>
      <c r="D13" s="20">
        <v>7427.4</v>
      </c>
      <c r="E13" s="20">
        <f t="shared" si="0"/>
        <v>9</v>
      </c>
      <c r="F13" s="21">
        <v>2137</v>
      </c>
      <c r="G13" s="1">
        <f t="shared" si="1"/>
        <v>19233</v>
      </c>
      <c r="H13" s="1" t="s">
        <v>34</v>
      </c>
      <c r="J13" s="25"/>
    </row>
    <row r="14" spans="1:10">
      <c r="A14" s="1"/>
      <c r="B14" s="1"/>
      <c r="C14" s="3"/>
      <c r="D14" s="1"/>
      <c r="E14" s="7" t="s">
        <v>9</v>
      </c>
      <c r="F14" s="5"/>
      <c r="G14" s="2">
        <f>SUM(G10:G13)</f>
        <v>75863.5</v>
      </c>
      <c r="H14" s="3"/>
    </row>
    <row r="15" spans="1:10">
      <c r="A15" s="1"/>
      <c r="B15" s="1"/>
      <c r="C15" s="3"/>
      <c r="D15" s="1"/>
      <c r="E15" s="7" t="s">
        <v>10</v>
      </c>
      <c r="F15" s="5"/>
      <c r="G15" s="2"/>
      <c r="H15" s="3"/>
    </row>
    <row r="16" spans="1:10">
      <c r="A16" s="1"/>
      <c r="B16" s="1"/>
      <c r="C16" s="3"/>
      <c r="D16" s="1"/>
      <c r="E16" s="7" t="s">
        <v>11</v>
      </c>
      <c r="F16" s="5"/>
      <c r="G16" s="2">
        <f>G14</f>
        <v>75863.5</v>
      </c>
      <c r="H16" s="3"/>
    </row>
    <row r="17" spans="1:8">
      <c r="A17" s="1"/>
      <c r="B17" s="1"/>
      <c r="C17" s="3"/>
      <c r="D17" s="1"/>
      <c r="E17" s="7" t="s">
        <v>12</v>
      </c>
      <c r="F17" s="5"/>
      <c r="G17" s="2">
        <f>0.13*G16</f>
        <v>9862.255000000001</v>
      </c>
      <c r="H17" s="3"/>
    </row>
    <row r="18" spans="1:8">
      <c r="A18" s="1"/>
      <c r="B18" s="1"/>
      <c r="C18" s="3"/>
      <c r="D18" s="1"/>
      <c r="E18" s="7" t="s">
        <v>13</v>
      </c>
      <c r="F18" s="5"/>
      <c r="G18" s="2">
        <f>SUM(G16:G17)</f>
        <v>85725.755000000005</v>
      </c>
      <c r="H18" s="3"/>
    </row>
    <row r="19" spans="1:8">
      <c r="A19" s="8"/>
      <c r="B19" s="8"/>
      <c r="C19" s="9"/>
      <c r="D19" s="8"/>
      <c r="E19" s="10"/>
      <c r="G19" s="11"/>
      <c r="H19" s="9"/>
    </row>
    <row r="26" spans="1:8" ht="20.25">
      <c r="B26" s="15" t="s">
        <v>15</v>
      </c>
      <c r="E26" s="15" t="s">
        <v>22</v>
      </c>
      <c r="H26" s="15" t="s">
        <v>22</v>
      </c>
    </row>
    <row r="27" spans="1:8" ht="20.25">
      <c r="B27" s="16"/>
      <c r="E27" s="16"/>
      <c r="H27" s="16"/>
    </row>
    <row r="28" spans="1:8" ht="18.75">
      <c r="B28" s="17" t="s">
        <v>28</v>
      </c>
      <c r="E28" s="17" t="s">
        <v>29</v>
      </c>
      <c r="H28" s="17" t="s">
        <v>29</v>
      </c>
    </row>
    <row r="35" spans="3:6" ht="20.25">
      <c r="C35" s="15" t="s">
        <v>22</v>
      </c>
      <c r="F35" s="15" t="s">
        <v>25</v>
      </c>
    </row>
    <row r="36" spans="3:6" ht="20.25">
      <c r="C36" s="16"/>
      <c r="F36" s="16"/>
    </row>
    <row r="37" spans="3:6" ht="18.75">
      <c r="C37" s="17" t="s">
        <v>24</v>
      </c>
      <c r="D37" s="18"/>
      <c r="F37" s="17" t="s">
        <v>23</v>
      </c>
    </row>
    <row r="42" spans="3:6">
      <c r="C42" s="4" t="s">
        <v>17</v>
      </c>
      <c r="D42" s="4" t="s">
        <v>18</v>
      </c>
      <c r="E42" s="4" t="s">
        <v>19</v>
      </c>
    </row>
    <row r="43" spans="3:6">
      <c r="C43" s="4" t="s">
        <v>20</v>
      </c>
      <c r="D43" s="4" t="s">
        <v>21</v>
      </c>
      <c r="E43" s="4" t="str">
        <f>E42</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0F189-EC1B-4A5E-B2DF-ED9DC51F4FB7}">
  <dimension ref="A1:J48"/>
  <sheetViews>
    <sheetView tabSelected="1" view="pageBreakPreview" topLeftCell="A7" zoomScaleNormal="100" zoomScaleSheetLayoutView="100" workbookViewId="0">
      <selection activeCell="G20" sqref="G20"/>
    </sheetView>
  </sheetViews>
  <sheetFormatPr defaultColWidth="9.140625" defaultRowHeight="15.75"/>
  <cols>
    <col min="1" max="1" width="7" style="4" customWidth="1"/>
    <col min="2" max="2" width="24.7109375" style="4" customWidth="1"/>
    <col min="3" max="3" width="21.5703125" style="4" customWidth="1"/>
    <col min="4" max="4" width="23.28515625" style="4" customWidth="1"/>
    <col min="5" max="5" width="28.140625" style="4" customWidth="1"/>
    <col min="6" max="6" width="11.140625" style="4" customWidth="1"/>
    <col min="7" max="7" width="18.85546875" style="4" customWidth="1"/>
    <col min="8" max="8" width="30.5703125" style="4" customWidth="1"/>
    <col min="9" max="16384" width="9.140625" style="4"/>
  </cols>
  <sheetData>
    <row r="1" spans="1:10" ht="47.25" customHeight="1">
      <c r="A1" s="26" t="s">
        <v>4</v>
      </c>
      <c r="B1" s="26"/>
      <c r="C1" s="26"/>
      <c r="D1" s="26"/>
      <c r="E1" s="26"/>
      <c r="F1" s="26"/>
      <c r="G1" s="26"/>
      <c r="H1" s="26"/>
    </row>
    <row r="2" spans="1:10" ht="30" customHeight="1">
      <c r="A2" s="27" t="s">
        <v>5</v>
      </c>
      <c r="B2" s="27"/>
      <c r="C2" s="27"/>
      <c r="D2" s="27"/>
      <c r="E2" s="27"/>
      <c r="F2" s="27"/>
      <c r="G2" s="27"/>
      <c r="H2" s="27"/>
    </row>
    <row r="3" spans="1:10" ht="28.5" customHeight="1">
      <c r="A3" s="27" t="s">
        <v>6</v>
      </c>
      <c r="B3" s="27"/>
      <c r="C3" s="27"/>
      <c r="D3" s="27"/>
      <c r="E3" s="27"/>
      <c r="F3" s="27"/>
      <c r="G3" s="27"/>
      <c r="H3" s="27"/>
    </row>
    <row r="4" spans="1:10" ht="12.75" customHeight="1">
      <c r="A4" s="14"/>
      <c r="B4" s="14"/>
      <c r="C4" s="14"/>
      <c r="D4" s="13"/>
      <c r="E4" s="13"/>
      <c r="F4" s="13"/>
      <c r="G4" s="13"/>
      <c r="H4" s="13"/>
    </row>
    <row r="5" spans="1:10" ht="39.75" customHeight="1">
      <c r="A5" s="28" t="s">
        <v>16</v>
      </c>
      <c r="B5" s="28"/>
      <c r="C5" s="28"/>
      <c r="D5" s="28"/>
      <c r="E5" s="28"/>
      <c r="F5" s="28"/>
      <c r="G5" s="28"/>
      <c r="H5" s="28"/>
    </row>
    <row r="6" spans="1:10" ht="21" customHeight="1">
      <c r="A6" s="14" t="s">
        <v>41</v>
      </c>
      <c r="B6" s="14"/>
      <c r="C6" s="14"/>
      <c r="D6" s="13"/>
      <c r="E6" s="13"/>
      <c r="F6" s="13"/>
      <c r="G6" s="13"/>
      <c r="H6" s="13"/>
    </row>
    <row r="7" spans="1:10" ht="21" customHeight="1">
      <c r="A7" s="14" t="s">
        <v>30</v>
      </c>
      <c r="B7" s="14"/>
      <c r="C7" s="14"/>
      <c r="D7" s="13"/>
      <c r="E7" s="13"/>
      <c r="F7" s="13"/>
      <c r="G7" s="13"/>
      <c r="H7" s="13"/>
    </row>
    <row r="8" spans="1:10" ht="21" customHeight="1">
      <c r="A8" s="14" t="s">
        <v>27</v>
      </c>
      <c r="B8" s="14"/>
      <c r="C8" s="14"/>
      <c r="D8" s="13"/>
      <c r="E8" s="13"/>
      <c r="F8" s="13"/>
      <c r="G8" s="13"/>
      <c r="H8" s="13"/>
    </row>
    <row r="9" spans="1:10" s="24" customFormat="1" ht="40.5">
      <c r="A9" s="22" t="s">
        <v>2</v>
      </c>
      <c r="B9" s="22" t="s">
        <v>14</v>
      </c>
      <c r="C9" s="23" t="s">
        <v>0</v>
      </c>
      <c r="D9" s="23" t="s">
        <v>1</v>
      </c>
      <c r="E9" s="23" t="s">
        <v>8</v>
      </c>
      <c r="F9" s="23" t="s">
        <v>3</v>
      </c>
      <c r="G9" s="23" t="s">
        <v>31</v>
      </c>
      <c r="H9" s="22" t="s">
        <v>7</v>
      </c>
    </row>
    <row r="10" spans="1:10" ht="20.25">
      <c r="A10" s="6">
        <v>1</v>
      </c>
      <c r="B10" s="12">
        <v>66669</v>
      </c>
      <c r="C10" s="19">
        <v>7391.9</v>
      </c>
      <c r="D10" s="20">
        <v>7397.8</v>
      </c>
      <c r="E10" s="20">
        <f>D10-C10</f>
        <v>5.9000000000005457</v>
      </c>
      <c r="F10" s="21">
        <v>2137</v>
      </c>
      <c r="G10" s="1">
        <f>F10*E10</f>
        <v>12608.300000001167</v>
      </c>
      <c r="H10" s="30" t="s">
        <v>37</v>
      </c>
      <c r="J10" s="21">
        <v>2198</v>
      </c>
    </row>
    <row r="11" spans="1:10" ht="20.25">
      <c r="A11" s="6">
        <v>2</v>
      </c>
      <c r="B11" s="12">
        <v>66670</v>
      </c>
      <c r="C11" s="19">
        <v>7397.8</v>
      </c>
      <c r="D11" s="20">
        <v>7408</v>
      </c>
      <c r="E11" s="20">
        <f>D11-C11</f>
        <v>10.199999999999818</v>
      </c>
      <c r="F11" s="21">
        <v>2137</v>
      </c>
      <c r="G11" s="1">
        <f>F11*E11</f>
        <v>21797.399999999612</v>
      </c>
      <c r="H11" s="5" t="s">
        <v>38</v>
      </c>
      <c r="J11" s="29"/>
    </row>
    <row r="12" spans="1:10" ht="20.25">
      <c r="A12" s="6">
        <v>3</v>
      </c>
      <c r="B12" s="12">
        <v>66673</v>
      </c>
      <c r="C12" s="19">
        <v>7408</v>
      </c>
      <c r="D12" s="20">
        <v>7418.4</v>
      </c>
      <c r="E12" s="20">
        <f>D12-C12</f>
        <v>10.399999999999636</v>
      </c>
      <c r="F12" s="21">
        <v>2137</v>
      </c>
      <c r="G12" s="1">
        <f>F12*E12</f>
        <v>22224.799999999224</v>
      </c>
      <c r="H12" s="1" t="s">
        <v>38</v>
      </c>
      <c r="J12" s="25"/>
    </row>
    <row r="13" spans="1:10" ht="20.25">
      <c r="A13" s="6">
        <v>4</v>
      </c>
      <c r="B13" s="12">
        <v>66674</v>
      </c>
      <c r="C13" s="19">
        <v>7418.4</v>
      </c>
      <c r="D13" s="20">
        <v>7427.4</v>
      </c>
      <c r="E13" s="20">
        <f>D13-C13</f>
        <v>9</v>
      </c>
      <c r="F13" s="21">
        <v>2137</v>
      </c>
      <c r="G13" s="1">
        <f>F13*E13</f>
        <v>19233</v>
      </c>
      <c r="H13" s="1" t="s">
        <v>39</v>
      </c>
      <c r="J13" s="25"/>
    </row>
    <row r="14" spans="1:10" ht="20.25">
      <c r="A14" s="6">
        <v>5</v>
      </c>
      <c r="B14" s="12">
        <v>66678</v>
      </c>
      <c r="C14" s="19">
        <v>6959.3</v>
      </c>
      <c r="D14" s="20">
        <v>6967.3</v>
      </c>
      <c r="E14" s="20">
        <f>D14-C14</f>
        <v>8</v>
      </c>
      <c r="F14" s="21">
        <v>2137</v>
      </c>
      <c r="G14" s="1">
        <f>F14*E14</f>
        <v>17096</v>
      </c>
      <c r="H14" s="30" t="s">
        <v>40</v>
      </c>
      <c r="J14" s="25"/>
    </row>
    <row r="15" spans="1:10" ht="20.25">
      <c r="A15" s="6"/>
      <c r="B15" s="12"/>
      <c r="C15" s="19"/>
      <c r="D15" s="20"/>
      <c r="E15" s="20"/>
      <c r="F15" s="21"/>
      <c r="G15" s="1"/>
      <c r="H15" s="1"/>
      <c r="J15" s="25"/>
    </row>
    <row r="16" spans="1:10">
      <c r="A16" s="1"/>
      <c r="B16" s="1"/>
      <c r="C16" s="3"/>
      <c r="D16" s="1"/>
      <c r="E16" s="7" t="s">
        <v>9</v>
      </c>
      <c r="F16" s="5"/>
      <c r="G16" s="2">
        <f>SUM(G10:G14)</f>
        <v>92959.5</v>
      </c>
      <c r="H16" s="3"/>
    </row>
    <row r="17" spans="1:8">
      <c r="A17" s="1"/>
      <c r="B17" s="1"/>
      <c r="C17" s="3"/>
      <c r="D17" s="1"/>
      <c r="E17" s="7" t="s">
        <v>10</v>
      </c>
      <c r="F17" s="5"/>
      <c r="G17" s="2"/>
      <c r="H17" s="3"/>
    </row>
    <row r="18" spans="1:8">
      <c r="A18" s="1"/>
      <c r="B18" s="1"/>
      <c r="C18" s="3"/>
      <c r="D18" s="1"/>
      <c r="E18" s="7" t="s">
        <v>11</v>
      </c>
      <c r="F18" s="5"/>
      <c r="G18" s="2">
        <f>G16</f>
        <v>92959.5</v>
      </c>
      <c r="H18" s="3"/>
    </row>
    <row r="19" spans="1:8">
      <c r="A19" s="1"/>
      <c r="B19" s="1"/>
      <c r="C19" s="3"/>
      <c r="D19" s="1"/>
      <c r="E19" s="7" t="s">
        <v>12</v>
      </c>
      <c r="F19" s="5"/>
      <c r="G19" s="2">
        <f>0.13*G18</f>
        <v>12084.735000000001</v>
      </c>
      <c r="H19" s="3"/>
    </row>
    <row r="20" spans="1:8">
      <c r="A20" s="1"/>
      <c r="B20" s="1"/>
      <c r="C20" s="3"/>
      <c r="D20" s="1"/>
      <c r="E20" s="7" t="s">
        <v>13</v>
      </c>
      <c r="F20" s="5"/>
      <c r="G20" s="2">
        <f>SUM(G18:G19)</f>
        <v>105044.235</v>
      </c>
      <c r="H20" s="3"/>
    </row>
    <row r="21" spans="1:8">
      <c r="A21" s="8"/>
      <c r="B21" s="8"/>
      <c r="C21" s="9"/>
      <c r="D21" s="8"/>
      <c r="E21" s="10"/>
      <c r="G21" s="11"/>
      <c r="H21" s="9"/>
    </row>
    <row r="31" spans="1:8" ht="20.25">
      <c r="B31" s="15" t="s">
        <v>15</v>
      </c>
      <c r="E31" s="15" t="s">
        <v>22</v>
      </c>
      <c r="H31" s="15" t="s">
        <v>25</v>
      </c>
    </row>
    <row r="32" spans="1:8" ht="20.25">
      <c r="B32" s="16"/>
      <c r="E32" s="16"/>
      <c r="H32" s="16"/>
    </row>
    <row r="33" spans="2:8" ht="18.75">
      <c r="B33" s="17" t="s">
        <v>36</v>
      </c>
      <c r="E33" s="17" t="s">
        <v>24</v>
      </c>
      <c r="H33" s="17" t="s">
        <v>23</v>
      </c>
    </row>
    <row r="47" spans="2:8">
      <c r="C47" s="4" t="s">
        <v>17</v>
      </c>
      <c r="D47" s="4" t="s">
        <v>18</v>
      </c>
      <c r="E47" s="4" t="s">
        <v>19</v>
      </c>
    </row>
    <row r="48" spans="2:8">
      <c r="C48" s="4" t="s">
        <v>20</v>
      </c>
      <c r="D48" s="4" t="s">
        <v>21</v>
      </c>
      <c r="E48" s="4" t="str">
        <f>E47</f>
        <v>without vat</v>
      </c>
    </row>
  </sheetData>
  <mergeCells count="4">
    <mergeCell ref="A1:H1"/>
    <mergeCell ref="A2:H2"/>
    <mergeCell ref="A3:H3"/>
    <mergeCell ref="A5:H5"/>
  </mergeCells>
  <printOptions horizontalCentered="1"/>
  <pageMargins left="0.25" right="0.25" top="0.75" bottom="0.75" header="0.3" footer="0.3"/>
  <pageSetup scale="70" fitToHeight="2"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9</vt:lpstr>
      <vt:lpstr>new</vt:lpstr>
      <vt:lpstr>new (2)</vt:lpstr>
      <vt:lpstr>'9'!Print_Area</vt:lpstr>
      <vt:lpstr>new!Print_Area</vt:lpstr>
      <vt:lpstr>'new (2)'!Print_Area</vt:lpstr>
      <vt:lpstr>'9'!Print_Titles</vt:lpstr>
      <vt:lpstr>new!Print_Titles</vt:lpstr>
      <vt:lpstr>'new (2)'!Print_Titles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cp:lastPrinted>2025-11-25T07:18:25Z</cp:lastPrinted>
  <dcterms:created xsi:type="dcterms:W3CDTF">2024-08-25T06:49:54Z</dcterms:created>
  <dcterms:modified xsi:type="dcterms:W3CDTF">2025-11-25T07:19:05Z</dcterms:modified>
</cp:coreProperties>
</file>