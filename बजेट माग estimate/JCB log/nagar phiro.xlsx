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G:\2082_2083\बजेट माग estimate\JCB log\"/>
    </mc:Choice>
  </mc:AlternateContent>
  <xr:revisionPtr revIDLastSave="0" documentId="13_ncr:1_{35AED19E-418A-4330-8A84-A2BF9390E5DC}" xr6:coauthVersionLast="47" xr6:coauthVersionMax="47" xr10:uidLastSave="{00000000-0000-0000-0000-000000000000}"/>
  <bookViews>
    <workbookView xWindow="-120" yWindow="-120" windowWidth="20640" windowHeight="11040" firstSheet="13" activeTab="27" xr2:uid="{00000000-000D-0000-FFFF-FFFF00000000}"/>
  </bookViews>
  <sheets>
    <sheet name="1" sheetId="5" r:id="rId1"/>
    <sheet name="2" sheetId="15" r:id="rId2"/>
    <sheet name="3" sheetId="16" r:id="rId3"/>
    <sheet name="4" sheetId="17" r:id="rId4"/>
    <sheet name="5" sheetId="18" r:id="rId5"/>
    <sheet name="6" sheetId="19" r:id="rId6"/>
    <sheet name="7" sheetId="20" r:id="rId7"/>
    <sheet name="8" sheetId="21" r:id="rId8"/>
    <sheet name="9" sheetId="22" r:id="rId9"/>
    <sheet name="10" sheetId="23" r:id="rId10"/>
    <sheet name="11" sheetId="24" r:id="rId11"/>
    <sheet name="12" sheetId="28" r:id="rId12"/>
    <sheet name="13" sheetId="25" r:id="rId13"/>
    <sheet name="14" sheetId="26" r:id="rId14"/>
    <sheet name="15" sheetId="27" r:id="rId15"/>
    <sheet name="16" sheetId="29" r:id="rId16"/>
    <sheet name="17" sheetId="30" r:id="rId17"/>
    <sheet name="18" sheetId="31" r:id="rId18"/>
    <sheet name="19" sheetId="32" r:id="rId19"/>
    <sheet name="20" sheetId="33" r:id="rId20"/>
    <sheet name="21" sheetId="34" r:id="rId21"/>
    <sheet name="22" sheetId="35" r:id="rId22"/>
    <sheet name="23" sheetId="36" r:id="rId23"/>
    <sheet name="24" sheetId="37" r:id="rId24"/>
    <sheet name="25" sheetId="38" r:id="rId25"/>
    <sheet name="26" sheetId="39" r:id="rId26"/>
    <sheet name="27" sheetId="40" r:id="rId27"/>
    <sheet name="28" sheetId="41" r:id="rId28"/>
  </sheets>
  <externalReferences>
    <externalReference r:id="rId29"/>
    <externalReference r:id="rId30"/>
    <externalReference r:id="rId31"/>
    <externalReference r:id="rId32"/>
    <externalReference r:id="rId33"/>
    <externalReference r:id="rId34"/>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0">'1'!$A$1:$H$34</definedName>
    <definedName name="_xlnm.Print_Area" localSheetId="9">'10'!$A$1:$H$34</definedName>
    <definedName name="_xlnm.Print_Area" localSheetId="10">'11'!$A$1:$H$34</definedName>
    <definedName name="_xlnm.Print_Area" localSheetId="11">'12'!$A$1:$H$34</definedName>
    <definedName name="_xlnm.Print_Area" localSheetId="12">'13'!$A$1:$H$34</definedName>
    <definedName name="_xlnm.Print_Area" localSheetId="13">'14'!$A$1:$H$34</definedName>
    <definedName name="_xlnm.Print_Area" localSheetId="14">'15'!$A$1:$H$34</definedName>
    <definedName name="_xlnm.Print_Area" localSheetId="15">'16'!$A$1:$H$34</definedName>
    <definedName name="_xlnm.Print_Area" localSheetId="16">'17'!$A$1:$H$34</definedName>
    <definedName name="_xlnm.Print_Area" localSheetId="17">'18'!$A$1:$H$34</definedName>
    <definedName name="_xlnm.Print_Area" localSheetId="18">'19'!$A$1:$H$34</definedName>
    <definedName name="_xlnm.Print_Area" localSheetId="1">'2'!$A$1:$H$34</definedName>
    <definedName name="_xlnm.Print_Area" localSheetId="19">'20'!$A$1:$H$34</definedName>
    <definedName name="_xlnm.Print_Area" localSheetId="20">'21'!$A$1:$H$34</definedName>
    <definedName name="_xlnm.Print_Area" localSheetId="21">'22'!$A$1:$H$34</definedName>
    <definedName name="_xlnm.Print_Area" localSheetId="22">'23'!$A$1:$H$34</definedName>
    <definedName name="_xlnm.Print_Area" localSheetId="23">'24'!$A$1:$H$34</definedName>
    <definedName name="_xlnm.Print_Area" localSheetId="24">'25'!$A$1:$H$34</definedName>
    <definedName name="_xlnm.Print_Area" localSheetId="25">'26'!$A$1:$H$34</definedName>
    <definedName name="_xlnm.Print_Area" localSheetId="26">'27'!$A$1:$H$34</definedName>
    <definedName name="_xlnm.Print_Area" localSheetId="27">'28'!$A$1:$H$37</definedName>
    <definedName name="_xlnm.Print_Area" localSheetId="2">'3'!$A$1:$H$34</definedName>
    <definedName name="_xlnm.Print_Area" localSheetId="3">'4'!$A$1:$H$34</definedName>
    <definedName name="_xlnm.Print_Area" localSheetId="4">'5'!$A$1:$H$34</definedName>
    <definedName name="_xlnm.Print_Area" localSheetId="5">'6'!$A$1:$H$34</definedName>
    <definedName name="_xlnm.Print_Area" localSheetId="6">'7'!$A$1:$H$34</definedName>
    <definedName name="_xlnm.Print_Area" localSheetId="7">'8'!$A$1:$H$34</definedName>
    <definedName name="_xlnm.Print_Area" localSheetId="8">'9'!$A$1:$H$34</definedName>
    <definedName name="_xlnm.Print_Titles" localSheetId="0">'1'!$1:$9</definedName>
    <definedName name="_xlnm.Print_Titles" localSheetId="9">'10'!$1:$9</definedName>
    <definedName name="_xlnm.Print_Titles" localSheetId="10">'11'!$1:$9</definedName>
    <definedName name="_xlnm.Print_Titles" localSheetId="11">'12'!$1:$9</definedName>
    <definedName name="_xlnm.Print_Titles" localSheetId="12">'13'!$1:$9</definedName>
    <definedName name="_xlnm.Print_Titles" localSheetId="13">'14'!$1:$9</definedName>
    <definedName name="_xlnm.Print_Titles" localSheetId="14">'15'!$1:$9</definedName>
    <definedName name="_xlnm.Print_Titles" localSheetId="15">'16'!$1:$9</definedName>
    <definedName name="_xlnm.Print_Titles" localSheetId="16">'17'!$1:$9</definedName>
    <definedName name="_xlnm.Print_Titles" localSheetId="17">'18'!$1:$9</definedName>
    <definedName name="_xlnm.Print_Titles" localSheetId="18">'19'!$1:$9</definedName>
    <definedName name="_xlnm.Print_Titles" localSheetId="1">'2'!$1:$9</definedName>
    <definedName name="_xlnm.Print_Titles" localSheetId="19">'20'!$1:$9</definedName>
    <definedName name="_xlnm.Print_Titles" localSheetId="20">'21'!$1:$9</definedName>
    <definedName name="_xlnm.Print_Titles" localSheetId="21">'22'!$1:$9</definedName>
    <definedName name="_xlnm.Print_Titles" localSheetId="22">'23'!$1:$9</definedName>
    <definedName name="_xlnm.Print_Titles" localSheetId="23">'24'!$1:$9</definedName>
    <definedName name="_xlnm.Print_Titles" localSheetId="24">'25'!$1:$9</definedName>
    <definedName name="_xlnm.Print_Titles" localSheetId="25">'26'!$1:$9</definedName>
    <definedName name="_xlnm.Print_Titles" localSheetId="26">'27'!$1:$9</definedName>
    <definedName name="_xlnm.Print_Titles" localSheetId="27">'28'!$1:$9</definedName>
    <definedName name="_xlnm.Print_Titles" localSheetId="2">'3'!$1:$9</definedName>
    <definedName name="_xlnm.Print_Titles" localSheetId="3">'4'!$1:$9</definedName>
    <definedName name="_xlnm.Print_Titles" localSheetId="4">'5'!$1:$9</definedName>
    <definedName name="_xlnm.Print_Titles" localSheetId="5">'6'!$1:$9</definedName>
    <definedName name="_xlnm.Print_Titles" localSheetId="6">'7'!$1:$9</definedName>
    <definedName name="_xlnm.Print_Titles" localSheetId="7">'8'!$1:$9</definedName>
    <definedName name="_xlnm.Print_Titles" localSheetId="8">'9'!$1:$9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41" l="1"/>
  <c r="G10" i="41"/>
  <c r="G15" i="41" s="1"/>
  <c r="G17" i="41" s="1"/>
  <c r="E40" i="40"/>
  <c r="E10" i="40"/>
  <c r="G10" i="40" s="1"/>
  <c r="G11" i="40" s="1"/>
  <c r="G13" i="40" s="1"/>
  <c r="E40" i="39"/>
  <c r="E10" i="39"/>
  <c r="G10" i="39" s="1"/>
  <c r="G11" i="39" s="1"/>
  <c r="G13" i="39" s="1"/>
  <c r="E40" i="38"/>
  <c r="E10" i="38"/>
  <c r="G10" i="38" s="1"/>
  <c r="G11" i="38" s="1"/>
  <c r="G13" i="38" s="1"/>
  <c r="E40" i="37"/>
  <c r="E10" i="37"/>
  <c r="G10" i="37" s="1"/>
  <c r="G11" i="37" s="1"/>
  <c r="G13" i="37" s="1"/>
  <c r="E40" i="36"/>
  <c r="E10" i="36"/>
  <c r="G10" i="36" s="1"/>
  <c r="G11" i="36" s="1"/>
  <c r="G13" i="36" s="1"/>
  <c r="E40" i="35"/>
  <c r="E10" i="35"/>
  <c r="G10" i="35" s="1"/>
  <c r="G11" i="35" s="1"/>
  <c r="G13" i="35" s="1"/>
  <c r="E40" i="34"/>
  <c r="E10" i="34"/>
  <c r="G10" i="34" s="1"/>
  <c r="G11" i="34" s="1"/>
  <c r="G13" i="34" s="1"/>
  <c r="E40" i="33"/>
  <c r="E10" i="33"/>
  <c r="G10" i="33" s="1"/>
  <c r="G11" i="33" s="1"/>
  <c r="G13" i="33" s="1"/>
  <c r="E40" i="32"/>
  <c r="E10" i="32"/>
  <c r="G10" i="32" s="1"/>
  <c r="G11" i="32" s="1"/>
  <c r="G13" i="32" s="1"/>
  <c r="E40" i="31"/>
  <c r="E10" i="31"/>
  <c r="G10" i="31" s="1"/>
  <c r="G11" i="31" s="1"/>
  <c r="G13" i="31" s="1"/>
  <c r="E40" i="30"/>
  <c r="E10" i="30"/>
  <c r="G10" i="30" s="1"/>
  <c r="G11" i="30" s="1"/>
  <c r="G13" i="30" s="1"/>
  <c r="E40" i="29"/>
  <c r="E10" i="29"/>
  <c r="G10" i="29" s="1"/>
  <c r="G11" i="29" s="1"/>
  <c r="G13" i="29" s="1"/>
  <c r="E40" i="28"/>
  <c r="E10" i="28"/>
  <c r="G10" i="28" s="1"/>
  <c r="G11" i="28" s="1"/>
  <c r="G13" i="28" s="1"/>
  <c r="E40" i="27"/>
  <c r="E10" i="27"/>
  <c r="G10" i="27" s="1"/>
  <c r="G11" i="27" s="1"/>
  <c r="G13" i="27" s="1"/>
  <c r="E40" i="26"/>
  <c r="E10" i="26"/>
  <c r="G10" i="26" s="1"/>
  <c r="G11" i="26" s="1"/>
  <c r="G13" i="26" s="1"/>
  <c r="E40" i="25"/>
  <c r="E10" i="25"/>
  <c r="G10" i="25" s="1"/>
  <c r="G11" i="25" s="1"/>
  <c r="G13" i="25" s="1"/>
  <c r="E40" i="24"/>
  <c r="E10" i="24"/>
  <c r="G10" i="24" s="1"/>
  <c r="G11" i="24" s="1"/>
  <c r="G13" i="24" s="1"/>
  <c r="E40" i="23"/>
  <c r="E10" i="23"/>
  <c r="G10" i="23" s="1"/>
  <c r="G11" i="23" s="1"/>
  <c r="G13" i="23" s="1"/>
  <c r="E40" i="22"/>
  <c r="E10" i="22"/>
  <c r="G10" i="22" s="1"/>
  <c r="G11" i="22" s="1"/>
  <c r="G13" i="22" s="1"/>
  <c r="E40" i="21"/>
  <c r="E10" i="21"/>
  <c r="G10" i="21" s="1"/>
  <c r="G11" i="21" s="1"/>
  <c r="G13" i="21" s="1"/>
  <c r="E40" i="20"/>
  <c r="E10" i="20"/>
  <c r="G10" i="20" s="1"/>
  <c r="G11" i="20" s="1"/>
  <c r="G13" i="20" s="1"/>
  <c r="E40" i="19"/>
  <c r="E10" i="19"/>
  <c r="G10" i="19" s="1"/>
  <c r="G11" i="19" s="1"/>
  <c r="G13" i="19" s="1"/>
  <c r="E40" i="18"/>
  <c r="E10" i="18"/>
  <c r="G10" i="18" s="1"/>
  <c r="G11" i="18" s="1"/>
  <c r="G13" i="18" s="1"/>
  <c r="E40" i="17"/>
  <c r="E10" i="17"/>
  <c r="G10" i="17" s="1"/>
  <c r="G11" i="17" s="1"/>
  <c r="G13" i="17" s="1"/>
  <c r="E40" i="16"/>
  <c r="E10" i="16"/>
  <c r="G10" i="16" s="1"/>
  <c r="G11" i="16" s="1"/>
  <c r="G13" i="16" s="1"/>
  <c r="E40" i="15"/>
  <c r="E10" i="15"/>
  <c r="G10" i="15" s="1"/>
  <c r="G11" i="15" s="1"/>
  <c r="G13" i="15" s="1"/>
  <c r="G18" i="41" l="1"/>
  <c r="G19" i="41" s="1"/>
  <c r="G14" i="40"/>
  <c r="G15" i="40" s="1"/>
  <c r="G14" i="39"/>
  <c r="G15" i="39" s="1"/>
  <c r="G14" i="38"/>
  <c r="G15" i="38" s="1"/>
  <c r="G14" i="37"/>
  <c r="G15" i="37" s="1"/>
  <c r="G14" i="36"/>
  <c r="G15" i="36" s="1"/>
  <c r="G14" i="35"/>
  <c r="G15" i="35" s="1"/>
  <c r="G14" i="34"/>
  <c r="G15" i="34" s="1"/>
  <c r="G14" i="33"/>
  <c r="G15" i="33" s="1"/>
  <c r="G14" i="32"/>
  <c r="G15" i="32"/>
  <c r="G14" i="31"/>
  <c r="G15" i="31" s="1"/>
  <c r="G14" i="30"/>
  <c r="G15" i="30" s="1"/>
  <c r="G14" i="29"/>
  <c r="G15" i="29" s="1"/>
  <c r="G14" i="28"/>
  <c r="G15" i="28" s="1"/>
  <c r="G14" i="27"/>
  <c r="G15" i="27" s="1"/>
  <c r="G14" i="26"/>
  <c r="G15" i="26"/>
  <c r="G14" i="25"/>
  <c r="G15" i="25" s="1"/>
  <c r="G14" i="24"/>
  <c r="G15" i="24" s="1"/>
  <c r="G14" i="23"/>
  <c r="G15" i="23"/>
  <c r="G14" i="22"/>
  <c r="G15" i="22" s="1"/>
  <c r="G14" i="21"/>
  <c r="G15" i="21" s="1"/>
  <c r="G14" i="20"/>
  <c r="G15" i="20" s="1"/>
  <c r="G14" i="19"/>
  <c r="G15" i="19" s="1"/>
  <c r="G14" i="18"/>
  <c r="G15" i="18" s="1"/>
  <c r="G14" i="17"/>
  <c r="G15" i="17" s="1"/>
  <c r="G14" i="16"/>
  <c r="G15" i="16"/>
  <c r="G14" i="15"/>
  <c r="G15" i="15" s="1"/>
  <c r="E10" i="5"/>
  <c r="G10" i="5" s="1"/>
  <c r="E40" i="5"/>
  <c r="G11" i="5" l="1"/>
  <c r="G13" i="5" s="1"/>
  <c r="G14" i="5" s="1"/>
  <c r="G15" i="5" s="1"/>
</calcChain>
</file>

<file path=xl/sharedStrings.xml><?xml version="1.0" encoding="utf-8"?>
<sst xmlns="http://schemas.openxmlformats.org/spreadsheetml/2006/main" count="1026" uniqueCount="72">
  <si>
    <t>सुरु घण्टा मिटर (क)</t>
  </si>
  <si>
    <t>समाप्त घण्टा मिटर (ख)</t>
  </si>
  <si>
    <t>सि. न</t>
  </si>
  <si>
    <t>दर (रुपैया)</t>
  </si>
  <si>
    <t>शंखरापुर नगरपालिका</t>
  </si>
  <si>
    <t>नगर कार्यपालिकाको कार्यालय</t>
  </si>
  <si>
    <t>साँखु, काठमाण्डौ।</t>
  </si>
  <si>
    <t>कैफियत</t>
  </si>
  <si>
    <t>लागेको समय ग (ख-क) घण्टा</t>
  </si>
  <si>
    <t>कुल</t>
  </si>
  <si>
    <t>.......... प्रतिशत छुट</t>
  </si>
  <si>
    <t>कर लाग्ने रकम</t>
  </si>
  <si>
    <t xml:space="preserve">१३ % प्रतिशत </t>
  </si>
  <si>
    <t>कुल जम्मा रकम</t>
  </si>
  <si>
    <t xml:space="preserve">काम गरेको मिति </t>
  </si>
  <si>
    <t>................................</t>
  </si>
  <si>
    <t xml:space="preserve"> लग सिट</t>
  </si>
  <si>
    <t xml:space="preserve">Backhoe per hour </t>
  </si>
  <si>
    <t>Rs 2198</t>
  </si>
  <si>
    <t>without vat</t>
  </si>
  <si>
    <t>excavator per hour</t>
  </si>
  <si>
    <t>Rs 3214</t>
  </si>
  <si>
    <t>............................</t>
  </si>
  <si>
    <t>वडा अधक्ष्यको सहि</t>
  </si>
  <si>
    <t>वडा सदस्यको सहि</t>
  </si>
  <si>
    <t>...............................</t>
  </si>
  <si>
    <t xml:space="preserve">फर्म्/व्यक्तिको नाम : </t>
  </si>
  <si>
    <t xml:space="preserve">काम गरेको वडा: नाङ्गलेभारे  - १, काठमाण्डौ  </t>
  </si>
  <si>
    <t>अपरेटरको नाम र सहि</t>
  </si>
  <si>
    <t>स्थानीय  साक्षिको  नाम र सहि</t>
  </si>
  <si>
    <t xml:space="preserve">काम गरेको स्थान : नाङ्गलेभारे  - १, काठमाण्डौ  </t>
  </si>
  <si>
    <t>जम्मा (रुपैया)</t>
  </si>
  <si>
    <t xml:space="preserve">झिल्के टोल जाने बाटो </t>
  </si>
  <si>
    <t xml:space="preserve">घटुवाले टोल जाने सडक </t>
  </si>
  <si>
    <t xml:space="preserve">पंचपाले जाने सडक </t>
  </si>
  <si>
    <t>केराबारी आलडाँडा</t>
  </si>
  <si>
    <t>पंचपाले सडक</t>
  </si>
  <si>
    <t>ढुंगाना गाउँ काल्ले सडक</t>
  </si>
  <si>
    <t>सल्ले जाने बाटो</t>
  </si>
  <si>
    <t>कुण्डेस्वर जाने बाटो</t>
  </si>
  <si>
    <t>6/31/2082</t>
  </si>
  <si>
    <t>जीत पटे  जाने बाटो</t>
  </si>
  <si>
    <t>7/1/2082</t>
  </si>
  <si>
    <t>7/2/2082</t>
  </si>
  <si>
    <t>7/3/2082</t>
  </si>
  <si>
    <t>लामाखेत स्याले जाने बाटो</t>
  </si>
  <si>
    <t>7/9/2082</t>
  </si>
  <si>
    <t xml:space="preserve">ढुंगाना बेसी सडक </t>
  </si>
  <si>
    <t>7/10/2082</t>
  </si>
  <si>
    <t>7/11/2082</t>
  </si>
  <si>
    <t>केराबारी खानीडाँडा सडक</t>
  </si>
  <si>
    <t xml:space="preserve">नेवार टोल छापभन्ज्याङ </t>
  </si>
  <si>
    <t>7/12/2082</t>
  </si>
  <si>
    <t>7/13/2082</t>
  </si>
  <si>
    <t>7/16/2082</t>
  </si>
  <si>
    <t>7/17/2082</t>
  </si>
  <si>
    <t xml:space="preserve">पंचापले  सडक </t>
  </si>
  <si>
    <t>7/18/2082</t>
  </si>
  <si>
    <t xml:space="preserve">पंचापले चुरिठुम्का जोड्ने सडक </t>
  </si>
  <si>
    <t>7/19/2082</t>
  </si>
  <si>
    <t xml:space="preserve">पंचापले सडक </t>
  </si>
  <si>
    <t>7/20/2082</t>
  </si>
  <si>
    <t xml:space="preserve">पंचापले ढकालगाउँ सडक </t>
  </si>
  <si>
    <t>7/21/2082</t>
  </si>
  <si>
    <t xml:space="preserve">ढकालगाउँ सडक </t>
  </si>
  <si>
    <t>7/23/2082</t>
  </si>
  <si>
    <t>7/24/2082</t>
  </si>
  <si>
    <t xml:space="preserve">दंगालगाउँ बाट नांग्ले चौकी  सडक </t>
  </si>
  <si>
    <t>7/25/2082</t>
  </si>
  <si>
    <t xml:space="preserve">नांग्ले पोखरी खोला सडक </t>
  </si>
  <si>
    <t>7/26/2082</t>
  </si>
  <si>
    <t xml:space="preserve">सल्लेबाट एसेलु डाँडा काफ्ले सडक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</si>
</sst>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00439]0"/>
    <numFmt numFmtId="166" formatCode="yyyy/mm/dd"/>
    <numFmt numFmtId="167" formatCode="[$-4000439]0.#"/>
  </numFmts>
  <fonts count="13" x14ac:knownFonts="1">
    <font>
      <sz val="11"/>
      <color theme="1"/>
      <name val="Calibri"/>
      <family val="2"/>
      <scheme val="minor"/>
    </font>
    <font>
      <sz val="11"/>
      <color theme="1"/>
      <name val="Calibri"/>
      <family val="2"/>
      <scheme val="minor"/>
    </font>
    <font>
      <sz val="12"/>
      <color theme="1"/>
      <name val="Times New Roman"/>
      <family val="1"/>
    </font>
    <font>
      <b/>
      <sz val="22"/>
      <color theme="1"/>
      <name val="Times New Roman"/>
      <family val="1"/>
    </font>
    <font>
      <b/>
      <sz val="16"/>
      <color theme="1"/>
      <name val="Times New Roman"/>
      <family val="1"/>
    </font>
    <font>
      <sz val="16"/>
      <color theme="1"/>
      <name val="Times New Roman"/>
      <family val="1"/>
    </font>
    <font>
      <b/>
      <sz val="36"/>
      <color theme="1"/>
      <name val="Times New Roman"/>
      <family val="1"/>
    </font>
    <font>
      <b/>
      <sz val="28"/>
      <color theme="1"/>
      <name val="Times New Roman"/>
      <family val="1"/>
    </font>
    <font>
      <b/>
      <sz val="12"/>
      <color theme="1"/>
      <name val="Kalimati"/>
      <charset val="1"/>
    </font>
    <font>
      <sz val="12"/>
      <color theme="1"/>
      <name val="Kalimati"/>
      <charset val="1"/>
    </font>
    <font>
      <b/>
      <sz val="11"/>
      <color theme="1"/>
      <name val="Kalimati"/>
      <charset val="1"/>
    </font>
    <font>
      <b/>
      <sz val="14"/>
      <color theme="1"/>
      <name val="Times New Roman"/>
      <family val="1"/>
    </font>
    <font>
      <sz val="14"/>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0">
    <xf numFmtId="0" fontId="0" fillId="0" borderId="0" xfId="0"/>
    <xf numFmtId="0" fontId="2" fillId="3" borderId="1" xfId="0" applyFont="1" applyFill="1" applyBorder="1" applyAlignment="1">
      <alignment horizontal="left" vertical="center"/>
    </xf>
    <xf numFmtId="2"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0" borderId="0" xfId="0" applyFont="1"/>
    <xf numFmtId="0" fontId="2" fillId="0" borderId="1" xfId="0" applyFont="1" applyBorder="1"/>
    <xf numFmtId="165" fontId="9" fillId="3" borderId="1" xfId="0" applyNumberFormat="1" applyFont="1" applyFill="1" applyBorder="1" applyAlignment="1">
      <alignment horizontal="left" vertical="center"/>
    </xf>
    <xf numFmtId="0" fontId="10" fillId="0" borderId="1" xfId="0" applyFont="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10" fillId="0" borderId="0" xfId="0" applyFont="1" applyAlignment="1">
      <alignment horizontal="left" vertical="center"/>
    </xf>
    <xf numFmtId="2" fontId="2" fillId="3" borderId="0" xfId="0" applyNumberFormat="1" applyFont="1" applyFill="1" applyAlignment="1">
      <alignment horizontal="left" vertical="center"/>
    </xf>
    <xf numFmtId="0" fontId="7" fillId="0" borderId="0" xfId="0" applyFont="1" applyAlignment="1">
      <alignment horizontal="center"/>
    </xf>
    <xf numFmtId="0" fontId="8" fillId="0" borderId="0" xfId="0" applyFont="1"/>
    <xf numFmtId="0" fontId="5" fillId="0" borderId="0" xfId="0" applyFont="1"/>
    <xf numFmtId="0" fontId="4" fillId="0" borderId="0" xfId="0" applyFont="1"/>
    <xf numFmtId="0" fontId="11" fillId="0" borderId="0" xfId="0" applyFont="1"/>
    <xf numFmtId="0" fontId="12" fillId="0" borderId="0" xfId="0" applyFont="1"/>
    <xf numFmtId="167" fontId="5" fillId="0" borderId="1" xfId="0" applyNumberFormat="1" applyFont="1" applyBorder="1" applyAlignment="1">
      <alignment horizontal="left" vertical="center" wrapText="1"/>
    </xf>
    <xf numFmtId="167" fontId="5" fillId="3" borderId="1" xfId="0" applyNumberFormat="1" applyFont="1" applyFill="1" applyBorder="1" applyAlignment="1">
      <alignment horizontal="left" vertical="center"/>
    </xf>
    <xf numFmtId="165" fontId="5" fillId="3" borderId="1" xfId="0" applyNumberFormat="1" applyFont="1" applyFill="1" applyBorder="1" applyAlignment="1">
      <alignment horizontal="left" vertical="center"/>
    </xf>
    <xf numFmtId="165" fontId="5" fillId="3" borderId="0" xfId="0" applyNumberFormat="1" applyFont="1" applyFill="1" applyAlignment="1">
      <alignment horizontal="left" vertical="center"/>
    </xf>
    <xf numFmtId="166" fontId="2" fillId="3" borderId="1" xfId="0" quotePrefix="1" applyNumberFormat="1"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2" fillId="0" borderId="0" xfId="0" applyFont="1" applyAlignment="1">
      <alignment vertical="center"/>
    </xf>
    <xf numFmtId="0" fontId="6" fillId="0" borderId="0" xfId="0" applyFont="1" applyAlignment="1">
      <alignment horizontal="center"/>
    </xf>
    <xf numFmtId="0" fontId="3" fillId="0" borderId="0" xfId="0" applyFont="1" applyAlignment="1">
      <alignment horizontal="center"/>
    </xf>
    <xf numFmtId="0" fontId="7" fillId="0" borderId="0" xfId="0" applyFont="1" applyAlignment="1">
      <alignment horizontal="center"/>
    </xf>
    <xf numFmtId="165" fontId="2" fillId="0" borderId="1" xfId="0" applyNumberFormat="1" applyFont="1" applyBorder="1"/>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BEC72-AA83-4459-9CC2-036ACA69024E}">
  <dimension ref="A1:J40"/>
  <sheetViews>
    <sheetView view="pageBreakPreview" topLeftCell="A7" zoomScaleNormal="100" zoomScaleSheetLayoutView="100" workbookViewId="0">
      <selection activeCell="E10" sqref="E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66635</v>
      </c>
      <c r="C10" s="18">
        <v>242.1</v>
      </c>
      <c r="D10" s="19">
        <v>247</v>
      </c>
      <c r="E10" s="19">
        <f t="shared" ref="E10" si="0">D10-C10</f>
        <v>4.9000000000000057</v>
      </c>
      <c r="F10" s="20">
        <v>2137</v>
      </c>
      <c r="G10" s="1">
        <f t="shared" ref="G10" si="1">F10*E10</f>
        <v>10471.300000000012</v>
      </c>
      <c r="H10" s="1" t="s">
        <v>32</v>
      </c>
      <c r="J10" s="21"/>
    </row>
    <row r="11" spans="1:10" ht="23.25" x14ac:dyDescent="0.25">
      <c r="A11" s="1"/>
      <c r="B11" s="1"/>
      <c r="C11" s="3"/>
      <c r="D11" s="1"/>
      <c r="E11" s="7" t="s">
        <v>9</v>
      </c>
      <c r="F11" s="5"/>
      <c r="G11" s="2">
        <f>SUM(G10:G10)</f>
        <v>10471.300000000012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10471.300000000012</v>
      </c>
      <c r="H13" s="3"/>
    </row>
    <row r="14" spans="1:10" ht="23.25" x14ac:dyDescent="0.25">
      <c r="A14" s="1"/>
      <c r="B14" s="1"/>
      <c r="C14" s="3"/>
      <c r="D14" s="1"/>
      <c r="E14" s="7" t="s">
        <v>12</v>
      </c>
      <c r="F14" s="5"/>
      <c r="G14" s="2">
        <f>0.13*G13</f>
        <v>1361.2690000000016</v>
      </c>
      <c r="H14" s="3"/>
    </row>
    <row r="15" spans="1:10" ht="23.25" x14ac:dyDescent="0.25">
      <c r="A15" s="1"/>
      <c r="B15" s="1"/>
      <c r="C15" s="3"/>
      <c r="D15" s="1"/>
      <c r="E15" s="7" t="s">
        <v>13</v>
      </c>
      <c r="F15" s="5"/>
      <c r="G15" s="2">
        <f>SUM(G13:G14)</f>
        <v>11832.569000000014</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2CF9-96D6-43D6-885E-0F96BD8DC95E}">
  <dimension ref="A1:J40"/>
  <sheetViews>
    <sheetView view="pageBreakPreview" topLeftCell="A7" zoomScaleNormal="100" zoomScaleSheetLayoutView="100" workbookViewId="0">
      <selection activeCell="D10" sqref="D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66639</v>
      </c>
      <c r="C10" s="18">
        <v>261</v>
      </c>
      <c r="D10" s="19">
        <v>266</v>
      </c>
      <c r="E10" s="19">
        <f t="shared" ref="E10" si="0">D10-C10</f>
        <v>5</v>
      </c>
      <c r="F10" s="20">
        <v>2137</v>
      </c>
      <c r="G10" s="1">
        <f t="shared" ref="G10" si="1">F10*E10</f>
        <v>10685</v>
      </c>
      <c r="H10" s="1" t="s">
        <v>33</v>
      </c>
      <c r="J10" s="21"/>
    </row>
    <row r="11" spans="1:10" ht="23.25" x14ac:dyDescent="0.25">
      <c r="A11" s="1"/>
      <c r="B11" s="1"/>
      <c r="C11" s="3"/>
      <c r="D11" s="1"/>
      <c r="E11" s="7" t="s">
        <v>9</v>
      </c>
      <c r="F11" s="5"/>
      <c r="G11" s="2">
        <f>SUM(G10:G10)</f>
        <v>10685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10685</v>
      </c>
      <c r="H13" s="3"/>
    </row>
    <row r="14" spans="1:10" ht="23.25" x14ac:dyDescent="0.25">
      <c r="A14" s="1"/>
      <c r="B14" s="1"/>
      <c r="C14" s="3"/>
      <c r="D14" s="1"/>
      <c r="E14" s="7" t="s">
        <v>12</v>
      </c>
      <c r="F14" s="5"/>
      <c r="G14" s="2">
        <f>0.13*G13</f>
        <v>1389.05</v>
      </c>
      <c r="H14" s="3"/>
    </row>
    <row r="15" spans="1:10" ht="23.25" x14ac:dyDescent="0.25">
      <c r="A15" s="1"/>
      <c r="B15" s="1"/>
      <c r="C15" s="3"/>
      <c r="D15" s="1"/>
      <c r="E15" s="7" t="s">
        <v>13</v>
      </c>
      <c r="F15" s="5"/>
      <c r="G15" s="2">
        <f>SUM(G13:G14)</f>
        <v>12074.05</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6AD27-A4B1-40A0-94BE-7AA2F2646239}">
  <dimension ref="A1:J40"/>
  <sheetViews>
    <sheetView view="pageBreakPreview" topLeftCell="A7" zoomScaleNormal="100" zoomScaleSheetLayoutView="100" workbookViewId="0">
      <selection activeCell="D11" sqref="D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66647</v>
      </c>
      <c r="C10" s="18">
        <v>273</v>
      </c>
      <c r="D10" s="19">
        <v>278.10000000000002</v>
      </c>
      <c r="E10" s="19">
        <f t="shared" ref="E10" si="0">D10-C10</f>
        <v>5.1000000000000227</v>
      </c>
      <c r="F10" s="20">
        <v>2137</v>
      </c>
      <c r="G10" s="1">
        <f t="shared" ref="G10" si="1">F10*E10</f>
        <v>10898.700000000048</v>
      </c>
      <c r="H10" s="1" t="s">
        <v>34</v>
      </c>
      <c r="J10" s="21"/>
    </row>
    <row r="11" spans="1:10" ht="23.25" x14ac:dyDescent="0.25">
      <c r="A11" s="1"/>
      <c r="B11" s="1"/>
      <c r="C11" s="3"/>
      <c r="D11" s="1"/>
      <c r="E11" s="7" t="s">
        <v>9</v>
      </c>
      <c r="F11" s="5"/>
      <c r="G11" s="2">
        <f>SUM(G10:G10)</f>
        <v>10898.700000000048</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10898.700000000048</v>
      </c>
      <c r="H13" s="3"/>
    </row>
    <row r="14" spans="1:10" ht="23.25" x14ac:dyDescent="0.25">
      <c r="A14" s="1"/>
      <c r="B14" s="1"/>
      <c r="C14" s="3"/>
      <c r="D14" s="1"/>
      <c r="E14" s="7" t="s">
        <v>12</v>
      </c>
      <c r="F14" s="5"/>
      <c r="G14" s="2">
        <f>0.13*G13</f>
        <v>1416.8310000000063</v>
      </c>
      <c r="H14" s="3"/>
    </row>
    <row r="15" spans="1:10" ht="23.25" x14ac:dyDescent="0.25">
      <c r="A15" s="1"/>
      <c r="B15" s="1"/>
      <c r="C15" s="3"/>
      <c r="D15" s="1"/>
      <c r="E15" s="7" t="s">
        <v>13</v>
      </c>
      <c r="F15" s="5"/>
      <c r="G15" s="2">
        <f>SUM(G13:G14)</f>
        <v>12315.531000000054</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1F25F-9D86-4821-A4A9-676B99AC283B}">
  <dimension ref="A1:J40"/>
  <sheetViews>
    <sheetView view="pageBreakPreview" topLeftCell="A4" zoomScaleNormal="100" zoomScaleSheetLayoutView="100" workbookViewId="0">
      <selection activeCell="H10" sqref="H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66648</v>
      </c>
      <c r="C10" s="18">
        <v>278.10000000000002</v>
      </c>
      <c r="D10" s="19">
        <v>283.60000000000002</v>
      </c>
      <c r="E10" s="19">
        <f t="shared" ref="E10" si="0">D10-C10</f>
        <v>5.5</v>
      </c>
      <c r="F10" s="20">
        <v>2137</v>
      </c>
      <c r="G10" s="1">
        <f t="shared" ref="G10" si="1">F10*E10</f>
        <v>11753.5</v>
      </c>
      <c r="H10" s="1" t="s">
        <v>35</v>
      </c>
      <c r="J10" s="21"/>
    </row>
    <row r="11" spans="1:10" ht="23.25" x14ac:dyDescent="0.25">
      <c r="A11" s="1"/>
      <c r="B11" s="1"/>
      <c r="C11" s="3"/>
      <c r="D11" s="1"/>
      <c r="E11" s="7" t="s">
        <v>9</v>
      </c>
      <c r="F11" s="5"/>
      <c r="G11" s="2">
        <f>SUM(G10:G10)</f>
        <v>11753.5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11753.5</v>
      </c>
      <c r="H13" s="3"/>
    </row>
    <row r="14" spans="1:10" ht="23.25" x14ac:dyDescent="0.25">
      <c r="A14" s="1"/>
      <c r="B14" s="1"/>
      <c r="C14" s="3"/>
      <c r="D14" s="1"/>
      <c r="E14" s="7" t="s">
        <v>12</v>
      </c>
      <c r="F14" s="5"/>
      <c r="G14" s="2">
        <f>0.13*G13</f>
        <v>1527.9550000000002</v>
      </c>
      <c r="H14" s="3"/>
    </row>
    <row r="15" spans="1:10" ht="23.25" x14ac:dyDescent="0.25">
      <c r="A15" s="1"/>
      <c r="B15" s="1"/>
      <c r="C15" s="3"/>
      <c r="D15" s="1"/>
      <c r="E15" s="7" t="s">
        <v>13</v>
      </c>
      <c r="F15" s="5"/>
      <c r="G15" s="2">
        <f>SUM(G13:G14)</f>
        <v>13281.455</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DCB28-58F1-4430-87F8-ABB8F919B081}">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66654</v>
      </c>
      <c r="C10" s="18">
        <v>300.3</v>
      </c>
      <c r="D10" s="19">
        <v>306.10000000000002</v>
      </c>
      <c r="E10" s="19">
        <f t="shared" ref="E10" si="0">D10-C10</f>
        <v>5.8000000000000114</v>
      </c>
      <c r="F10" s="20">
        <v>2137</v>
      </c>
      <c r="G10" s="1">
        <f t="shared" ref="G10" si="1">F10*E10</f>
        <v>12394.600000000024</v>
      </c>
      <c r="H10" s="1" t="s">
        <v>36</v>
      </c>
      <c r="J10" s="21"/>
    </row>
    <row r="11" spans="1:10" ht="23.25" x14ac:dyDescent="0.25">
      <c r="A11" s="1"/>
      <c r="B11" s="1"/>
      <c r="C11" s="3"/>
      <c r="D11" s="1"/>
      <c r="E11" s="7" t="s">
        <v>9</v>
      </c>
      <c r="F11" s="5"/>
      <c r="G11" s="2">
        <f>SUM(G10:G10)</f>
        <v>12394.600000000024</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12394.600000000024</v>
      </c>
      <c r="H13" s="3"/>
    </row>
    <row r="14" spans="1:10" ht="23.25" x14ac:dyDescent="0.25">
      <c r="A14" s="1"/>
      <c r="B14" s="1"/>
      <c r="C14" s="3"/>
      <c r="D14" s="1"/>
      <c r="E14" s="7" t="s">
        <v>12</v>
      </c>
      <c r="F14" s="5"/>
      <c r="G14" s="2">
        <f>0.13*G13</f>
        <v>1611.2980000000032</v>
      </c>
      <c r="H14" s="3"/>
    </row>
    <row r="15" spans="1:10" ht="23.25" x14ac:dyDescent="0.25">
      <c r="A15" s="1"/>
      <c r="B15" s="1"/>
      <c r="C15" s="3"/>
      <c r="D15" s="1"/>
      <c r="E15" s="7" t="s">
        <v>13</v>
      </c>
      <c r="F15" s="5"/>
      <c r="G15" s="2">
        <f>SUM(G13:G14)</f>
        <v>14005.898000000027</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64F9-E76E-4632-BF9F-EBF31B4ED835}">
  <dimension ref="A1:J40"/>
  <sheetViews>
    <sheetView view="pageBreakPreview" topLeftCell="A4" zoomScaleNormal="100" zoomScaleSheetLayoutView="100" workbookViewId="0">
      <selection activeCell="D9" sqref="D9"/>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66655</v>
      </c>
      <c r="C10" s="18">
        <v>306.10000000000002</v>
      </c>
      <c r="D10" s="19">
        <v>315.10000000000002</v>
      </c>
      <c r="E10" s="19">
        <f t="shared" ref="E10" si="0">D10-C10</f>
        <v>9</v>
      </c>
      <c r="F10" s="20">
        <v>2137</v>
      </c>
      <c r="G10" s="1">
        <f t="shared" ref="G10" si="1">F10*E10</f>
        <v>19233</v>
      </c>
      <c r="H10" s="1" t="s">
        <v>37</v>
      </c>
      <c r="J10" s="21"/>
    </row>
    <row r="11" spans="1:10" ht="23.25" x14ac:dyDescent="0.25">
      <c r="A11" s="1"/>
      <c r="B11" s="1"/>
      <c r="C11" s="3"/>
      <c r="D11" s="1"/>
      <c r="E11" s="7" t="s">
        <v>9</v>
      </c>
      <c r="F11" s="5"/>
      <c r="G11" s="2">
        <f>SUM(G10:G10)</f>
        <v>19233</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19233</v>
      </c>
      <c r="H13" s="3"/>
    </row>
    <row r="14" spans="1:10" ht="23.25" x14ac:dyDescent="0.25">
      <c r="A14" s="1"/>
      <c r="B14" s="1"/>
      <c r="C14" s="3"/>
      <c r="D14" s="1"/>
      <c r="E14" s="7" t="s">
        <v>12</v>
      </c>
      <c r="F14" s="5"/>
      <c r="G14" s="2">
        <f>0.13*G13</f>
        <v>2500.29</v>
      </c>
      <c r="H14" s="3"/>
    </row>
    <row r="15" spans="1:10" ht="23.25" x14ac:dyDescent="0.25">
      <c r="A15" s="1"/>
      <c r="B15" s="1"/>
      <c r="C15" s="3"/>
      <c r="D15" s="1"/>
      <c r="E15" s="7" t="s">
        <v>13</v>
      </c>
      <c r="F15" s="5"/>
      <c r="G15" s="2">
        <f>SUM(G13:G14)</f>
        <v>21733.29</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5523-6736-493C-8964-F373F265DDDC}">
  <dimension ref="A1:J40"/>
  <sheetViews>
    <sheetView view="pageBreakPreview" topLeftCell="A7"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66656</v>
      </c>
      <c r="C10" s="18">
        <v>315.10000000000002</v>
      </c>
      <c r="D10" s="19">
        <v>322.10000000000002</v>
      </c>
      <c r="E10" s="19">
        <f t="shared" ref="E10" si="0">D10-C10</f>
        <v>7</v>
      </c>
      <c r="F10" s="20">
        <v>2137</v>
      </c>
      <c r="G10" s="1">
        <f t="shared" ref="G10" si="1">F10*E10</f>
        <v>14959</v>
      </c>
      <c r="H10" s="1" t="s">
        <v>38</v>
      </c>
      <c r="J10" s="21"/>
    </row>
    <row r="11" spans="1:10" ht="23.25" x14ac:dyDescent="0.25">
      <c r="A11" s="1"/>
      <c r="B11" s="1"/>
      <c r="C11" s="3"/>
      <c r="D11" s="1"/>
      <c r="E11" s="7" t="s">
        <v>9</v>
      </c>
      <c r="F11" s="5"/>
      <c r="G11" s="2">
        <f>SUM(G10:G10)</f>
        <v>14959</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14959</v>
      </c>
      <c r="H13" s="3"/>
    </row>
    <row r="14" spans="1:10" ht="23.25" x14ac:dyDescent="0.25">
      <c r="A14" s="1"/>
      <c r="B14" s="1"/>
      <c r="C14" s="3"/>
      <c r="D14" s="1"/>
      <c r="E14" s="7" t="s">
        <v>12</v>
      </c>
      <c r="F14" s="5"/>
      <c r="G14" s="2">
        <f>0.13*G13</f>
        <v>1944.67</v>
      </c>
      <c r="H14" s="3"/>
    </row>
    <row r="15" spans="1:10" ht="23.25" x14ac:dyDescent="0.25">
      <c r="A15" s="1"/>
      <c r="B15" s="1"/>
      <c r="C15" s="3"/>
      <c r="D15" s="1"/>
      <c r="E15" s="7" t="s">
        <v>13</v>
      </c>
      <c r="F15" s="5"/>
      <c r="G15" s="2">
        <f>SUM(G13:G14)</f>
        <v>16903.669999999998</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EBA6-A67D-42E1-BAD9-249B1FEFB5FF}">
  <dimension ref="A1:J40"/>
  <sheetViews>
    <sheetView view="pageBreakPreview" topLeftCell="A7"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v>66657</v>
      </c>
      <c r="C10" s="18">
        <v>322.10000000000002</v>
      </c>
      <c r="D10" s="19">
        <v>328</v>
      </c>
      <c r="E10" s="19">
        <f t="shared" ref="E10" si="0">D10-C10</f>
        <v>5.8999999999999773</v>
      </c>
      <c r="F10" s="20">
        <v>2137</v>
      </c>
      <c r="G10" s="1">
        <f t="shared" ref="G10" si="1">F10*E10</f>
        <v>12608.299999999952</v>
      </c>
      <c r="H10" s="1" t="s">
        <v>39</v>
      </c>
      <c r="J10" s="21"/>
    </row>
    <row r="11" spans="1:10" ht="23.25" x14ac:dyDescent="0.25">
      <c r="A11" s="1"/>
      <c r="B11" s="1"/>
      <c r="C11" s="3"/>
      <c r="D11" s="1"/>
      <c r="E11" s="7" t="s">
        <v>9</v>
      </c>
      <c r="F11" s="5"/>
      <c r="G11" s="2">
        <f>SUM(G10:G10)</f>
        <v>12608.299999999952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12608.299999999952</v>
      </c>
      <c r="H13" s="3"/>
    </row>
    <row r="14" spans="1:10" ht="23.25" x14ac:dyDescent="0.25">
      <c r="A14" s="1"/>
      <c r="B14" s="1"/>
      <c r="C14" s="3"/>
      <c r="D14" s="1"/>
      <c r="E14" s="7" t="s">
        <v>12</v>
      </c>
      <c r="F14" s="5"/>
      <c r="G14" s="2">
        <f>0.13*G13</f>
        <v>1639.0789999999938</v>
      </c>
      <c r="H14" s="3"/>
    </row>
    <row r="15" spans="1:10" ht="23.25" x14ac:dyDescent="0.25">
      <c r="A15" s="1"/>
      <c r="B15" s="1"/>
      <c r="C15" s="3"/>
      <c r="D15" s="1"/>
      <c r="E15" s="7" t="s">
        <v>13</v>
      </c>
      <c r="F15" s="5"/>
      <c r="G15" s="2">
        <f>SUM(G13:G14)</f>
        <v>14247.378999999946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144B-CB7A-4392-92BF-119257981438}">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40</v>
      </c>
      <c r="C10" s="18">
        <v>328</v>
      </c>
      <c r="D10" s="19">
        <v>334</v>
      </c>
      <c r="E10" s="19">
        <f t="shared" ref="E10" si="0">D10-C10</f>
        <v>6</v>
      </c>
      <c r="F10" s="20">
        <v>2137</v>
      </c>
      <c r="G10" s="1">
        <f t="shared" ref="G10" si="1">F10*E10</f>
        <v>12822</v>
      </c>
      <c r="H10" s="1" t="s">
        <v>41</v>
      </c>
      <c r="J10" s="21"/>
    </row>
    <row r="11" spans="1:10" ht="23.25" x14ac:dyDescent="0.25">
      <c r="A11" s="1"/>
      <c r="B11" s="1"/>
      <c r="C11" s="3"/>
      <c r="D11" s="1"/>
      <c r="E11" s="7" t="s">
        <v>9</v>
      </c>
      <c r="F11" s="5"/>
      <c r="G11" s="2">
        <f>SUM(G10:G10)</f>
        <v>12822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12822</v>
      </c>
      <c r="H13" s="3"/>
    </row>
    <row r="14" spans="1:10" ht="23.25" x14ac:dyDescent="0.25">
      <c r="A14" s="1"/>
      <c r="B14" s="1"/>
      <c r="C14" s="3"/>
      <c r="D14" s="1"/>
      <c r="E14" s="7" t="s">
        <v>12</v>
      </c>
      <c r="F14" s="5"/>
      <c r="G14" s="2">
        <f>0.13*G13</f>
        <v>1666.8600000000001</v>
      </c>
      <c r="H14" s="3"/>
    </row>
    <row r="15" spans="1:10" ht="23.25" x14ac:dyDescent="0.25">
      <c r="A15" s="1"/>
      <c r="B15" s="1"/>
      <c r="C15" s="3"/>
      <c r="D15" s="1"/>
      <c r="E15" s="7" t="s">
        <v>13</v>
      </c>
      <c r="F15" s="5"/>
      <c r="G15" s="2">
        <f>SUM(G13:G14)</f>
        <v>14488.86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0A61-D284-4132-8E16-21F3639E21E6}">
  <dimension ref="A1:J40"/>
  <sheetViews>
    <sheetView view="pageBreakPreview" topLeftCell="A7"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42</v>
      </c>
      <c r="C10" s="18">
        <v>334</v>
      </c>
      <c r="D10" s="19">
        <v>341</v>
      </c>
      <c r="E10" s="19">
        <f t="shared" ref="E10" si="0">D10-C10</f>
        <v>7</v>
      </c>
      <c r="F10" s="20">
        <v>2137</v>
      </c>
      <c r="G10" s="1">
        <f t="shared" ref="G10" si="1">F10*E10</f>
        <v>14959</v>
      </c>
      <c r="H10" s="1" t="s">
        <v>39</v>
      </c>
      <c r="J10" s="21"/>
    </row>
    <row r="11" spans="1:10" ht="23.25" x14ac:dyDescent="0.25">
      <c r="A11" s="1"/>
      <c r="B11" s="1"/>
      <c r="C11" s="3"/>
      <c r="D11" s="1"/>
      <c r="E11" s="7" t="s">
        <v>9</v>
      </c>
      <c r="F11" s="5"/>
      <c r="G11" s="2">
        <f>SUM(G10:G10)</f>
        <v>14959</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14959</v>
      </c>
      <c r="H13" s="3"/>
    </row>
    <row r="14" spans="1:10" ht="23.25" x14ac:dyDescent="0.25">
      <c r="A14" s="1"/>
      <c r="B14" s="1"/>
      <c r="C14" s="3"/>
      <c r="D14" s="1"/>
      <c r="E14" s="7" t="s">
        <v>12</v>
      </c>
      <c r="F14" s="5"/>
      <c r="G14" s="2">
        <f>0.13*G13</f>
        <v>1944.67</v>
      </c>
      <c r="H14" s="3"/>
    </row>
    <row r="15" spans="1:10" ht="23.25" x14ac:dyDescent="0.25">
      <c r="A15" s="1"/>
      <c r="B15" s="1"/>
      <c r="C15" s="3"/>
      <c r="D15" s="1"/>
      <c r="E15" s="7" t="s">
        <v>13</v>
      </c>
      <c r="F15" s="5"/>
      <c r="G15" s="2">
        <f>SUM(G13:G14)</f>
        <v>16903.669999999998</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D143-9EFF-4394-87B3-BAF367FB7840}">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43</v>
      </c>
      <c r="C10" s="18">
        <v>341</v>
      </c>
      <c r="D10" s="19">
        <v>350</v>
      </c>
      <c r="E10" s="19">
        <f t="shared" ref="E10" si="0">D10-C10</f>
        <v>9</v>
      </c>
      <c r="F10" s="20">
        <v>2137</v>
      </c>
      <c r="G10" s="1">
        <f t="shared" ref="G10" si="1">F10*E10</f>
        <v>19233</v>
      </c>
      <c r="H10" s="1" t="s">
        <v>39</v>
      </c>
      <c r="J10" s="21"/>
    </row>
    <row r="11" spans="1:10" ht="23.25" x14ac:dyDescent="0.25">
      <c r="A11" s="1"/>
      <c r="B11" s="1"/>
      <c r="C11" s="3"/>
      <c r="D11" s="1"/>
      <c r="E11" s="7" t="s">
        <v>9</v>
      </c>
      <c r="F11" s="5"/>
      <c r="G11" s="2">
        <f>SUM(G10:G10)</f>
        <v>19233</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19233</v>
      </c>
      <c r="H13" s="3"/>
    </row>
    <row r="14" spans="1:10" ht="23.25" x14ac:dyDescent="0.25">
      <c r="A14" s="1"/>
      <c r="B14" s="1"/>
      <c r="C14" s="3"/>
      <c r="D14" s="1"/>
      <c r="E14" s="7" t="s">
        <v>12</v>
      </c>
      <c r="F14" s="5"/>
      <c r="G14" s="2">
        <f>0.13*G13</f>
        <v>2500.29</v>
      </c>
      <c r="H14" s="3"/>
    </row>
    <row r="15" spans="1:10" ht="23.25" x14ac:dyDescent="0.25">
      <c r="A15" s="1"/>
      <c r="B15" s="1"/>
      <c r="C15" s="3"/>
      <c r="D15" s="1"/>
      <c r="E15" s="7" t="s">
        <v>13</v>
      </c>
      <c r="F15" s="5"/>
      <c r="G15" s="2">
        <f>SUM(G13:G14)</f>
        <v>21733.29</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6AC1-B13D-4CAE-BDB2-97D1A2954EBF}">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44</v>
      </c>
      <c r="C10" s="18">
        <v>350</v>
      </c>
      <c r="D10" s="19">
        <v>361.6</v>
      </c>
      <c r="E10" s="19">
        <f t="shared" ref="E10" si="0">D10-C10</f>
        <v>11.600000000000023</v>
      </c>
      <c r="F10" s="20">
        <v>2137</v>
      </c>
      <c r="G10" s="1">
        <f t="shared" ref="G10" si="1">F10*E10</f>
        <v>24789.200000000048</v>
      </c>
      <c r="H10" s="1" t="s">
        <v>45</v>
      </c>
      <c r="J10" s="21"/>
    </row>
    <row r="11" spans="1:10" ht="23.25" x14ac:dyDescent="0.25">
      <c r="A11" s="1"/>
      <c r="B11" s="1"/>
      <c r="C11" s="3"/>
      <c r="D11" s="1"/>
      <c r="E11" s="7" t="s">
        <v>9</v>
      </c>
      <c r="F11" s="5"/>
      <c r="G11" s="2">
        <f>SUM(G10:G10)</f>
        <v>24789.200000000048</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24789.200000000048</v>
      </c>
      <c r="H13" s="3"/>
    </row>
    <row r="14" spans="1:10" ht="23.25" x14ac:dyDescent="0.25">
      <c r="A14" s="1"/>
      <c r="B14" s="1"/>
      <c r="C14" s="3"/>
      <c r="D14" s="1"/>
      <c r="E14" s="7" t="s">
        <v>12</v>
      </c>
      <c r="F14" s="5"/>
      <c r="G14" s="2">
        <f>0.13*G13</f>
        <v>3222.5960000000064</v>
      </c>
      <c r="H14" s="3"/>
    </row>
    <row r="15" spans="1:10" ht="23.25" x14ac:dyDescent="0.25">
      <c r="A15" s="1"/>
      <c r="B15" s="1"/>
      <c r="C15" s="3"/>
      <c r="D15" s="1"/>
      <c r="E15" s="7" t="s">
        <v>13</v>
      </c>
      <c r="F15" s="5"/>
      <c r="G15" s="2">
        <f>SUM(G13:G14)</f>
        <v>28011.796000000053</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295D-302B-4FC1-A733-F0D29A10060E}">
  <dimension ref="A1:J40"/>
  <sheetViews>
    <sheetView view="pageBreakPreview" topLeftCell="A7" zoomScaleNormal="100" zoomScaleSheetLayoutView="100" workbookViewId="0">
      <selection activeCell="E11" sqref="E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46</v>
      </c>
      <c r="C10" s="18">
        <v>361.6</v>
      </c>
      <c r="D10" s="19">
        <v>367.6</v>
      </c>
      <c r="E10" s="19">
        <f t="shared" ref="E10" si="0">D10-C10</f>
        <v>6</v>
      </c>
      <c r="F10" s="20">
        <v>2137</v>
      </c>
      <c r="G10" s="1">
        <f t="shared" ref="G10" si="1">F10*E10</f>
        <v>12822</v>
      </c>
      <c r="H10" s="1" t="s">
        <v>47</v>
      </c>
      <c r="J10" s="21"/>
    </row>
    <row r="11" spans="1:10" ht="23.25" x14ac:dyDescent="0.25">
      <c r="A11" s="1"/>
      <c r="B11" s="1"/>
      <c r="C11" s="3"/>
      <c r="D11" s="1"/>
      <c r="E11" s="7" t="s">
        <v>9</v>
      </c>
      <c r="F11" s="5"/>
      <c r="G11" s="2">
        <f>SUM(G10:G10)</f>
        <v>12822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12822</v>
      </c>
      <c r="H13" s="3"/>
    </row>
    <row r="14" spans="1:10" ht="23.25" x14ac:dyDescent="0.25">
      <c r="A14" s="1"/>
      <c r="B14" s="1"/>
      <c r="C14" s="3"/>
      <c r="D14" s="1"/>
      <c r="E14" s="7" t="s">
        <v>12</v>
      </c>
      <c r="F14" s="5"/>
      <c r="G14" s="2">
        <f>0.13*G13</f>
        <v>1666.8600000000001</v>
      </c>
      <c r="H14" s="3"/>
    </row>
    <row r="15" spans="1:10" ht="23.25" x14ac:dyDescent="0.25">
      <c r="A15" s="1"/>
      <c r="B15" s="1"/>
      <c r="C15" s="3"/>
      <c r="D15" s="1"/>
      <c r="E15" s="7" t="s">
        <v>13</v>
      </c>
      <c r="F15" s="5"/>
      <c r="G15" s="2">
        <f>SUM(G13:G14)</f>
        <v>14488.86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121F-6F22-43E6-9748-1CCED40755B2}">
  <dimension ref="A1:J40"/>
  <sheetViews>
    <sheetView view="pageBreakPreview" topLeftCell="A4" zoomScaleNormal="100" zoomScaleSheetLayoutView="100" workbookViewId="0">
      <selection activeCell="H10" sqref="H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48</v>
      </c>
      <c r="C10" s="18">
        <v>367.6</v>
      </c>
      <c r="D10" s="19">
        <v>376</v>
      </c>
      <c r="E10" s="19">
        <f t="shared" ref="E10" si="0">D10-C10</f>
        <v>8.3999999999999773</v>
      </c>
      <c r="F10" s="20">
        <v>2137</v>
      </c>
      <c r="G10" s="1">
        <f t="shared" ref="G10" si="1">F10*E10</f>
        <v>17950.799999999952</v>
      </c>
      <c r="H10" s="1" t="s">
        <v>47</v>
      </c>
      <c r="J10" s="21"/>
    </row>
    <row r="11" spans="1:10" ht="23.25" x14ac:dyDescent="0.25">
      <c r="A11" s="1"/>
      <c r="B11" s="1"/>
      <c r="C11" s="3"/>
      <c r="D11" s="1"/>
      <c r="E11" s="7" t="s">
        <v>9</v>
      </c>
      <c r="F11" s="5"/>
      <c r="G11" s="2">
        <f>SUM(G10:G10)</f>
        <v>17950.799999999952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17950.799999999952</v>
      </c>
      <c r="H13" s="3"/>
    </row>
    <row r="14" spans="1:10" ht="23.25" x14ac:dyDescent="0.25">
      <c r="A14" s="1"/>
      <c r="B14" s="1"/>
      <c r="C14" s="3"/>
      <c r="D14" s="1"/>
      <c r="E14" s="7" t="s">
        <v>12</v>
      </c>
      <c r="F14" s="5"/>
      <c r="G14" s="2">
        <f>0.13*G13</f>
        <v>2333.6039999999939</v>
      </c>
      <c r="H14" s="3"/>
    </row>
    <row r="15" spans="1:10" ht="23.25" x14ac:dyDescent="0.25">
      <c r="A15" s="1"/>
      <c r="B15" s="1"/>
      <c r="C15" s="3"/>
      <c r="D15" s="1"/>
      <c r="E15" s="7" t="s">
        <v>13</v>
      </c>
      <c r="F15" s="5"/>
      <c r="G15" s="2">
        <f>SUM(G13:G14)</f>
        <v>20284.403999999944</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AF4A-2A2A-4D83-AC75-67E18BA837B7}">
  <dimension ref="A1:J40"/>
  <sheetViews>
    <sheetView view="pageBreakPreview" topLeftCell="A7" zoomScaleNormal="100" zoomScaleSheetLayoutView="100" workbookViewId="0">
      <selection activeCell="D11" sqref="D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49</v>
      </c>
      <c r="C10" s="18">
        <v>376</v>
      </c>
      <c r="D10" s="19">
        <v>383</v>
      </c>
      <c r="E10" s="19">
        <f t="shared" ref="E10" si="0">D10-C10</f>
        <v>7</v>
      </c>
      <c r="F10" s="20">
        <v>2137</v>
      </c>
      <c r="G10" s="1">
        <f t="shared" ref="G10" si="1">F10*E10</f>
        <v>14959</v>
      </c>
      <c r="H10" s="1" t="s">
        <v>50</v>
      </c>
      <c r="J10" s="21"/>
    </row>
    <row r="11" spans="1:10" ht="23.25" x14ac:dyDescent="0.25">
      <c r="A11" s="1"/>
      <c r="B11" s="1"/>
      <c r="C11" s="3"/>
      <c r="D11" s="1"/>
      <c r="E11" s="7" t="s">
        <v>9</v>
      </c>
      <c r="F11" s="5"/>
      <c r="G11" s="2">
        <f>SUM(G10:G10)</f>
        <v>14959</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14959</v>
      </c>
      <c r="H13" s="3"/>
    </row>
    <row r="14" spans="1:10" ht="23.25" x14ac:dyDescent="0.25">
      <c r="A14" s="1"/>
      <c r="B14" s="1"/>
      <c r="C14" s="3"/>
      <c r="D14" s="1"/>
      <c r="E14" s="7" t="s">
        <v>12</v>
      </c>
      <c r="F14" s="5"/>
      <c r="G14" s="2">
        <f>0.13*G13</f>
        <v>1944.67</v>
      </c>
      <c r="H14" s="3"/>
    </row>
    <row r="15" spans="1:10" ht="23.25" x14ac:dyDescent="0.25">
      <c r="A15" s="1"/>
      <c r="B15" s="1"/>
      <c r="C15" s="3"/>
      <c r="D15" s="1"/>
      <c r="E15" s="7" t="s">
        <v>13</v>
      </c>
      <c r="F15" s="5"/>
      <c r="G15" s="2">
        <f>SUM(G13:G14)</f>
        <v>16903.669999999998</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AFEF-23DA-42ED-BFDA-467B5C781C7D}">
  <dimension ref="A1:J40"/>
  <sheetViews>
    <sheetView view="pageBreakPreview" topLeftCell="A10" zoomScaleNormal="100" zoomScaleSheetLayoutView="100" workbookViewId="0">
      <selection activeCell="E11" sqref="E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52</v>
      </c>
      <c r="C10" s="18">
        <v>383</v>
      </c>
      <c r="D10" s="19">
        <v>389</v>
      </c>
      <c r="E10" s="19">
        <f t="shared" ref="E10" si="0">D10-C10</f>
        <v>6</v>
      </c>
      <c r="F10" s="20">
        <v>2137</v>
      </c>
      <c r="G10" s="1">
        <f t="shared" ref="G10" si="1">F10*E10</f>
        <v>12822</v>
      </c>
      <c r="H10" s="1" t="s">
        <v>51</v>
      </c>
      <c r="J10" s="21"/>
    </row>
    <row r="11" spans="1:10" ht="23.25" x14ac:dyDescent="0.25">
      <c r="A11" s="1"/>
      <c r="B11" s="1"/>
      <c r="C11" s="3"/>
      <c r="D11" s="1"/>
      <c r="E11" s="7" t="s">
        <v>9</v>
      </c>
      <c r="F11" s="5"/>
      <c r="G11" s="2">
        <f>SUM(G10:G10)</f>
        <v>12822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12822</v>
      </c>
      <c r="H13" s="3"/>
    </row>
    <row r="14" spans="1:10" ht="23.25" x14ac:dyDescent="0.25">
      <c r="A14" s="1"/>
      <c r="B14" s="1"/>
      <c r="C14" s="3"/>
      <c r="D14" s="1"/>
      <c r="E14" s="7" t="s">
        <v>12</v>
      </c>
      <c r="F14" s="5"/>
      <c r="G14" s="2">
        <f>0.13*G13</f>
        <v>1666.8600000000001</v>
      </c>
      <c r="H14" s="3"/>
    </row>
    <row r="15" spans="1:10" ht="23.25" x14ac:dyDescent="0.25">
      <c r="A15" s="1"/>
      <c r="B15" s="1"/>
      <c r="C15" s="3"/>
      <c r="D15" s="1"/>
      <c r="E15" s="7" t="s">
        <v>13</v>
      </c>
      <c r="F15" s="5"/>
      <c r="G15" s="2">
        <f>SUM(G13:G14)</f>
        <v>14488.86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0A981-C995-4ADA-B741-D59D85CBB520}">
  <dimension ref="A1:J40"/>
  <sheetViews>
    <sheetView view="pageBreakPreview" topLeftCell="A7" zoomScaleNormal="100" zoomScaleSheetLayoutView="100" workbookViewId="0">
      <selection activeCell="H10" sqref="H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53</v>
      </c>
      <c r="C10" s="18">
        <v>389</v>
      </c>
      <c r="D10" s="19">
        <v>394</v>
      </c>
      <c r="E10" s="19">
        <f t="shared" ref="E10" si="0">D10-C10</f>
        <v>5</v>
      </c>
      <c r="F10" s="20">
        <v>2137</v>
      </c>
      <c r="G10" s="1">
        <f t="shared" ref="G10" si="1">F10*E10</f>
        <v>10685</v>
      </c>
      <c r="H10" s="1" t="s">
        <v>47</v>
      </c>
      <c r="J10" s="21"/>
    </row>
    <row r="11" spans="1:10" ht="23.25" x14ac:dyDescent="0.25">
      <c r="A11" s="1"/>
      <c r="B11" s="1"/>
      <c r="C11" s="3"/>
      <c r="D11" s="1"/>
      <c r="E11" s="7" t="s">
        <v>9</v>
      </c>
      <c r="F11" s="5"/>
      <c r="G11" s="2">
        <f>SUM(G10:G10)</f>
        <v>10685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10685</v>
      </c>
      <c r="H13" s="3"/>
    </row>
    <row r="14" spans="1:10" ht="23.25" x14ac:dyDescent="0.25">
      <c r="A14" s="1"/>
      <c r="B14" s="1"/>
      <c r="C14" s="3"/>
      <c r="D14" s="1"/>
      <c r="E14" s="7" t="s">
        <v>12</v>
      </c>
      <c r="F14" s="5"/>
      <c r="G14" s="2">
        <f>0.13*G13</f>
        <v>1389.05</v>
      </c>
      <c r="H14" s="3"/>
    </row>
    <row r="15" spans="1:10" ht="23.25" x14ac:dyDescent="0.25">
      <c r="A15" s="1"/>
      <c r="B15" s="1"/>
      <c r="C15" s="3"/>
      <c r="D15" s="1"/>
      <c r="E15" s="7" t="s">
        <v>13</v>
      </c>
      <c r="F15" s="5"/>
      <c r="G15" s="2">
        <f>SUM(G13:G14)</f>
        <v>12074.05</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838B4-0FB5-47BE-9999-9DD1984B8F11}">
  <dimension ref="A1:J40"/>
  <sheetViews>
    <sheetView view="pageBreakPreview" topLeftCell="A4" zoomScaleNormal="100" zoomScaleSheetLayoutView="100" workbookViewId="0">
      <selection activeCell="B11" sqref="B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54</v>
      </c>
      <c r="C10" s="18">
        <v>394</v>
      </c>
      <c r="D10" s="19">
        <v>399</v>
      </c>
      <c r="E10" s="19">
        <f t="shared" ref="E10" si="0">D10-C10</f>
        <v>5</v>
      </c>
      <c r="F10" s="20">
        <v>2137</v>
      </c>
      <c r="G10" s="1">
        <f t="shared" ref="G10" si="1">F10*E10</f>
        <v>10685</v>
      </c>
      <c r="H10" s="1" t="s">
        <v>47</v>
      </c>
      <c r="J10" s="21"/>
    </row>
    <row r="11" spans="1:10" ht="23.25" x14ac:dyDescent="0.25">
      <c r="A11" s="1"/>
      <c r="B11" s="1"/>
      <c r="C11" s="3"/>
      <c r="D11" s="1"/>
      <c r="E11" s="7" t="s">
        <v>9</v>
      </c>
      <c r="F11" s="5"/>
      <c r="G11" s="2">
        <f>SUM(G10:G10)</f>
        <v>10685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10685</v>
      </c>
      <c r="H13" s="3"/>
    </row>
    <row r="14" spans="1:10" ht="23.25" x14ac:dyDescent="0.25">
      <c r="A14" s="1"/>
      <c r="B14" s="1"/>
      <c r="C14" s="3"/>
      <c r="D14" s="1"/>
      <c r="E14" s="7" t="s">
        <v>12</v>
      </c>
      <c r="F14" s="5"/>
      <c r="G14" s="2">
        <f>0.13*G13</f>
        <v>1389.05</v>
      </c>
      <c r="H14" s="3"/>
    </row>
    <row r="15" spans="1:10" ht="23.25" x14ac:dyDescent="0.25">
      <c r="A15" s="1"/>
      <c r="B15" s="1"/>
      <c r="C15" s="3"/>
      <c r="D15" s="1"/>
      <c r="E15" s="7" t="s">
        <v>13</v>
      </c>
      <c r="F15" s="5"/>
      <c r="G15" s="2">
        <f>SUM(G13:G14)</f>
        <v>12074.05</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71C6-0C98-419E-9BBF-EC6ABCFF9546}">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55</v>
      </c>
      <c r="C10" s="18">
        <v>399</v>
      </c>
      <c r="D10" s="19">
        <v>405</v>
      </c>
      <c r="E10" s="19">
        <f t="shared" ref="E10" si="0">D10-C10</f>
        <v>6</v>
      </c>
      <c r="F10" s="20">
        <v>2137</v>
      </c>
      <c r="G10" s="1">
        <f t="shared" ref="G10" si="1">F10*E10</f>
        <v>12822</v>
      </c>
      <c r="H10" s="1" t="s">
        <v>56</v>
      </c>
      <c r="J10" s="21"/>
    </row>
    <row r="11" spans="1:10" ht="23.25" x14ac:dyDescent="0.25">
      <c r="A11" s="1"/>
      <c r="B11" s="1"/>
      <c r="C11" s="3"/>
      <c r="D11" s="1"/>
      <c r="E11" s="7" t="s">
        <v>9</v>
      </c>
      <c r="F11" s="5"/>
      <c r="G11" s="2">
        <f>SUM(G10:G10)</f>
        <v>12822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12822</v>
      </c>
      <c r="H13" s="3"/>
    </row>
    <row r="14" spans="1:10" ht="23.25" x14ac:dyDescent="0.25">
      <c r="A14" s="1"/>
      <c r="B14" s="1"/>
      <c r="C14" s="3"/>
      <c r="D14" s="1"/>
      <c r="E14" s="7" t="s">
        <v>12</v>
      </c>
      <c r="F14" s="5"/>
      <c r="G14" s="2">
        <f>0.13*G13</f>
        <v>1666.8600000000001</v>
      </c>
      <c r="H14" s="3"/>
    </row>
    <row r="15" spans="1:10" ht="23.25" x14ac:dyDescent="0.25">
      <c r="A15" s="1"/>
      <c r="B15" s="1"/>
      <c r="C15" s="3"/>
      <c r="D15" s="1"/>
      <c r="E15" s="7" t="s">
        <v>13</v>
      </c>
      <c r="F15" s="5"/>
      <c r="G15" s="2">
        <f>SUM(G13:G14)</f>
        <v>14488.86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74750-C46D-4502-B91B-18265C7074DF}">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57</v>
      </c>
      <c r="C10" s="18">
        <v>405</v>
      </c>
      <c r="D10" s="19">
        <v>411</v>
      </c>
      <c r="E10" s="19">
        <f t="shared" ref="E10" si="0">D10-C10</f>
        <v>6</v>
      </c>
      <c r="F10" s="20">
        <v>2137</v>
      </c>
      <c r="G10" s="1">
        <f t="shared" ref="G10" si="1">F10*E10</f>
        <v>12822</v>
      </c>
      <c r="H10" s="1" t="s">
        <v>58</v>
      </c>
      <c r="J10" s="21"/>
    </row>
    <row r="11" spans="1:10" ht="23.25" x14ac:dyDescent="0.25">
      <c r="A11" s="1"/>
      <c r="B11" s="1"/>
      <c r="C11" s="3"/>
      <c r="D11" s="1"/>
      <c r="E11" s="7" t="s">
        <v>9</v>
      </c>
      <c r="F11" s="5"/>
      <c r="G11" s="2">
        <f>SUM(G10:G10)</f>
        <v>12822</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12822</v>
      </c>
      <c r="H13" s="3"/>
    </row>
    <row r="14" spans="1:10" ht="23.25" x14ac:dyDescent="0.25">
      <c r="A14" s="1"/>
      <c r="B14" s="1"/>
      <c r="C14" s="3"/>
      <c r="D14" s="1"/>
      <c r="E14" s="7" t="s">
        <v>12</v>
      </c>
      <c r="F14" s="5"/>
      <c r="G14" s="2">
        <f>0.13*G13</f>
        <v>1666.8600000000001</v>
      </c>
      <c r="H14" s="3"/>
    </row>
    <row r="15" spans="1:10" ht="23.25" x14ac:dyDescent="0.25">
      <c r="A15" s="1"/>
      <c r="B15" s="1"/>
      <c r="C15" s="3"/>
      <c r="D15" s="1"/>
      <c r="E15" s="7" t="s">
        <v>13</v>
      </c>
      <c r="F15" s="5"/>
      <c r="G15" s="2">
        <f>SUM(G13:G14)</f>
        <v>14488.86</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B671-84D9-47D9-81FF-D250938A1125}">
  <dimension ref="A1:J40"/>
  <sheetViews>
    <sheetView view="pageBreakPreview" topLeftCell="A10"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59</v>
      </c>
      <c r="C10" s="18">
        <v>411</v>
      </c>
      <c r="D10" s="19">
        <v>418.5</v>
      </c>
      <c r="E10" s="19">
        <f t="shared" ref="E10" si="0">D10-C10</f>
        <v>7.5</v>
      </c>
      <c r="F10" s="20">
        <v>2137</v>
      </c>
      <c r="G10" s="1">
        <f t="shared" ref="G10" si="1">F10*E10</f>
        <v>16027.5</v>
      </c>
      <c r="H10" s="1" t="s">
        <v>60</v>
      </c>
      <c r="J10" s="21"/>
    </row>
    <row r="11" spans="1:10" ht="23.25" x14ac:dyDescent="0.25">
      <c r="A11" s="1"/>
      <c r="B11" s="1"/>
      <c r="C11" s="3"/>
      <c r="D11" s="1"/>
      <c r="E11" s="7" t="s">
        <v>9</v>
      </c>
      <c r="F11" s="5"/>
      <c r="G11" s="2">
        <f>SUM(G10:G10)</f>
        <v>16027.5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16027.5</v>
      </c>
      <c r="H13" s="3"/>
    </row>
    <row r="14" spans="1:10" ht="23.25" x14ac:dyDescent="0.25">
      <c r="A14" s="1"/>
      <c r="B14" s="1"/>
      <c r="C14" s="3"/>
      <c r="D14" s="1"/>
      <c r="E14" s="7" t="s">
        <v>12</v>
      </c>
      <c r="F14" s="5"/>
      <c r="G14" s="2">
        <f>0.13*G13</f>
        <v>2083.5750000000003</v>
      </c>
      <c r="H14" s="3"/>
    </row>
    <row r="15" spans="1:10" ht="23.25" x14ac:dyDescent="0.25">
      <c r="A15" s="1"/>
      <c r="B15" s="1"/>
      <c r="C15" s="3"/>
      <c r="D15" s="1"/>
      <c r="E15" s="7" t="s">
        <v>13</v>
      </c>
      <c r="F15" s="5"/>
      <c r="G15" s="2">
        <f>SUM(G13:G14)</f>
        <v>18111.075000000001</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83F9A-26B1-4BDC-B830-A1F686BF653F}">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61</v>
      </c>
      <c r="C10" s="18">
        <v>418.5</v>
      </c>
      <c r="D10" s="19">
        <v>425</v>
      </c>
      <c r="E10" s="19">
        <f t="shared" ref="E10" si="0">D10-C10</f>
        <v>6.5</v>
      </c>
      <c r="F10" s="20">
        <v>2137</v>
      </c>
      <c r="G10" s="1">
        <f t="shared" ref="G10" si="1">F10*E10</f>
        <v>13890.5</v>
      </c>
      <c r="H10" s="1" t="s">
        <v>62</v>
      </c>
      <c r="J10" s="21"/>
    </row>
    <row r="11" spans="1:10" ht="23.25" x14ac:dyDescent="0.25">
      <c r="A11" s="1"/>
      <c r="B11" s="1"/>
      <c r="C11" s="3"/>
      <c r="D11" s="1"/>
      <c r="E11" s="7" t="s">
        <v>9</v>
      </c>
      <c r="F11" s="5"/>
      <c r="G11" s="2">
        <f>SUM(G10:G10)</f>
        <v>13890.5</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13890.5</v>
      </c>
      <c r="H13" s="3"/>
    </row>
    <row r="14" spans="1:10" ht="23.25" x14ac:dyDescent="0.25">
      <c r="A14" s="1"/>
      <c r="B14" s="1"/>
      <c r="C14" s="3"/>
      <c r="D14" s="1"/>
      <c r="E14" s="7" t="s">
        <v>12</v>
      </c>
      <c r="F14" s="5"/>
      <c r="G14" s="2">
        <f>0.13*G13</f>
        <v>1805.7650000000001</v>
      </c>
      <c r="H14" s="3"/>
    </row>
    <row r="15" spans="1:10" ht="23.25" x14ac:dyDescent="0.25">
      <c r="A15" s="1"/>
      <c r="B15" s="1"/>
      <c r="C15" s="3"/>
      <c r="D15" s="1"/>
      <c r="E15" s="7" t="s">
        <v>13</v>
      </c>
      <c r="F15" s="5"/>
      <c r="G15" s="2">
        <f>SUM(G13:G14)</f>
        <v>15696.264999999999</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8835-FB57-42F2-BEC5-D164CD00A9FD}">
  <dimension ref="A1:J40"/>
  <sheetViews>
    <sheetView view="pageBreakPreview" topLeftCell="A4"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63</v>
      </c>
      <c r="C10" s="18">
        <v>425</v>
      </c>
      <c r="D10" s="19">
        <v>434</v>
      </c>
      <c r="E10" s="19">
        <f t="shared" ref="E10" si="0">D10-C10</f>
        <v>9</v>
      </c>
      <c r="F10" s="20">
        <v>2137</v>
      </c>
      <c r="G10" s="1">
        <f t="shared" ref="G10" si="1">F10*E10</f>
        <v>19233</v>
      </c>
      <c r="H10" s="1" t="s">
        <v>64</v>
      </c>
      <c r="J10" s="21"/>
    </row>
    <row r="11" spans="1:10" ht="23.25" x14ac:dyDescent="0.25">
      <c r="A11" s="1"/>
      <c r="B11" s="1"/>
      <c r="C11" s="3"/>
      <c r="D11" s="1"/>
      <c r="E11" s="7" t="s">
        <v>9</v>
      </c>
      <c r="F11" s="5"/>
      <c r="G11" s="2">
        <f>SUM(G10:G10)</f>
        <v>19233</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19233</v>
      </c>
      <c r="H13" s="3"/>
    </row>
    <row r="14" spans="1:10" ht="23.25" x14ac:dyDescent="0.25">
      <c r="A14" s="1"/>
      <c r="B14" s="1"/>
      <c r="C14" s="3"/>
      <c r="D14" s="1"/>
      <c r="E14" s="7" t="s">
        <v>12</v>
      </c>
      <c r="F14" s="5"/>
      <c r="G14" s="2">
        <f>0.13*G13</f>
        <v>2500.29</v>
      </c>
      <c r="H14" s="3"/>
    </row>
    <row r="15" spans="1:10" ht="23.25" x14ac:dyDescent="0.25">
      <c r="A15" s="1"/>
      <c r="B15" s="1"/>
      <c r="C15" s="3"/>
      <c r="D15" s="1"/>
      <c r="E15" s="7" t="s">
        <v>13</v>
      </c>
      <c r="F15" s="5"/>
      <c r="G15" s="2">
        <f>SUM(G13:G14)</f>
        <v>21733.29</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63EF-B248-4C10-940B-A4D94936BBD5}">
  <dimension ref="A1:J40"/>
  <sheetViews>
    <sheetView view="pageBreakPreview" topLeftCell="A7" zoomScaleNormal="100" zoomScaleSheetLayoutView="100" workbookViewId="0">
      <selection activeCell="E10" sqref="E10"/>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65</v>
      </c>
      <c r="C10" s="18">
        <v>434</v>
      </c>
      <c r="D10" s="19">
        <v>436</v>
      </c>
      <c r="E10" s="19">
        <f t="shared" ref="E10" si="0">D10-C10</f>
        <v>2</v>
      </c>
      <c r="F10" s="20">
        <v>2137</v>
      </c>
      <c r="G10" s="1">
        <f t="shared" ref="G10" si="1">F10*E10</f>
        <v>4274</v>
      </c>
      <c r="H10" s="1" t="s">
        <v>64</v>
      </c>
      <c r="J10" s="21"/>
    </row>
    <row r="11" spans="1:10" ht="23.25" x14ac:dyDescent="0.25">
      <c r="A11" s="1"/>
      <c r="B11" s="1"/>
      <c r="C11" s="3"/>
      <c r="D11" s="1"/>
      <c r="E11" s="7" t="s">
        <v>9</v>
      </c>
      <c r="F11" s="5"/>
      <c r="G11" s="2">
        <f>SUM(G10:G10)</f>
        <v>4274</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4274</v>
      </c>
      <c r="H13" s="3"/>
    </row>
    <row r="14" spans="1:10" ht="23.25" x14ac:dyDescent="0.25">
      <c r="A14" s="1"/>
      <c r="B14" s="1"/>
      <c r="C14" s="3"/>
      <c r="D14" s="1"/>
      <c r="E14" s="7" t="s">
        <v>12</v>
      </c>
      <c r="F14" s="5"/>
      <c r="G14" s="2">
        <f>0.13*G13</f>
        <v>555.62</v>
      </c>
      <c r="H14" s="3"/>
    </row>
    <row r="15" spans="1:10" ht="23.25" x14ac:dyDescent="0.25">
      <c r="A15" s="1"/>
      <c r="B15" s="1"/>
      <c r="C15" s="3"/>
      <c r="D15" s="1"/>
      <c r="E15" s="7" t="s">
        <v>13</v>
      </c>
      <c r="F15" s="5"/>
      <c r="G15" s="2">
        <f>SUM(G13:G14)</f>
        <v>4829.62</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EA48-BFBD-4FAD-B217-8B5CF2398BA0}">
  <dimension ref="A1:J40"/>
  <sheetViews>
    <sheetView view="pageBreakPreview" topLeftCell="A7" zoomScaleNormal="100" zoomScaleSheetLayoutView="100" workbookViewId="0">
      <selection activeCell="H11" sqref="H11"/>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66</v>
      </c>
      <c r="C10" s="18">
        <v>436</v>
      </c>
      <c r="D10" s="19">
        <v>444</v>
      </c>
      <c r="E10" s="19">
        <f t="shared" ref="E10" si="0">D10-C10</f>
        <v>8</v>
      </c>
      <c r="F10" s="20">
        <v>2137</v>
      </c>
      <c r="G10" s="1">
        <f t="shared" ref="G10" si="1">F10*E10</f>
        <v>17096</v>
      </c>
      <c r="H10" s="1" t="s">
        <v>67</v>
      </c>
      <c r="J10" s="21"/>
    </row>
    <row r="11" spans="1:10" ht="23.25" x14ac:dyDescent="0.25">
      <c r="A11" s="1"/>
      <c r="B11" s="1"/>
      <c r="C11" s="3"/>
      <c r="D11" s="1"/>
      <c r="E11" s="7" t="s">
        <v>9</v>
      </c>
      <c r="F11" s="5"/>
      <c r="G11" s="2">
        <f>SUM(G10:G10)</f>
        <v>17096</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17096</v>
      </c>
      <c r="H13" s="3"/>
    </row>
    <row r="14" spans="1:10" ht="23.25" x14ac:dyDescent="0.25">
      <c r="A14" s="1"/>
      <c r="B14" s="1"/>
      <c r="C14" s="3"/>
      <c r="D14" s="1"/>
      <c r="E14" s="7" t="s">
        <v>12</v>
      </c>
      <c r="F14" s="5"/>
      <c r="G14" s="2">
        <f>0.13*G13</f>
        <v>2222.48</v>
      </c>
      <c r="H14" s="3"/>
    </row>
    <row r="15" spans="1:10" ht="23.25" x14ac:dyDescent="0.25">
      <c r="A15" s="1"/>
      <c r="B15" s="1"/>
      <c r="C15" s="3"/>
      <c r="D15" s="1"/>
      <c r="E15" s="7" t="s">
        <v>13</v>
      </c>
      <c r="F15" s="5"/>
      <c r="G15" s="2">
        <f>SUM(G13:G14)</f>
        <v>19318.48</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DBB1-0210-4F38-9037-7089FBA258D8}">
  <dimension ref="A1:J40"/>
  <sheetViews>
    <sheetView view="pageBreakPreview" zoomScaleNormal="100" zoomScaleSheetLayoutView="100" workbookViewId="0">
      <selection activeCell="D8" sqref="D8"/>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68</v>
      </c>
      <c r="C10" s="18">
        <v>444</v>
      </c>
      <c r="D10" s="19">
        <v>454</v>
      </c>
      <c r="E10" s="19">
        <f t="shared" ref="E10" si="0">D10-C10</f>
        <v>10</v>
      </c>
      <c r="F10" s="20">
        <v>2137</v>
      </c>
      <c r="G10" s="1">
        <f t="shared" ref="G10" si="1">F10*E10</f>
        <v>21370</v>
      </c>
      <c r="H10" s="1" t="s">
        <v>69</v>
      </c>
      <c r="J10" s="21"/>
    </row>
    <row r="11" spans="1:10" ht="23.25" x14ac:dyDescent="0.25">
      <c r="A11" s="1"/>
      <c r="B11" s="1"/>
      <c r="C11" s="3"/>
      <c r="D11" s="1"/>
      <c r="E11" s="7" t="s">
        <v>9</v>
      </c>
      <c r="F11" s="5"/>
      <c r="G11" s="2">
        <f>SUM(G10:G10)</f>
        <v>21370</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21370</v>
      </c>
      <c r="H13" s="3"/>
    </row>
    <row r="14" spans="1:10" ht="23.25" x14ac:dyDescent="0.25">
      <c r="A14" s="1"/>
      <c r="B14" s="1"/>
      <c r="C14" s="3"/>
      <c r="D14" s="1"/>
      <c r="E14" s="7" t="s">
        <v>12</v>
      </c>
      <c r="F14" s="5"/>
      <c r="G14" s="2">
        <f>0.13*G13</f>
        <v>2778.1</v>
      </c>
      <c r="H14" s="3"/>
    </row>
    <row r="15" spans="1:10" ht="23.25" x14ac:dyDescent="0.25">
      <c r="A15" s="1"/>
      <c r="B15" s="1"/>
      <c r="C15" s="3"/>
      <c r="D15" s="1"/>
      <c r="E15" s="7" t="s">
        <v>13</v>
      </c>
      <c r="F15" s="5"/>
      <c r="G15" s="2">
        <f>SUM(G13:G14)</f>
        <v>24148.1</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7E0FE-E17F-4664-B9BE-F66F35A858FD}">
  <dimension ref="A1:J40"/>
  <sheetViews>
    <sheetView view="pageBreakPreview" topLeftCell="A7" zoomScaleNormal="100" zoomScaleSheetLayoutView="100" workbookViewId="0">
      <selection activeCell="D17" sqref="D17"/>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50.25" customHeight="1" x14ac:dyDescent="0.6">
      <c r="A1" s="26" t="s">
        <v>4</v>
      </c>
      <c r="B1" s="26"/>
      <c r="C1" s="26"/>
      <c r="D1" s="26"/>
      <c r="E1" s="26"/>
      <c r="F1" s="26"/>
      <c r="G1" s="26"/>
      <c r="H1" s="26"/>
    </row>
    <row r="2" spans="1:10" ht="33" customHeight="1" x14ac:dyDescent="0.35">
      <c r="A2" s="27" t="s">
        <v>5</v>
      </c>
      <c r="B2" s="27"/>
      <c r="C2" s="27"/>
      <c r="D2" s="27"/>
      <c r="E2" s="27"/>
      <c r="F2" s="27"/>
      <c r="G2" s="27"/>
      <c r="H2" s="27"/>
    </row>
    <row r="3" spans="1:10" ht="27" x14ac:dyDescent="0.35">
      <c r="A3" s="27" t="s">
        <v>6</v>
      </c>
      <c r="B3" s="27"/>
      <c r="C3" s="27"/>
      <c r="D3" s="27"/>
      <c r="E3" s="27"/>
      <c r="F3" s="27"/>
      <c r="G3" s="27"/>
      <c r="H3" s="27"/>
    </row>
    <row r="4" spans="1:10" ht="11.25" customHeight="1" x14ac:dyDescent="0.6">
      <c r="A4" s="13"/>
      <c r="B4" s="13"/>
      <c r="C4" s="13"/>
      <c r="D4" s="12"/>
      <c r="E4" s="12"/>
      <c r="F4" s="12"/>
      <c r="G4" s="12"/>
      <c r="H4" s="12"/>
    </row>
    <row r="5" spans="1:10" ht="36" customHeight="1" x14ac:dyDescent="0.45">
      <c r="A5" s="28" t="s">
        <v>16</v>
      </c>
      <c r="B5" s="28"/>
      <c r="C5" s="28"/>
      <c r="D5" s="28"/>
      <c r="E5" s="28"/>
      <c r="F5" s="28"/>
      <c r="G5" s="28"/>
      <c r="H5" s="28"/>
    </row>
    <row r="6" spans="1:10" ht="21" customHeight="1" x14ac:dyDescent="0.6">
      <c r="A6" s="13" t="s">
        <v>26</v>
      </c>
      <c r="B6" s="13"/>
      <c r="C6" s="13"/>
      <c r="D6" s="12"/>
      <c r="E6" s="12"/>
      <c r="F6" s="12"/>
      <c r="G6" s="12"/>
      <c r="H6" s="12"/>
    </row>
    <row r="7" spans="1:10" ht="21" customHeight="1" x14ac:dyDescent="0.6">
      <c r="A7" s="13" t="s">
        <v>30</v>
      </c>
      <c r="B7" s="13"/>
      <c r="C7" s="13"/>
      <c r="D7" s="12"/>
      <c r="E7" s="12"/>
      <c r="F7" s="12"/>
      <c r="G7" s="12"/>
      <c r="H7" s="12"/>
    </row>
    <row r="8" spans="1:10" ht="21" customHeight="1" x14ac:dyDescent="0.6">
      <c r="A8" s="13" t="s">
        <v>27</v>
      </c>
      <c r="B8" s="13"/>
      <c r="C8" s="13"/>
      <c r="D8" s="12"/>
      <c r="E8" s="12"/>
      <c r="F8" s="12"/>
      <c r="G8" s="12"/>
      <c r="H8" s="12"/>
    </row>
    <row r="9" spans="1:10" s="25" customFormat="1" ht="40.5" x14ac:dyDescent="0.25">
      <c r="A9" s="23" t="s">
        <v>2</v>
      </c>
      <c r="B9" s="23" t="s">
        <v>14</v>
      </c>
      <c r="C9" s="24" t="s">
        <v>0</v>
      </c>
      <c r="D9" s="24" t="s">
        <v>1</v>
      </c>
      <c r="E9" s="24" t="s">
        <v>8</v>
      </c>
      <c r="F9" s="24" t="s">
        <v>3</v>
      </c>
      <c r="G9" s="24" t="s">
        <v>31</v>
      </c>
      <c r="H9" s="23" t="s">
        <v>7</v>
      </c>
    </row>
    <row r="10" spans="1:10" ht="24" x14ac:dyDescent="0.25">
      <c r="A10" s="6">
        <v>1</v>
      </c>
      <c r="B10" s="22" t="s">
        <v>70</v>
      </c>
      <c r="C10" s="18">
        <v>454</v>
      </c>
      <c r="D10" s="19">
        <v>463</v>
      </c>
      <c r="E10" s="19">
        <f t="shared" ref="E10" si="0">D10-C10</f>
        <v>9</v>
      </c>
      <c r="F10" s="20">
        <v>2137</v>
      </c>
      <c r="G10" s="1">
        <f t="shared" ref="G10" si="1">F10*E10</f>
        <v>19233</v>
      </c>
      <c r="H10" s="1" t="s">
        <v>71</v>
      </c>
      <c r="J10" s="21"/>
    </row>
    <row r="11" spans="1:10" ht="23.25" x14ac:dyDescent="0.25">
      <c r="A11" s="1"/>
      <c r="B11" s="1"/>
      <c r="C11" s="3"/>
      <c r="D11" s="1"/>
      <c r="E11" s="7" t="s">
        <v>9</v>
      </c>
      <c r="F11" s="5"/>
      <c r="G11" s="2">
        <f>SUM(G10:G10)</f>
        <v>19233</v>
      </c>
      <c r="H11" s="3"/>
    </row>
    <row r="12" spans="1:10" ht="23.25" x14ac:dyDescent="0.25">
      <c r="A12" s="1"/>
      <c r="B12" s="1"/>
      <c r="C12" s="3"/>
      <c r="D12" s="1"/>
      <c r="E12" s="7" t="s">
        <v>10</v>
      </c>
      <c r="F12" s="5"/>
      <c r="G12" s="2"/>
      <c r="H12" s="3"/>
    </row>
    <row r="13" spans="1:10" ht="23.25" x14ac:dyDescent="0.25">
      <c r="A13" s="1"/>
      <c r="B13" s="1"/>
      <c r="C13" s="3"/>
      <c r="D13" s="1"/>
      <c r="E13" s="7" t="s">
        <v>11</v>
      </c>
      <c r="F13" s="5"/>
      <c r="G13" s="2">
        <f>G11</f>
        <v>19233</v>
      </c>
      <c r="H13" s="3"/>
    </row>
    <row r="14" spans="1:10" ht="23.25" x14ac:dyDescent="0.25">
      <c r="A14" s="1"/>
      <c r="B14" s="1"/>
      <c r="C14" s="3"/>
      <c r="D14" s="1"/>
      <c r="E14" s="7" t="s">
        <v>12</v>
      </c>
      <c r="F14" s="5"/>
      <c r="G14" s="2">
        <f>0.13*G13</f>
        <v>2500.29</v>
      </c>
      <c r="H14" s="3"/>
    </row>
    <row r="15" spans="1:10" ht="23.25" x14ac:dyDescent="0.25">
      <c r="A15" s="1"/>
      <c r="B15" s="1"/>
      <c r="C15" s="3"/>
      <c r="D15" s="1"/>
      <c r="E15" s="7" t="s">
        <v>13</v>
      </c>
      <c r="F15" s="5"/>
      <c r="G15" s="2">
        <f>SUM(G13:G14)</f>
        <v>21733.29</v>
      </c>
      <c r="H15" s="3"/>
    </row>
    <row r="16" spans="1:10" ht="23.25" x14ac:dyDescent="0.25">
      <c r="A16" s="8"/>
      <c r="B16" s="8"/>
      <c r="C16" s="9"/>
      <c r="D16" s="8"/>
      <c r="E16" s="10"/>
      <c r="G16" s="11"/>
      <c r="H16" s="9"/>
    </row>
    <row r="23" spans="2:8" ht="20.25" x14ac:dyDescent="0.3">
      <c r="B23" s="14" t="s">
        <v>15</v>
      </c>
      <c r="E23" s="14" t="s">
        <v>22</v>
      </c>
      <c r="H23" s="14" t="s">
        <v>22</v>
      </c>
    </row>
    <row r="24" spans="2:8" ht="20.25" x14ac:dyDescent="0.3">
      <c r="B24" s="15"/>
      <c r="E24" s="15"/>
      <c r="H24" s="15"/>
    </row>
    <row r="25" spans="2:8" ht="18.75" x14ac:dyDescent="0.3">
      <c r="B25" s="16" t="s">
        <v>28</v>
      </c>
      <c r="E25" s="16" t="s">
        <v>29</v>
      </c>
      <c r="H25" s="16" t="s">
        <v>29</v>
      </c>
    </row>
    <row r="32" spans="2:8" ht="20.25" x14ac:dyDescent="0.3">
      <c r="C32" s="14" t="s">
        <v>22</v>
      </c>
      <c r="F32" s="14" t="s">
        <v>25</v>
      </c>
    </row>
    <row r="33" spans="3:6" ht="20.25" x14ac:dyDescent="0.3">
      <c r="C33" s="15"/>
      <c r="F33" s="15"/>
    </row>
    <row r="34" spans="3:6" ht="18.75" x14ac:dyDescent="0.3">
      <c r="C34" s="16" t="s">
        <v>24</v>
      </c>
      <c r="D34" s="17"/>
      <c r="F34" s="16" t="s">
        <v>23</v>
      </c>
    </row>
    <row r="39" spans="3:6" x14ac:dyDescent="0.25">
      <c r="C39" s="4" t="s">
        <v>17</v>
      </c>
      <c r="D39" s="4" t="s">
        <v>18</v>
      </c>
      <c r="E39" s="4" t="s">
        <v>19</v>
      </c>
    </row>
    <row r="40" spans="3:6" x14ac:dyDescent="0.25">
      <c r="C40" s="4" t="s">
        <v>20</v>
      </c>
      <c r="D40" s="4" t="s">
        <v>21</v>
      </c>
      <c r="E40" s="4" t="str">
        <f>E39</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CC1A-0226-4A13-9D40-ADF9CD88CC3E}">
  <dimension ref="A1:H43"/>
  <sheetViews>
    <sheetView tabSelected="1" view="pageBreakPreview" topLeftCell="A4" zoomScaleNormal="100" zoomScaleSheetLayoutView="100" workbookViewId="0">
      <selection activeCell="B14" sqref="B14"/>
    </sheetView>
  </sheetViews>
  <sheetFormatPr defaultColWidth="9.140625" defaultRowHeight="15.75" x14ac:dyDescent="0.2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8" ht="35.25" customHeight="1" x14ac:dyDescent="0.6">
      <c r="A1" s="26" t="s">
        <v>4</v>
      </c>
      <c r="B1" s="26"/>
      <c r="C1" s="26"/>
      <c r="D1" s="26"/>
      <c r="E1" s="26"/>
      <c r="F1" s="26"/>
      <c r="G1" s="26"/>
      <c r="H1" s="26"/>
    </row>
    <row r="2" spans="1:8" ht="24" customHeight="1" x14ac:dyDescent="0.35">
      <c r="A2" s="27" t="s">
        <v>5</v>
      </c>
      <c r="B2" s="27"/>
      <c r="C2" s="27"/>
      <c r="D2" s="27"/>
      <c r="E2" s="27"/>
      <c r="F2" s="27"/>
      <c r="G2" s="27"/>
      <c r="H2" s="27"/>
    </row>
    <row r="3" spans="1:8" ht="27" x14ac:dyDescent="0.35">
      <c r="A3" s="27" t="s">
        <v>6</v>
      </c>
      <c r="B3" s="27"/>
      <c r="C3" s="27"/>
      <c r="D3" s="27"/>
      <c r="E3" s="27"/>
      <c r="F3" s="27"/>
      <c r="G3" s="27"/>
      <c r="H3" s="27"/>
    </row>
    <row r="4" spans="1:8" ht="11.25" customHeight="1" x14ac:dyDescent="0.6">
      <c r="A4" s="13"/>
      <c r="B4" s="13"/>
      <c r="C4" s="13"/>
      <c r="D4" s="12"/>
      <c r="E4" s="12"/>
      <c r="F4" s="12"/>
      <c r="G4" s="12"/>
      <c r="H4" s="12"/>
    </row>
    <row r="5" spans="1:8" ht="22.5" customHeight="1" x14ac:dyDescent="0.45">
      <c r="A5" s="28" t="s">
        <v>16</v>
      </c>
      <c r="B5" s="28"/>
      <c r="C5" s="28"/>
      <c r="D5" s="28"/>
      <c r="E5" s="28"/>
      <c r="F5" s="28"/>
      <c r="G5" s="28"/>
      <c r="H5" s="28"/>
    </row>
    <row r="6" spans="1:8" ht="21" customHeight="1" x14ac:dyDescent="0.6">
      <c r="A6" s="13" t="s">
        <v>26</v>
      </c>
      <c r="B6" s="13"/>
      <c r="C6" s="13"/>
      <c r="D6" s="12"/>
      <c r="E6" s="12"/>
      <c r="F6" s="12"/>
      <c r="G6" s="12"/>
      <c r="H6" s="12"/>
    </row>
    <row r="7" spans="1:8" ht="21" customHeight="1" x14ac:dyDescent="0.6">
      <c r="A7" s="13" t="s">
        <v>30</v>
      </c>
      <c r="B7" s="13"/>
      <c r="C7" s="13"/>
      <c r="D7" s="12"/>
      <c r="E7" s="12"/>
      <c r="F7" s="12"/>
      <c r="G7" s="12"/>
      <c r="H7" s="12"/>
    </row>
    <row r="8" spans="1:8" ht="21" customHeight="1" x14ac:dyDescent="0.6">
      <c r="A8" s="13" t="s">
        <v>27</v>
      </c>
      <c r="B8" s="13"/>
      <c r="C8" s="13"/>
      <c r="D8" s="12"/>
      <c r="E8" s="12"/>
      <c r="F8" s="12"/>
      <c r="G8" s="12"/>
      <c r="H8" s="12"/>
    </row>
    <row r="9" spans="1:8" s="25" customFormat="1" ht="40.5" x14ac:dyDescent="0.25">
      <c r="A9" s="23" t="s">
        <v>2</v>
      </c>
      <c r="B9" s="23" t="s">
        <v>14</v>
      </c>
      <c r="C9" s="24" t="s">
        <v>0</v>
      </c>
      <c r="D9" s="24" t="s">
        <v>1</v>
      </c>
      <c r="E9" s="24" t="s">
        <v>8</v>
      </c>
      <c r="F9" s="24" t="s">
        <v>3</v>
      </c>
      <c r="G9" s="24" t="s">
        <v>31</v>
      </c>
      <c r="H9" s="23" t="s">
        <v>7</v>
      </c>
    </row>
    <row r="10" spans="1:8" x14ac:dyDescent="0.25">
      <c r="A10" s="29">
        <v>1</v>
      </c>
      <c r="B10" s="5"/>
      <c r="C10" s="5"/>
      <c r="D10" s="5"/>
      <c r="E10" s="5"/>
      <c r="F10" s="5"/>
      <c r="G10" s="5">
        <f t="shared" ref="G10" si="0">F10*E10</f>
        <v>0</v>
      </c>
      <c r="H10" s="5"/>
    </row>
    <row r="11" spans="1:8" x14ac:dyDescent="0.25">
      <c r="A11" s="29">
        <v>2</v>
      </c>
      <c r="B11" s="5"/>
      <c r="C11" s="5"/>
      <c r="D11" s="5"/>
      <c r="E11" s="5"/>
      <c r="F11" s="5"/>
      <c r="G11" s="5"/>
      <c r="H11" s="5"/>
    </row>
    <row r="12" spans="1:8" x14ac:dyDescent="0.25">
      <c r="A12" s="29">
        <v>3</v>
      </c>
      <c r="B12" s="5"/>
      <c r="C12" s="5"/>
      <c r="D12" s="5"/>
      <c r="E12" s="5"/>
      <c r="F12" s="5"/>
      <c r="G12" s="5"/>
      <c r="H12" s="5"/>
    </row>
    <row r="13" spans="1:8" x14ac:dyDescent="0.25">
      <c r="A13" s="29">
        <v>4</v>
      </c>
      <c r="B13" s="5"/>
      <c r="C13" s="5"/>
      <c r="D13" s="5"/>
      <c r="E13" s="5"/>
      <c r="F13" s="5"/>
      <c r="G13" s="5"/>
      <c r="H13" s="5"/>
    </row>
    <row r="14" spans="1:8" x14ac:dyDescent="0.25">
      <c r="A14" s="29">
        <v>5</v>
      </c>
      <c r="B14" s="5"/>
      <c r="C14" s="5"/>
      <c r="D14" s="5"/>
      <c r="E14" s="5"/>
      <c r="F14" s="5"/>
      <c r="G14" s="5"/>
      <c r="H14" s="5"/>
    </row>
    <row r="15" spans="1:8" ht="23.25" x14ac:dyDescent="0.25">
      <c r="A15" s="1"/>
      <c r="B15" s="1"/>
      <c r="C15" s="3"/>
      <c r="D15" s="1"/>
      <c r="E15" s="7" t="s">
        <v>9</v>
      </c>
      <c r="F15" s="5"/>
      <c r="G15" s="2">
        <f>SUM(G10:G10)</f>
        <v>0</v>
      </c>
      <c r="H15" s="3"/>
    </row>
    <row r="16" spans="1:8" ht="23.25" x14ac:dyDescent="0.25">
      <c r="A16" s="1"/>
      <c r="B16" s="1"/>
      <c r="C16" s="3"/>
      <c r="D16" s="1"/>
      <c r="E16" s="7" t="s">
        <v>10</v>
      </c>
      <c r="F16" s="5"/>
      <c r="G16" s="2"/>
      <c r="H16" s="3"/>
    </row>
    <row r="17" spans="1:8" ht="23.25" x14ac:dyDescent="0.25">
      <c r="A17" s="1"/>
      <c r="B17" s="1"/>
      <c r="C17" s="3"/>
      <c r="D17" s="1"/>
      <c r="E17" s="7" t="s">
        <v>11</v>
      </c>
      <c r="F17" s="5"/>
      <c r="G17" s="2">
        <f>G15</f>
        <v>0</v>
      </c>
      <c r="H17" s="3"/>
    </row>
    <row r="18" spans="1:8" ht="23.25" x14ac:dyDescent="0.25">
      <c r="A18" s="1"/>
      <c r="B18" s="1"/>
      <c r="C18" s="3"/>
      <c r="D18" s="1"/>
      <c r="E18" s="7" t="s">
        <v>12</v>
      </c>
      <c r="F18" s="5"/>
      <c r="G18" s="2">
        <f>0.13*G17</f>
        <v>0</v>
      </c>
      <c r="H18" s="3"/>
    </row>
    <row r="19" spans="1:8" ht="23.25" x14ac:dyDescent="0.25">
      <c r="A19" s="1"/>
      <c r="B19" s="1"/>
      <c r="C19" s="3"/>
      <c r="D19" s="1"/>
      <c r="E19" s="7" t="s">
        <v>13</v>
      </c>
      <c r="F19" s="5"/>
      <c r="G19" s="2">
        <f>SUM(G17:G18)</f>
        <v>0</v>
      </c>
      <c r="H19" s="3"/>
    </row>
    <row r="20" spans="1:8" ht="23.25" x14ac:dyDescent="0.25">
      <c r="A20" s="8"/>
      <c r="B20" s="8"/>
      <c r="C20" s="9"/>
      <c r="D20" s="8"/>
      <c r="E20" s="10"/>
      <c r="G20" s="11"/>
      <c r="H20" s="9"/>
    </row>
    <row r="26" spans="1:8" x14ac:dyDescent="0.25">
      <c r="B26" s="4" t="s">
        <v>15</v>
      </c>
      <c r="E26" s="4" t="s">
        <v>22</v>
      </c>
      <c r="H26" s="4" t="s">
        <v>22</v>
      </c>
    </row>
    <row r="28" spans="1:8" ht="18.75" x14ac:dyDescent="0.3">
      <c r="B28" s="16" t="s">
        <v>28</v>
      </c>
      <c r="E28" s="16" t="s">
        <v>29</v>
      </c>
      <c r="H28" s="16" t="s">
        <v>29</v>
      </c>
    </row>
    <row r="35" spans="3:6" x14ac:dyDescent="0.25">
      <c r="C35" s="4" t="s">
        <v>22</v>
      </c>
      <c r="F35" s="4" t="s">
        <v>25</v>
      </c>
    </row>
    <row r="37" spans="3:6" ht="18.75" x14ac:dyDescent="0.3">
      <c r="C37" s="16" t="s">
        <v>24</v>
      </c>
      <c r="D37" s="17"/>
      <c r="F37" s="16" t="s">
        <v>23</v>
      </c>
    </row>
    <row r="42" spans="3:6" x14ac:dyDescent="0.25">
      <c r="C42" s="4" t="s">
        <v>17</v>
      </c>
      <c r="D42" s="4" t="s">
        <v>18</v>
      </c>
      <c r="E42" s="4" t="s">
        <v>19</v>
      </c>
    </row>
    <row r="43" spans="3:6" x14ac:dyDescent="0.25">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56</vt:i4>
      </vt:variant>
    </vt:vector>
  </HeadingPairs>
  <TitlesOfParts>
    <vt:vector size="84"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'3'!Print_Area</vt:lpstr>
      <vt:lpstr>'4'!Print_Area</vt:lpstr>
      <vt:lpstr>'5'!Print_Area</vt:lpstr>
      <vt:lpstr>'6'!Print_Area</vt:lpstr>
      <vt:lpstr>'7'!Print_Area</vt:lpstr>
      <vt:lpstr>'8'!Print_Area</vt:lpstr>
      <vt:lpstr>'9'!Print_Area</vt:lpstr>
      <vt:lpstr>'1'!Print_Titles</vt:lpstr>
      <vt:lpstr>'10'!Print_Titles</vt:lpstr>
      <vt:lpstr>'11'!Print_Titles</vt:lpstr>
      <vt:lpstr>'12'!Print_Titles</vt:lpstr>
      <vt:lpstr>'13'!Print_Titles</vt:lpstr>
      <vt:lpstr>'14'!Print_Titles</vt:lpstr>
      <vt:lpstr>'15'!Print_Titles</vt:lpstr>
      <vt:lpstr>'16'!Print_Titles</vt:lpstr>
      <vt:lpstr>'17'!Print_Titles</vt:lpstr>
      <vt:lpstr>'18'!Print_Titles</vt:lpstr>
      <vt:lpstr>'19'!Print_Titles</vt:lpstr>
      <vt:lpstr>'2'!Print_Titles</vt:lpstr>
      <vt:lpstr>'20'!Print_Titles</vt:lpstr>
      <vt:lpstr>'21'!Print_Titles</vt:lpstr>
      <vt:lpstr>'22'!Print_Titles</vt:lpstr>
      <vt:lpstr>'23'!Print_Titles</vt:lpstr>
      <vt:lpstr>'24'!Print_Titles</vt:lpstr>
      <vt:lpstr>'25'!Print_Titles</vt:lpstr>
      <vt:lpstr>'26'!Print_Titles</vt:lpstr>
      <vt:lpstr>'27'!Print_Titles</vt:lpstr>
      <vt:lpstr>'28'!Print_Titles</vt:lpstr>
      <vt:lpstr>'3'!Print_Titles</vt:lpstr>
      <vt:lpstr>'4'!Print_Titles</vt:lpstr>
      <vt:lpstr>'5'!Print_Titles</vt:lpstr>
      <vt:lpstr>'6'!Print_Titles</vt:lpstr>
      <vt:lpstr>'7'!Print_Titles</vt:lpstr>
      <vt:lpstr>'8'!Print_Titles</vt:lpstr>
      <vt:lpstr>'9'!Print_Titles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2025-11-13T06:28:29Z</cp:lastPrinted>
  <dcterms:created xsi:type="dcterms:W3CDTF">2024-08-25T06:49:54Z</dcterms:created>
  <dcterms:modified xsi:type="dcterms:W3CDTF">2026-10-15T04:52:08Z</dcterms:modified>
</cp:coreProperties>
</file>