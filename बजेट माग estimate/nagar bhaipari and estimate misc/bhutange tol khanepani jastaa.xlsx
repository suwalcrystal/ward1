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filterPrivacy="1" defaultThemeVersion="124226"/>
  <xr:revisionPtr revIDLastSave="0" documentId="13_ncr:1_{FBBAC427-7212-4CB5-B11F-2A56CDBF3581}" xr6:coauthVersionLast="47" xr6:coauthVersionMax="47" xr10:uidLastSave="{00000000-0000-0000-0000-000000000000}"/>
  <bookViews>
    <workbookView xWindow="-120" yWindow="-120" windowWidth="20730" windowHeight="11040" xr2:uid="{00000000-000D-0000-FFFF-FFFF00000000}"/>
  </bookViews>
  <sheets>
    <sheet name="estimate" sheetId="13" r:id="rId1"/>
  </sheets>
  <externalReferences>
    <externalReference r:id="rId2"/>
    <externalReference r:id="rId3"/>
    <externalReference r:id="rId4"/>
  </externalReferences>
  <definedNames>
    <definedName name="description_103">[1]Abstract!$B$16</definedName>
    <definedName name="description_124">#REF!</definedName>
    <definedName name="description_247">[1]Abstract!$B$22</definedName>
    <definedName name="description_248">[1]Abstract!$B$23</definedName>
    <definedName name="description_261">[2]Abstract!$B$33</definedName>
    <definedName name="description_262">[1]Abstract!$B$34</definedName>
    <definedName name="description_276">[3]Abstract!$B$40</definedName>
    <definedName name="description_3">[1]Abstract!$B$169</definedName>
    <definedName name="description_310">#REF!</definedName>
    <definedName name="description_312">#REF!</definedName>
    <definedName name="description_5">[1]Abstract!$B$171</definedName>
    <definedName name="description_6">#REF!</definedName>
    <definedName name="description_759">[1]Abstract!$B$278</definedName>
    <definedName name="description_781">#REF!</definedName>
    <definedName name="description_783">[1]Abstract!$B$301</definedName>
    <definedName name="description_784">[3]Abstract!$B$300</definedName>
    <definedName name="_xlnm.Print_Area" localSheetId="0">estimate!$A$1:$K$32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2" i="13" l="1"/>
  <c r="D11" i="13"/>
  <c r="D10" i="13"/>
  <c r="E16" i="13"/>
  <c r="D16" i="13"/>
  <c r="F11" i="13" l="1"/>
  <c r="G11" i="13" s="1"/>
  <c r="F10" i="13"/>
  <c r="G10" i="13" s="1"/>
  <c r="G16" i="13"/>
  <c r="G17" i="13" s="1"/>
  <c r="J21" i="13" l="1"/>
  <c r="J20" i="13"/>
  <c r="J19" i="13"/>
  <c r="J18" i="13"/>
  <c r="J13" i="13"/>
  <c r="J12" i="13" l="1"/>
  <c r="J17" i="13"/>
  <c r="C32" i="13" l="1"/>
  <c r="C31" i="13"/>
  <c r="G23" i="13"/>
  <c r="J23" i="13" s="1"/>
  <c r="C29" i="13" l="1"/>
  <c r="J25" i="13" l="1"/>
  <c r="C27" i="13" s="1"/>
  <c r="C30" i="13" s="1"/>
  <c r="E29" i="13" l="1"/>
  <c r="E30" i="13" s="1"/>
</calcChain>
</file>

<file path=xl/sharedStrings.xml><?xml version="1.0" encoding="utf-8"?>
<sst xmlns="http://schemas.openxmlformats.org/spreadsheetml/2006/main" count="46" uniqueCount="44">
  <si>
    <t>Government of Nepal</t>
  </si>
  <si>
    <t>Shankharapur Municipality Office</t>
  </si>
  <si>
    <t>Bagmati Province</t>
  </si>
  <si>
    <t>Sankhu, Kathmandu</t>
  </si>
  <si>
    <t>Detail Estimated Sheet</t>
  </si>
  <si>
    <t>S.N.</t>
  </si>
  <si>
    <t>Description of work</t>
  </si>
  <si>
    <t>No.</t>
  </si>
  <si>
    <t>Length</t>
  </si>
  <si>
    <t>Breadth</t>
  </si>
  <si>
    <t>Height</t>
  </si>
  <si>
    <t>Quantity</t>
  </si>
  <si>
    <t>Unit</t>
  </si>
  <si>
    <t>Rate</t>
  </si>
  <si>
    <t>Amount</t>
  </si>
  <si>
    <t>Remark</t>
  </si>
  <si>
    <t>Information board (सुचना पाटि)</t>
  </si>
  <si>
    <t>no.</t>
  </si>
  <si>
    <t>Total Estimated</t>
  </si>
  <si>
    <t>Total</t>
  </si>
  <si>
    <t>Budget allocated</t>
  </si>
  <si>
    <t>Municipal payment</t>
  </si>
  <si>
    <t xml:space="preserve">Contingencies </t>
  </si>
  <si>
    <t xml:space="preserve">Maintanince </t>
  </si>
  <si>
    <t>F.Y.: 2082/2083</t>
  </si>
  <si>
    <t>User contribution</t>
  </si>
  <si>
    <t>Length (m)</t>
  </si>
  <si>
    <t>Location:- Shankharapur Municipality 1</t>
  </si>
  <si>
    <t>sqm</t>
  </si>
  <si>
    <t>sfnf] kmnfd] kfO{ksf] 6«; agfO{ h8fg ug]{ sfd</t>
  </si>
  <si>
    <t>Unit length (Kg/m)</t>
  </si>
  <si>
    <t>Total Weight (kg)</t>
  </si>
  <si>
    <t>sub-total</t>
  </si>
  <si>
    <t>Kg</t>
  </si>
  <si>
    <t>-VAT 13% for materials</t>
  </si>
  <si>
    <t>)=$! dL=dL=afSnf] sf]?u]6]8 /+lug ss{6 kftfsf] 5fgf 5fpg] sfd</t>
  </si>
  <si>
    <t>-truss 1</t>
  </si>
  <si>
    <t>-13% VAT for sheet</t>
  </si>
  <si>
    <t>-13% VAT for nut bolt</t>
  </si>
  <si>
    <t>-13% VAT for j-hook</t>
  </si>
  <si>
    <t>-13% VAT for bitumen washer</t>
  </si>
  <si>
    <t>-MS square pipe of size 1.5"*1.5" and 1.6mm thickness for purlins</t>
  </si>
  <si>
    <r>
      <t>Project:-</t>
    </r>
    <r>
      <rPr>
        <sz val="12"/>
        <rFont val="Preeti"/>
      </rPr>
      <t xml:space="preserve"> vfg]kfgL 6\ofÍL dfly h:tf 5fpg]</t>
    </r>
  </si>
  <si>
    <t xml:space="preserve">Date: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</si>
</sst>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0.0"/>
  </numFmts>
  <fonts count="14" x14ac:knownFonts="1">
    <font>
      <sz val="11"/>
      <color theme="1"/>
      <name val="Calibri"/>
      <family val="2"/>
      <scheme val="minor"/>
    </font>
    <font>
      <sz val="11"/>
      <color theme="1"/>
      <name val="Calibri"/>
      <family val="2"/>
      <scheme val="minor"/>
    </font>
    <font>
      <sz val="11"/>
      <name val="Times New Roman"/>
      <family val="1"/>
    </font>
    <font>
      <b/>
      <sz val="11"/>
      <name val="Times New Roman"/>
      <family val="1"/>
    </font>
    <font>
      <sz val="11"/>
      <name val="Calibri"/>
      <family val="2"/>
      <scheme val="minor"/>
    </font>
    <font>
      <b/>
      <sz val="18"/>
      <name val="Times New Roman"/>
      <family val="1"/>
    </font>
    <font>
      <b/>
      <sz val="11"/>
      <name val="Calibri"/>
      <family val="2"/>
      <scheme val="minor"/>
    </font>
    <font>
      <b/>
      <sz val="14"/>
      <name val="Times New Roman"/>
      <family val="1"/>
    </font>
    <font>
      <sz val="12"/>
      <name val="Times New Roman"/>
      <family val="1"/>
    </font>
    <font>
      <b/>
      <sz val="12"/>
      <name val="Times New Roman"/>
      <family val="1"/>
    </font>
    <font>
      <sz val="10"/>
      <name val="Arial"/>
      <family val="2"/>
    </font>
    <font>
      <sz val="10"/>
      <name val="Arial"/>
      <family val="2"/>
    </font>
    <font>
      <sz val="12"/>
      <name val="Preeti"/>
    </font>
    <font>
      <b/>
      <sz val="12"/>
      <name val="Preeti"/>
    </font>
  </fonts>
  <fills count="3">
    <fill>
      <patternFill patternType="none"/>
    </fill>
    <fill>
      <patternFill patternType="gray125"/>
    </fill>
    <fill>
      <patternFill patternType="solid">
        <fgColor theme="0"/>
        <bgColor indexed="64"/>
      </patternFill>
    </fill>
  </fills>
  <borders count="5">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6">
    <xf numFmtId="0" fontId="0" fillId="0" borderId="0"/>
    <xf numFmtId="43" fontId="1" fillId="0" borderId="0" applyFont="0" applyFill="0" applyBorder="0" applyAlignment="0" applyProtection="0"/>
    <xf numFmtId="0" fontId="10" fillId="0" borderId="0"/>
    <xf numFmtId="43" fontId="11" fillId="0" borderId="0" applyFont="0" applyFill="0" applyBorder="0" applyAlignment="0" applyProtection="0"/>
    <xf numFmtId="9" fontId="11" fillId="0" borderId="0" applyFont="0" applyFill="0" applyBorder="0" applyAlignment="0" applyProtection="0"/>
    <xf numFmtId="0" fontId="11" fillId="0" borderId="0"/>
  </cellStyleXfs>
  <cellXfs count="54">
    <xf numFmtId="0" fontId="0" fillId="0" borderId="0" xfId="0"/>
    <xf numFmtId="2" fontId="2" fillId="0" borderId="2" xfId="1" applyNumberFormat="1" applyFont="1" applyFill="1" applyBorder="1" applyAlignment="1">
      <alignment vertical="center"/>
    </xf>
    <xf numFmtId="2" fontId="3" fillId="0" borderId="2" xfId="1" applyNumberFormat="1" applyFont="1" applyFill="1" applyBorder="1" applyAlignment="1">
      <alignment vertical="center"/>
    </xf>
    <xf numFmtId="0" fontId="9" fillId="0" borderId="0" xfId="0" applyFont="1" applyAlignment="1">
      <alignment horizontal="center"/>
    </xf>
    <xf numFmtId="43" fontId="9" fillId="0" borderId="0" xfId="1" applyFont="1" applyFill="1"/>
    <xf numFmtId="0" fontId="9" fillId="0" borderId="2" xfId="0" applyFont="1" applyBorder="1" applyAlignment="1">
      <alignment horizontal="center"/>
    </xf>
    <xf numFmtId="0" fontId="9" fillId="0" borderId="2" xfId="0" applyFont="1" applyBorder="1" applyAlignment="1">
      <alignment horizontal="center" vertical="top" wrapText="1"/>
    </xf>
    <xf numFmtId="43" fontId="9" fillId="0" borderId="2" xfId="1" applyFont="1" applyFill="1" applyBorder="1" applyAlignment="1">
      <alignment horizontal="center"/>
    </xf>
    <xf numFmtId="0" fontId="9" fillId="0" borderId="2" xfId="0" applyFont="1" applyBorder="1" applyAlignment="1">
      <alignment horizontal="center" wrapText="1"/>
    </xf>
    <xf numFmtId="0" fontId="4" fillId="0" borderId="0" xfId="0" applyFont="1"/>
    <xf numFmtId="0" fontId="0" fillId="0" borderId="0" xfId="0" applyAlignment="1">
      <alignment vertical="center"/>
    </xf>
    <xf numFmtId="1" fontId="3" fillId="0" borderId="2" xfId="0" applyNumberFormat="1" applyFont="1" applyBorder="1" applyAlignment="1">
      <alignment vertical="center"/>
    </xf>
    <xf numFmtId="164" fontId="2" fillId="0" borderId="2" xfId="0" applyNumberFormat="1" applyFont="1" applyBorder="1" applyAlignment="1">
      <alignment vertical="center"/>
    </xf>
    <xf numFmtId="2" fontId="2" fillId="0" borderId="2" xfId="0" applyNumberFormat="1" applyFont="1" applyBorder="1" applyAlignment="1">
      <alignment vertical="center"/>
    </xf>
    <xf numFmtId="2" fontId="3" fillId="0" borderId="2" xfId="0" applyNumberFormat="1" applyFont="1" applyBorder="1" applyAlignment="1">
      <alignment vertical="center"/>
    </xf>
    <xf numFmtId="2" fontId="3" fillId="0" borderId="2" xfId="0" applyNumberFormat="1" applyFont="1" applyBorder="1"/>
    <xf numFmtId="0" fontId="6" fillId="0" borderId="2" xfId="0" applyFont="1" applyBorder="1" applyAlignment="1">
      <alignment vertical="center"/>
    </xf>
    <xf numFmtId="0" fontId="4" fillId="0" borderId="2" xfId="0" quotePrefix="1" applyFont="1" applyBorder="1" applyAlignment="1">
      <alignment horizontal="right"/>
    </xf>
    <xf numFmtId="0" fontId="4" fillId="0" borderId="2" xfId="0" applyFont="1" applyBorder="1"/>
    <xf numFmtId="2" fontId="4" fillId="0" borderId="2" xfId="0" applyNumberFormat="1" applyFont="1" applyBorder="1"/>
    <xf numFmtId="1" fontId="2" fillId="0" borderId="2" xfId="0" applyNumberFormat="1" applyFont="1" applyBorder="1" applyAlignment="1">
      <alignment vertical="center" wrapText="1"/>
    </xf>
    <xf numFmtId="1" fontId="2" fillId="0" borderId="2" xfId="0" applyNumberFormat="1" applyFont="1" applyBorder="1" applyAlignment="1">
      <alignment horizontal="right" vertical="center" wrapText="1"/>
    </xf>
    <xf numFmtId="0" fontId="3" fillId="0" borderId="2" xfId="0" applyFont="1" applyBorder="1"/>
    <xf numFmtId="0" fontId="3" fillId="0" borderId="2" xfId="0" applyFont="1" applyBorder="1" applyAlignment="1">
      <alignment horizontal="right" wrapText="1"/>
    </xf>
    <xf numFmtId="164" fontId="2" fillId="0" borderId="2" xfId="0" applyNumberFormat="1" applyFont="1" applyBorder="1"/>
    <xf numFmtId="2" fontId="2" fillId="0" borderId="2" xfId="0" applyNumberFormat="1" applyFont="1" applyBorder="1"/>
    <xf numFmtId="0" fontId="2" fillId="0" borderId="2" xfId="0" applyFont="1" applyBorder="1"/>
    <xf numFmtId="0" fontId="2" fillId="0" borderId="0" xfId="0" applyFont="1" applyAlignment="1">
      <alignment vertical="center"/>
    </xf>
    <xf numFmtId="0" fontId="4" fillId="0" borderId="2" xfId="0" applyFont="1" applyBorder="1" applyAlignment="1">
      <alignment vertical="center"/>
    </xf>
    <xf numFmtId="2" fontId="4" fillId="0" borderId="2" xfId="0" applyNumberFormat="1" applyFont="1" applyBorder="1" applyAlignment="1">
      <alignment vertical="center"/>
    </xf>
    <xf numFmtId="2" fontId="2" fillId="0" borderId="0" xfId="0" applyNumberFormat="1" applyFont="1" applyAlignment="1">
      <alignment vertical="center"/>
    </xf>
    <xf numFmtId="0" fontId="3" fillId="0" borderId="0" xfId="0" applyFont="1" applyAlignment="1">
      <alignment horizontal="right" vertical="center"/>
    </xf>
    <xf numFmtId="43" fontId="3" fillId="0" borderId="0" xfId="1" applyFont="1" applyFill="1" applyBorder="1" applyAlignment="1">
      <alignment vertical="center"/>
    </xf>
    <xf numFmtId="0" fontId="3" fillId="0" borderId="0" xfId="0" applyFont="1" applyAlignment="1">
      <alignment vertical="center"/>
    </xf>
    <xf numFmtId="0" fontId="4" fillId="0" borderId="0" xfId="0" applyFont="1" applyAlignment="1">
      <alignment vertical="center"/>
    </xf>
    <xf numFmtId="0" fontId="13" fillId="2" borderId="2" xfId="0" applyFont="1" applyFill="1" applyBorder="1" applyAlignment="1">
      <alignment vertical="center" wrapText="1"/>
    </xf>
    <xf numFmtId="2" fontId="2" fillId="0" borderId="2" xfId="1" applyNumberFormat="1" applyFont="1" applyFill="1" applyBorder="1" applyAlignment="1">
      <alignment vertical="center" wrapText="1"/>
    </xf>
    <xf numFmtId="2" fontId="2" fillId="0" borderId="2" xfId="0" applyNumberFormat="1" applyFont="1" applyBorder="1" applyAlignment="1">
      <alignment vertical="center" wrapText="1"/>
    </xf>
    <xf numFmtId="2" fontId="6" fillId="0" borderId="2" xfId="0" applyNumberFormat="1" applyFont="1" applyBorder="1" applyAlignment="1">
      <alignment vertical="center"/>
    </xf>
    <xf numFmtId="0" fontId="2" fillId="0" borderId="2" xfId="0" quotePrefix="1" applyFont="1" applyBorder="1" applyAlignment="1">
      <alignment horizontal="right" vertical="center" wrapText="1"/>
    </xf>
    <xf numFmtId="164" fontId="4" fillId="0" borderId="2" xfId="0" applyNumberFormat="1" applyFont="1" applyBorder="1" applyAlignment="1">
      <alignment vertical="center"/>
    </xf>
    <xf numFmtId="0" fontId="8" fillId="0" borderId="1" xfId="0" applyFont="1" applyBorder="1"/>
    <xf numFmtId="0" fontId="8" fillId="0" borderId="1" xfId="0" applyFont="1" applyBorder="1" applyAlignment="1">
      <alignment horizontal="right"/>
    </xf>
    <xf numFmtId="0" fontId="3" fillId="0" borderId="0" xfId="0" applyFont="1" applyAlignment="1">
      <alignment horizontal="center" vertical="center"/>
    </xf>
    <xf numFmtId="0" fontId="5" fillId="0" borderId="0" xfId="0" applyFont="1" applyAlignment="1">
      <alignment horizontal="center" vertical="center"/>
    </xf>
    <xf numFmtId="0" fontId="6" fillId="0" borderId="0" xfId="0" applyFont="1" applyAlignment="1">
      <alignment horizontal="center" vertical="center"/>
    </xf>
    <xf numFmtId="0" fontId="7" fillId="0" borderId="0" xfId="0" applyFont="1" applyAlignment="1">
      <alignment horizontal="center"/>
    </xf>
    <xf numFmtId="0" fontId="8" fillId="0" borderId="0" xfId="0" applyFont="1" applyAlignment="1">
      <alignment horizontal="left"/>
    </xf>
    <xf numFmtId="0" fontId="8" fillId="0" borderId="0" xfId="0" applyFont="1" applyAlignment="1">
      <alignment horizontal="right"/>
    </xf>
    <xf numFmtId="2" fontId="4" fillId="0" borderId="3" xfId="0" applyNumberFormat="1" applyFont="1" applyBorder="1" applyAlignment="1">
      <alignment horizontal="center" vertical="center"/>
    </xf>
    <xf numFmtId="2" fontId="4" fillId="0" borderId="4" xfId="0" applyNumberFormat="1" applyFont="1" applyBorder="1" applyAlignment="1">
      <alignment horizontal="center" vertical="center"/>
    </xf>
    <xf numFmtId="2" fontId="4" fillId="0" borderId="3" xfId="1" applyNumberFormat="1" applyFont="1" applyFill="1" applyBorder="1" applyAlignment="1">
      <alignment horizontal="center" vertical="center"/>
    </xf>
    <xf numFmtId="2" fontId="4" fillId="0" borderId="4" xfId="1" applyNumberFormat="1" applyFont="1" applyFill="1" applyBorder="1" applyAlignment="1">
      <alignment horizontal="center" vertical="center"/>
    </xf>
    <xf numFmtId="2" fontId="4" fillId="0" borderId="2" xfId="0" applyNumberFormat="1" applyFont="1" applyBorder="1" applyAlignment="1">
      <alignment horizontal="center" vertical="center"/>
    </xf>
  </cellXfs>
  <cellStyles count="6">
    <cellStyle name="Comma" xfId="1" builtinId="3"/>
    <cellStyle name="Comma 2" xfId="3" xr:uid="{00000000-0005-0000-0000-000001000000}"/>
    <cellStyle name="Normal" xfId="0" builtinId="0"/>
    <cellStyle name="Normal 2" xfId="2" xr:uid="{00000000-0005-0000-0000-000003000000}"/>
    <cellStyle name="Normal 3" xfId="5" xr:uid="{00000000-0005-0000-0000-000004000000}"/>
    <cellStyle name="Percent 2" xfId="4" xr:uid="{00000000-0005-0000-0000-00000500000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externalLink" Target="externalLinks/externalLink2.xml"/><Relationship Id="rId7" Type="http://schemas.openxmlformats.org/officeDocument/2006/relationships/sharedStrings" Target="sharedStrings.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H:\079-080\Rate%20Analysis\Road-rate-analysis-079-80-shankharapur-as-per-dor-norms-nnnn.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Dell\Desktop\Ward%209\RATE%20ANALYSIS\Road-rate-analysis-078-79-shankharapur.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H:\2082_2083\rate%20analysis\For%20all%20Road-rate%20analysis%2082%2083%20shankharapu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16">
          <cell r="B16" t="str">
            <v>Clearing and Grubbing Road Land ., Clearing and grubbing road land including uprooting rank vegetation, grass, bushes, shrubs, saplings and trees girth up to 300 mm, removal of stumps of trees cut earlier and disposal of unserviceable materials and stacking of serviceable Material to be used or auctioned, up to a lead of 30 meters including removal and disposal of top organic soil not exceeding 150 mm in thickness., By Mechanical Means, In area of light jungle (less than 15 number per 100 sqm )</v>
          </cell>
        </row>
        <row r="22">
          <cell r="B22" t="str">
            <v>Providing and Laying Reinforced cement concrete NP3 Flush jointed pipe for culverts including fixing with cement mortar 1:2 as per Drawing and Technical Specifications., 450 mm  internal dia.</v>
          </cell>
        </row>
        <row r="23">
          <cell r="B23" t="str">
            <v>Providing and Laying Reinforced cement concrete NP3 Flush jointed pipe for culverts including fixing with cement mortar 1:2 as per Drawing and Technical Specifications., 600 mm  internal dia.</v>
          </cell>
        </row>
        <row r="34">
          <cell r="B34" t="str">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ell>
        </row>
        <row r="169">
          <cell r="B169" t="str">
            <v>Providing and laying of Plain/Reinforced Cement Concrete in Foundation complete as per Drawing and Technical Specifications, PCC Grade M 15</v>
          </cell>
        </row>
        <row r="171">
          <cell r="B171" t="str">
            <v>Providing and laying of Plain/Reinforced Cement Concrete in Foundation complete as per Drawing and Technical Specifications, PCC Grade M 20</v>
          </cell>
        </row>
        <row r="278">
          <cell r="B278" t="str">
            <v>Providing and laying Brick Masonry Work in Cement mortar  in Foundation / structure complete excluding Pointing and Plastering, as per Drawing and Technical Specifications., Cement sand mortar (1:6)</v>
          </cell>
        </row>
        <row r="301">
          <cell r="B301" t="str">
            <v>Random Rubble Masonry, Providing and laying of Stone Masonry Work in Cement Mortar 1:6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33">
          <cell r="B33" t="str">
            <v>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40">
          <cell r="B40" t="str">
            <v>Excavation for Structures Foundation, Earth work in excavation of foundation of structures, including  construction of shoring and bracing, removal of stumps and other deleterious matter and backfilling with approved Material as per Drawing and Technical Specifications., Ordinary soil by Mechanical Means, Depth upto 3 m</v>
          </cell>
        </row>
        <row r="300">
          <cell r="B300" t="str">
            <v>Random Rubble Masonry, Providing and laying of Stone Masonry Work in Cement Mortar 1:6 in Foundation complete as per Drawing and Technical Specifications., Using Concrete Mixer</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32"/>
  <sheetViews>
    <sheetView tabSelected="1" workbookViewId="0">
      <selection activeCell="H8" sqref="H8"/>
    </sheetView>
  </sheetViews>
  <sheetFormatPr defaultColWidth="9.140625" defaultRowHeight="15" x14ac:dyDescent="0.25"/>
  <cols>
    <col min="1" max="1" width="4.7109375" customWidth="1"/>
    <col min="2" max="2" width="30.85546875" customWidth="1"/>
    <col min="3" max="3" width="5.28515625" bestFit="1" customWidth="1"/>
    <col min="4" max="4" width="8.42578125" customWidth="1"/>
    <col min="5" max="5" width="8.5703125" customWidth="1"/>
    <col min="6" max="6" width="7.28515625" customWidth="1"/>
    <col min="8" max="8" width="5" bestFit="1" customWidth="1"/>
    <col min="9" max="9" width="9.5703125" customWidth="1"/>
    <col min="10" max="10" width="10.7109375" bestFit="1" customWidth="1"/>
  </cols>
  <sheetData>
    <row r="1" spans="1:11" x14ac:dyDescent="0.25">
      <c r="A1" s="43" t="s">
        <v>0</v>
      </c>
      <c r="B1" s="43"/>
      <c r="C1" s="43"/>
      <c r="D1" s="43"/>
      <c r="E1" s="43"/>
      <c r="F1" s="43"/>
      <c r="G1" s="43"/>
      <c r="H1" s="43"/>
      <c r="I1" s="43"/>
      <c r="J1" s="43"/>
      <c r="K1" s="43"/>
    </row>
    <row r="2" spans="1:11" ht="22.5" x14ac:dyDescent="0.25">
      <c r="A2" s="44" t="s">
        <v>1</v>
      </c>
      <c r="B2" s="44"/>
      <c r="C2" s="44"/>
      <c r="D2" s="44"/>
      <c r="E2" s="44"/>
      <c r="F2" s="44"/>
      <c r="G2" s="44"/>
      <c r="H2" s="44"/>
      <c r="I2" s="44"/>
      <c r="J2" s="44"/>
      <c r="K2" s="44"/>
    </row>
    <row r="3" spans="1:11" x14ac:dyDescent="0.25">
      <c r="A3" s="45" t="s">
        <v>2</v>
      </c>
      <c r="B3" s="45"/>
      <c r="C3" s="45"/>
      <c r="D3" s="45"/>
      <c r="E3" s="45"/>
      <c r="F3" s="45"/>
      <c r="G3" s="45"/>
      <c r="H3" s="45"/>
      <c r="I3" s="45"/>
      <c r="J3" s="45"/>
      <c r="K3" s="45"/>
    </row>
    <row r="4" spans="1:11" x14ac:dyDescent="0.25">
      <c r="A4" s="45" t="s">
        <v>3</v>
      </c>
      <c r="B4" s="45"/>
      <c r="C4" s="45"/>
      <c r="D4" s="45"/>
      <c r="E4" s="45"/>
      <c r="F4" s="45"/>
      <c r="G4" s="45"/>
      <c r="H4" s="45"/>
      <c r="I4" s="45"/>
      <c r="J4" s="45"/>
      <c r="K4" s="45"/>
    </row>
    <row r="5" spans="1:11" ht="18.75" x14ac:dyDescent="0.3">
      <c r="A5" s="46" t="s">
        <v>4</v>
      </c>
      <c r="B5" s="46"/>
      <c r="C5" s="46"/>
      <c r="D5" s="46"/>
      <c r="E5" s="46"/>
      <c r="F5" s="46"/>
      <c r="G5" s="46"/>
      <c r="H5" s="46"/>
      <c r="I5" s="46"/>
      <c r="J5" s="46"/>
      <c r="K5" s="46"/>
    </row>
    <row r="6" spans="1:11" ht="15.75" x14ac:dyDescent="0.25">
      <c r="A6" s="47" t="s">
        <v>42</v>
      </c>
      <c r="B6" s="47"/>
      <c r="C6" s="47"/>
      <c r="D6" s="47"/>
      <c r="E6" s="47"/>
      <c r="F6" s="47"/>
      <c r="G6" s="3"/>
      <c r="H6" s="48" t="s">
        <v>24</v>
      </c>
      <c r="I6" s="48"/>
      <c r="J6" s="48"/>
      <c r="K6" s="48"/>
    </row>
    <row r="7" spans="1:11" ht="15.75" x14ac:dyDescent="0.25">
      <c r="A7" s="41" t="s">
        <v>27</v>
      </c>
      <c r="B7" s="41"/>
      <c r="C7" s="41"/>
      <c r="D7" s="41"/>
      <c r="E7" s="41"/>
      <c r="F7" s="41"/>
      <c r="G7" s="4"/>
      <c r="H7" s="42" t="s">
        <v>43</v>
      </c>
      <c r="I7" s="42"/>
      <c r="J7" s="42"/>
      <c r="K7" s="42"/>
    </row>
    <row r="8" spans="1:11" s="9" customFormat="1" ht="15.75" x14ac:dyDescent="0.25">
      <c r="A8" s="5" t="s">
        <v>5</v>
      </c>
      <c r="B8" s="6" t="s">
        <v>6</v>
      </c>
      <c r="C8" s="5" t="s">
        <v>7</v>
      </c>
      <c r="D8" s="7" t="s">
        <v>8</v>
      </c>
      <c r="E8" s="7" t="s">
        <v>9</v>
      </c>
      <c r="F8" s="7" t="s">
        <v>10</v>
      </c>
      <c r="G8" s="7" t="s">
        <v>11</v>
      </c>
      <c r="H8" s="5" t="s">
        <v>12</v>
      </c>
      <c r="I8" s="7" t="s">
        <v>13</v>
      </c>
      <c r="J8" s="7" t="s">
        <v>14</v>
      </c>
      <c r="K8" s="8" t="s">
        <v>15</v>
      </c>
    </row>
    <row r="9" spans="1:11" s="10" customFormat="1" ht="45" x14ac:dyDescent="0.25">
      <c r="A9" s="11">
        <v>1</v>
      </c>
      <c r="B9" s="35" t="s">
        <v>29</v>
      </c>
      <c r="C9" s="12" t="s">
        <v>7</v>
      </c>
      <c r="D9" s="36" t="s">
        <v>26</v>
      </c>
      <c r="E9" s="37" t="s">
        <v>30</v>
      </c>
      <c r="F9" s="37" t="s">
        <v>31</v>
      </c>
      <c r="G9" s="37"/>
      <c r="H9" s="14"/>
      <c r="I9" s="2"/>
      <c r="J9" s="38"/>
      <c r="K9" s="13"/>
    </row>
    <row r="10" spans="1:11" s="10" customFormat="1" ht="30" x14ac:dyDescent="0.25">
      <c r="A10" s="16"/>
      <c r="B10" s="39" t="s">
        <v>41</v>
      </c>
      <c r="C10" s="40">
        <v>4</v>
      </c>
      <c r="D10" s="29">
        <f>(14)/3.281</f>
        <v>4.2669917708015843</v>
      </c>
      <c r="E10" s="29">
        <v>1.83</v>
      </c>
      <c r="F10" s="29">
        <f t="shared" ref="F10" si="0">PRODUCT(C10:E10)</f>
        <v>31.234379762267597</v>
      </c>
      <c r="G10" s="29">
        <f t="shared" ref="G10" si="1">F10</f>
        <v>31.234379762267597</v>
      </c>
      <c r="H10" s="38"/>
      <c r="I10" s="38"/>
      <c r="J10" s="38"/>
      <c r="K10" s="28"/>
    </row>
    <row r="11" spans="1:11" s="10" customFormat="1" x14ac:dyDescent="0.25">
      <c r="A11" s="16"/>
      <c r="B11" s="39"/>
      <c r="C11" s="40">
        <v>4</v>
      </c>
      <c r="D11" s="29">
        <f>(14)/3.281</f>
        <v>4.2669917708015843</v>
      </c>
      <c r="E11" s="29">
        <v>1.83</v>
      </c>
      <c r="F11" s="29">
        <f t="shared" ref="F11" si="2">PRODUCT(C11:E11)</f>
        <v>31.234379762267597</v>
      </c>
      <c r="G11" s="29">
        <f t="shared" ref="G11" si="3">F11</f>
        <v>31.234379762267597</v>
      </c>
      <c r="H11" s="38"/>
      <c r="I11" s="38"/>
      <c r="J11" s="38"/>
      <c r="K11" s="28"/>
    </row>
    <row r="12" spans="1:11" s="10" customFormat="1" x14ac:dyDescent="0.25">
      <c r="A12" s="11"/>
      <c r="B12" s="39" t="s">
        <v>32</v>
      </c>
      <c r="C12" s="12"/>
      <c r="D12" s="1"/>
      <c r="E12" s="13"/>
      <c r="F12" s="13"/>
      <c r="G12" s="38">
        <f>SUM(G10:G11)</f>
        <v>62.468759524535194</v>
      </c>
      <c r="H12" s="14" t="s">
        <v>33</v>
      </c>
      <c r="I12" s="2">
        <v>182.51</v>
      </c>
      <c r="J12" s="38">
        <f>G12*I12</f>
        <v>11401.173300822918</v>
      </c>
      <c r="K12" s="13"/>
    </row>
    <row r="13" spans="1:11" s="10" customFormat="1" x14ac:dyDescent="0.25">
      <c r="A13" s="11"/>
      <c r="B13" s="39" t="s">
        <v>34</v>
      </c>
      <c r="C13" s="12"/>
      <c r="D13" s="1"/>
      <c r="E13" s="13"/>
      <c r="F13" s="13"/>
      <c r="G13" s="38"/>
      <c r="H13" s="14"/>
      <c r="I13" s="2"/>
      <c r="J13" s="38">
        <f>0.13*G12*(1871.42/18.94)</f>
        <v>802.41220556614235</v>
      </c>
      <c r="K13" s="13"/>
    </row>
    <row r="14" spans="1:11" s="10" customFormat="1" x14ac:dyDescent="0.25">
      <c r="A14" s="11"/>
      <c r="B14" s="39"/>
      <c r="C14" s="12"/>
      <c r="D14" s="1"/>
      <c r="E14" s="13"/>
      <c r="F14" s="13"/>
      <c r="G14" s="38"/>
      <c r="H14" s="14"/>
      <c r="I14" s="2"/>
      <c r="J14" s="38"/>
      <c r="K14" s="13"/>
    </row>
    <row r="15" spans="1:11" s="10" customFormat="1" ht="30" x14ac:dyDescent="0.25">
      <c r="A15" s="11">
        <v>2</v>
      </c>
      <c r="B15" s="35" t="s">
        <v>35</v>
      </c>
      <c r="C15" s="12"/>
      <c r="D15" s="1"/>
      <c r="E15" s="13"/>
      <c r="F15" s="13"/>
      <c r="G15" s="38"/>
      <c r="H15" s="14"/>
      <c r="I15" s="2"/>
      <c r="J15" s="38"/>
      <c r="K15" s="13"/>
    </row>
    <row r="16" spans="1:11" s="10" customFormat="1" x14ac:dyDescent="0.25">
      <c r="A16" s="11"/>
      <c r="B16" s="39" t="s">
        <v>36</v>
      </c>
      <c r="C16" s="12">
        <v>1</v>
      </c>
      <c r="D16" s="1">
        <f>14/3.281</f>
        <v>4.2669917708015843</v>
      </c>
      <c r="E16" s="13">
        <f>14/3.281</f>
        <v>4.2669917708015843</v>
      </c>
      <c r="F16" s="13"/>
      <c r="G16" s="19">
        <f t="shared" ref="G16" si="4">PRODUCT(C16:F16)</f>
        <v>18.207218772088439</v>
      </c>
      <c r="H16" s="14"/>
      <c r="I16" s="2"/>
      <c r="J16" s="38"/>
      <c r="K16" s="13"/>
    </row>
    <row r="17" spans="1:11" s="10" customFormat="1" x14ac:dyDescent="0.25">
      <c r="A17" s="11"/>
      <c r="B17" s="39" t="s">
        <v>32</v>
      </c>
      <c r="C17" s="12"/>
      <c r="D17" s="1"/>
      <c r="E17" s="13"/>
      <c r="F17" s="13"/>
      <c r="G17" s="38">
        <f>SUM(G16:G16)</f>
        <v>18.207218772088439</v>
      </c>
      <c r="H17" s="14" t="s">
        <v>28</v>
      </c>
      <c r="I17" s="2">
        <v>1112.58</v>
      </c>
      <c r="J17" s="38">
        <f>G17*I17</f>
        <v>20256.987461450153</v>
      </c>
      <c r="K17" s="13"/>
    </row>
    <row r="18" spans="1:11" s="9" customFormat="1" x14ac:dyDescent="0.25">
      <c r="A18" s="16"/>
      <c r="B18" s="17" t="s">
        <v>37</v>
      </c>
      <c r="C18" s="18"/>
      <c r="D18" s="18"/>
      <c r="E18" s="18"/>
      <c r="F18" s="18"/>
      <c r="G18" s="18"/>
      <c r="H18" s="18"/>
      <c r="I18" s="18"/>
      <c r="J18" s="15">
        <f>0.13*G17*7050.67/10</f>
        <v>1668.8501853374105</v>
      </c>
      <c r="K18" s="18"/>
    </row>
    <row r="19" spans="1:11" s="9" customFormat="1" x14ac:dyDescent="0.25">
      <c r="A19" s="16"/>
      <c r="B19" s="17" t="s">
        <v>38</v>
      </c>
      <c r="C19" s="18"/>
      <c r="D19" s="18"/>
      <c r="E19" s="18"/>
      <c r="F19" s="18"/>
      <c r="G19" s="18"/>
      <c r="H19" s="18"/>
      <c r="I19" s="18"/>
      <c r="J19" s="15">
        <f>0.13*G17*1023.75/10</f>
        <v>242.31532283303204</v>
      </c>
      <c r="K19" s="18"/>
    </row>
    <row r="20" spans="1:11" s="9" customFormat="1" x14ac:dyDescent="0.25">
      <c r="A20" s="16"/>
      <c r="B20" s="17" t="s">
        <v>39</v>
      </c>
      <c r="C20" s="18"/>
      <c r="D20" s="18"/>
      <c r="E20" s="18"/>
      <c r="F20" s="18"/>
      <c r="G20" s="18"/>
      <c r="H20" s="18"/>
      <c r="I20" s="18"/>
      <c r="J20" s="15">
        <f>0.13*G17*348.21/10</f>
        <v>82.419163432175907</v>
      </c>
      <c r="K20" s="18"/>
    </row>
    <row r="21" spans="1:11" s="9" customFormat="1" x14ac:dyDescent="0.25">
      <c r="A21" s="16"/>
      <c r="B21" s="17" t="s">
        <v>40</v>
      </c>
      <c r="C21" s="18"/>
      <c r="D21" s="18"/>
      <c r="E21" s="18"/>
      <c r="F21" s="18"/>
      <c r="G21" s="18"/>
      <c r="H21" s="18"/>
      <c r="I21" s="18"/>
      <c r="J21" s="15">
        <f>0.13*G17*165/10</f>
        <v>39.054484266129705</v>
      </c>
      <c r="K21" s="18"/>
    </row>
    <row r="22" spans="1:11" s="9" customFormat="1" x14ac:dyDescent="0.25">
      <c r="A22" s="16"/>
      <c r="B22" s="17"/>
      <c r="C22" s="18"/>
      <c r="D22" s="18"/>
      <c r="E22" s="18"/>
      <c r="F22" s="18"/>
      <c r="G22" s="18"/>
      <c r="H22" s="18"/>
      <c r="I22" s="18"/>
      <c r="J22" s="15"/>
      <c r="K22" s="18"/>
    </row>
    <row r="23" spans="1:11" s="9" customFormat="1" ht="15" customHeight="1" x14ac:dyDescent="0.25">
      <c r="A23" s="11">
        <v>3</v>
      </c>
      <c r="B23" s="20" t="s">
        <v>16</v>
      </c>
      <c r="C23" s="12">
        <v>1</v>
      </c>
      <c r="D23" s="1"/>
      <c r="E23" s="13"/>
      <c r="F23" s="13"/>
      <c r="G23" s="14">
        <f t="shared" ref="G23" si="5">PRODUCT(C23:F23)</f>
        <v>1</v>
      </c>
      <c r="H23" s="14" t="s">
        <v>17</v>
      </c>
      <c r="I23" s="2">
        <v>500</v>
      </c>
      <c r="J23" s="14">
        <f>G23*I23</f>
        <v>500</v>
      </c>
      <c r="K23" s="13"/>
    </row>
    <row r="24" spans="1:11" s="9" customFormat="1" x14ac:dyDescent="0.25">
      <c r="A24" s="11"/>
      <c r="B24" s="21"/>
      <c r="C24" s="12"/>
      <c r="D24" s="1"/>
      <c r="E24" s="13"/>
      <c r="F24" s="13"/>
      <c r="G24" s="2"/>
      <c r="H24" s="14"/>
      <c r="I24" s="2"/>
      <c r="J24" s="15"/>
      <c r="K24" s="13"/>
    </row>
    <row r="25" spans="1:11" s="9" customFormat="1" x14ac:dyDescent="0.25">
      <c r="A25" s="22"/>
      <c r="B25" s="23" t="s">
        <v>19</v>
      </c>
      <c r="C25" s="24"/>
      <c r="D25" s="25"/>
      <c r="E25" s="25"/>
      <c r="F25" s="25"/>
      <c r="G25" s="15"/>
      <c r="H25" s="15"/>
      <c r="I25" s="15"/>
      <c r="J25" s="15">
        <f>SUM(J10:J23)</f>
        <v>34993.21212370797</v>
      </c>
      <c r="K25" s="26"/>
    </row>
    <row r="26" spans="1:11" s="9" customFormat="1" x14ac:dyDescent="0.25"/>
    <row r="27" spans="1:11" s="34" customFormat="1" x14ac:dyDescent="0.25">
      <c r="A27" s="27"/>
      <c r="B27" s="28" t="s">
        <v>18</v>
      </c>
      <c r="C27" s="49">
        <f>J25</f>
        <v>34993.21212370797</v>
      </c>
      <c r="D27" s="50"/>
      <c r="E27" s="29">
        <v>100</v>
      </c>
      <c r="F27" s="27"/>
      <c r="G27" s="30"/>
      <c r="H27" s="27"/>
      <c r="I27" s="31"/>
      <c r="J27" s="32"/>
      <c r="K27" s="33"/>
    </row>
    <row r="28" spans="1:11" s="9" customFormat="1" x14ac:dyDescent="0.25">
      <c r="B28" s="28" t="s">
        <v>20</v>
      </c>
      <c r="C28" s="51">
        <v>30000</v>
      </c>
      <c r="D28" s="52"/>
      <c r="E28" s="29"/>
    </row>
    <row r="29" spans="1:11" s="9" customFormat="1" x14ac:dyDescent="0.25">
      <c r="B29" s="28" t="s">
        <v>21</v>
      </c>
      <c r="C29" s="51">
        <f>C28-C31-C32</f>
        <v>28500</v>
      </c>
      <c r="D29" s="52"/>
      <c r="E29" s="29">
        <f>C29/C27*100</f>
        <v>81.444366693880028</v>
      </c>
    </row>
    <row r="30" spans="1:11" s="9" customFormat="1" x14ac:dyDescent="0.25">
      <c r="B30" s="28" t="s">
        <v>25</v>
      </c>
      <c r="C30" s="53">
        <f>C27-C29</f>
        <v>6493.21212370797</v>
      </c>
      <c r="D30" s="53"/>
      <c r="E30" s="29">
        <f>100-E29</f>
        <v>18.555633306119972</v>
      </c>
    </row>
    <row r="31" spans="1:11" s="9" customFormat="1" x14ac:dyDescent="0.25">
      <c r="B31" s="28" t="s">
        <v>22</v>
      </c>
      <c r="C31" s="49">
        <f>C28*0.03</f>
        <v>900</v>
      </c>
      <c r="D31" s="50"/>
      <c r="E31" s="29">
        <v>3</v>
      </c>
    </row>
    <row r="32" spans="1:11" s="9" customFormat="1" x14ac:dyDescent="0.25">
      <c r="B32" s="28" t="s">
        <v>23</v>
      </c>
      <c r="C32" s="49">
        <f>C28*0.02</f>
        <v>600</v>
      </c>
      <c r="D32" s="50"/>
      <c r="E32" s="29">
        <v>2</v>
      </c>
    </row>
  </sheetData>
  <mergeCells count="15">
    <mergeCell ref="C32:D32"/>
    <mergeCell ref="C27:D27"/>
    <mergeCell ref="C28:D28"/>
    <mergeCell ref="C29:D29"/>
    <mergeCell ref="C30:D30"/>
    <mergeCell ref="C31:D31"/>
    <mergeCell ref="A7:F7"/>
    <mergeCell ref="H7:K7"/>
    <mergeCell ref="A1:K1"/>
    <mergeCell ref="A2:K2"/>
    <mergeCell ref="A3:K3"/>
    <mergeCell ref="A4:K4"/>
    <mergeCell ref="A5:K5"/>
    <mergeCell ref="A6:F6"/>
    <mergeCell ref="H6:K6"/>
  </mergeCells>
  <pageMargins left="0.7" right="0.7" top="0.75" bottom="0.75" header="0.3" footer="0.3"/>
  <pageSetup scale="80"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estimate</vt:lpstr>
      <vt:lpstr>estimate!Print_Area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2026-03-10T08:58:15Z</dcterms:modified>
</cp:coreProperties>
</file>