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B107F568-A3FD-4D43-A1A1-1A11FC206CFE}" xr6:coauthVersionLast="47" xr6:coauthVersionMax="47" xr10:uidLastSave="{00000000-0000-0000-0000-000000000000}"/>
  <bookViews>
    <workbookView xWindow="-120" yWindow="-120" windowWidth="20730" windowHeight="11040" xr2:uid="{00000000-000D-0000-FFFF-FFFF00000000}"/>
  </bookViews>
  <sheets>
    <sheet name="estimat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3" l="1"/>
  <c r="D12" i="13"/>
  <c r="D11" i="13"/>
  <c r="E17" i="13"/>
  <c r="D17" i="13"/>
  <c r="F12" i="13" l="1"/>
  <c r="G12" i="13" s="1"/>
  <c r="F11" i="13"/>
  <c r="G11" i="13" s="1"/>
  <c r="G17" i="13"/>
  <c r="G18" i="13" s="1"/>
  <c r="F10" i="13"/>
  <c r="G10" i="13" s="1"/>
  <c r="J22" i="13" l="1"/>
  <c r="J21" i="13"/>
  <c r="J20" i="13"/>
  <c r="J19" i="13"/>
  <c r="G13" i="13"/>
  <c r="J14" i="13" s="1"/>
  <c r="J13" i="13" l="1"/>
  <c r="J18" i="13"/>
  <c r="C33" i="13" l="1"/>
  <c r="C32" i="13"/>
  <c r="G24" i="13"/>
  <c r="J24" i="13" s="1"/>
  <c r="C30" i="13" l="1"/>
  <c r="J26" i="13" l="1"/>
  <c r="C28" i="13" s="1"/>
  <c r="C31" i="13" s="1"/>
  <c r="E30" i="13" l="1"/>
  <c r="E31" i="13" s="1"/>
</calcChain>
</file>

<file path=xl/sharedStrings.xml><?xml version="1.0" encoding="utf-8"?>
<sst xmlns="http://schemas.openxmlformats.org/spreadsheetml/2006/main" count="47" uniqueCount="45">
  <si>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</si>
  <si>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</si>
  <si>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</si>
  <si>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</si>
  <si>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</si>
  <si>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</si>
  <si>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</si>
  <si>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</si>
  <si>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</si>
  <si>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</si>
  <si>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</si>
  <si>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</si>
  <si>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</si>
  <si>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</si>
  <si>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</si>
  <si>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</si>
  <si>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</si>
  <si>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</si>
  <si>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</si>
  <si>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</si>
  <si>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</si>
  <si>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</si>
  <si>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</si>
  <si>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</si>
  <si>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</si>
  <si>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</si>
  <si>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</si>
  <si>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Location:- Shankharapur Municipality 1</t>
  </si>
  <si>
    <t>sqm</t>
  </si>
  <si>
    <t>sfnf] kmnfd] kfO{ksf] 6«; agfO{ h8fg ug]{ sfd</t>
  </si>
  <si>
    <t>Unit length (Kg/m)</t>
  </si>
  <si>
    <t>Total Weight (kg)</t>
  </si>
  <si>
    <t>sub-total</t>
  </si>
  <si>
    <t>Kg</t>
  </si>
  <si>
    <t>-VAT 13% for materials</t>
  </si>
  <si>
    <t>)=$! dL=dL=afSnf] sf]?u]6]8 /+lug ss{6 kftfsf] 5fgf 5fpg] sfd</t>
  </si>
  <si>
    <t>-truss 1</t>
  </si>
  <si>
    <t>-13% VAT for sheet</t>
  </si>
  <si>
    <t>-13% VAT for nut bolt</t>
  </si>
  <si>
    <t>-13% VAT for j-hook</t>
  </si>
  <si>
    <t>-13% VAT for bitumen washer</t>
  </si>
  <si>
    <t>-MS square pipe of size 1.5"*1.5" and 1.6mm thickness for purlins</t>
  </si>
  <si>
    <t>-MS square pipe of size 2"*2" and 1.6mm thickness for inclined member</t>
  </si>
  <si>
    <t xml:space="preserve">Date:2082          </t>
  </si>
  <si>
    <r>
      <t>Project:-</t>
    </r>
    <r>
      <rPr>
        <sz val="12"/>
        <rFont val="Preeti"/>
      </rPr>
      <t xml:space="preserve"> vfg]kfgL 6\ofÍL dfly h:tf 5fpg]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</si>
</sst>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4">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0" fillId="0" borderId="0" xfId="0" applyAlignment="1">
      <alignment vertical="center"/>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13"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4" fillId="0" borderId="2" xfId="0" applyNumberFormat="1" applyFont="1" applyBorder="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tabSelected="1" workbookViewId="0">
      <selection activeCell="J10" sqref="J10"/>
    </sheetView>
  </sheetViews>
  <sheetFormatPr defaultColWidth="9.140625" defaultRowHeight="15" x14ac:dyDescent="0.25"/>
  <cols>
    <col min="1" max="1" width="4.7109375" customWidth="1"/>
    <col min="2" max="2" width="30.85546875" customWidth="1"/>
    <col min="3" max="3" width="5.285156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1" x14ac:dyDescent="0.25">
      <c r="A1" s="48" t="s">
        <v>0</v>
      </c>
      <c r="B1" s="48"/>
      <c r="C1" s="48"/>
      <c r="D1" s="48"/>
      <c r="E1" s="48"/>
      <c r="F1" s="48"/>
      <c r="G1" s="48"/>
      <c r="H1" s="48"/>
      <c r="I1" s="48"/>
      <c r="J1" s="48"/>
      <c r="K1" s="48"/>
    </row>
    <row r="2" spans="1:11" ht="22.5" x14ac:dyDescent="0.25">
      <c r="A2" s="49" t="s">
        <v>1</v>
      </c>
      <c r="B2" s="49"/>
      <c r="C2" s="49"/>
      <c r="D2" s="49"/>
      <c r="E2" s="49"/>
      <c r="F2" s="49"/>
      <c r="G2" s="49"/>
      <c r="H2" s="49"/>
      <c r="I2" s="49"/>
      <c r="J2" s="49"/>
      <c r="K2" s="49"/>
    </row>
    <row r="3" spans="1:11" x14ac:dyDescent="0.25">
      <c r="A3" s="50" t="s">
        <v>2</v>
      </c>
      <c r="B3" s="50"/>
      <c r="C3" s="50"/>
      <c r="D3" s="50"/>
      <c r="E3" s="50"/>
      <c r="F3" s="50"/>
      <c r="G3" s="50"/>
      <c r="H3" s="50"/>
      <c r="I3" s="50"/>
      <c r="J3" s="50"/>
      <c r="K3" s="50"/>
    </row>
    <row r="4" spans="1:11" x14ac:dyDescent="0.25">
      <c r="A4" s="50" t="s">
        <v>3</v>
      </c>
      <c r="B4" s="50"/>
      <c r="C4" s="50"/>
      <c r="D4" s="50"/>
      <c r="E4" s="50"/>
      <c r="F4" s="50"/>
      <c r="G4" s="50"/>
      <c r="H4" s="50"/>
      <c r="I4" s="50"/>
      <c r="J4" s="50"/>
      <c r="K4" s="50"/>
    </row>
    <row r="5" spans="1:11" ht="18.75" x14ac:dyDescent="0.3">
      <c r="A5" s="51" t="s">
        <v>4</v>
      </c>
      <c r="B5" s="51"/>
      <c r="C5" s="51"/>
      <c r="D5" s="51"/>
      <c r="E5" s="51"/>
      <c r="F5" s="51"/>
      <c r="G5" s="51"/>
      <c r="H5" s="51"/>
      <c r="I5" s="51"/>
      <c r="J5" s="51"/>
      <c r="K5" s="51"/>
    </row>
    <row r="6" spans="1:11" ht="15.75" x14ac:dyDescent="0.25">
      <c r="A6" s="52" t="s">
        <v>44</v>
      </c>
      <c r="B6" s="52"/>
      <c r="C6" s="52"/>
      <c r="D6" s="52"/>
      <c r="E6" s="52"/>
      <c r="F6" s="52"/>
      <c r="G6" s="3"/>
      <c r="H6" s="53" t="s">
        <v>24</v>
      </c>
      <c r="I6" s="53"/>
      <c r="J6" s="53"/>
      <c r="K6" s="53"/>
    </row>
    <row r="7" spans="1:11" ht="15.75" x14ac:dyDescent="0.25">
      <c r="A7" s="46" t="s">
        <v>27</v>
      </c>
      <c r="B7" s="46"/>
      <c r="C7" s="46"/>
      <c r="D7" s="46"/>
      <c r="E7" s="46"/>
      <c r="F7" s="46"/>
      <c r="G7" s="4"/>
      <c r="H7" s="47" t="s">
        <v>43</v>
      </c>
      <c r="I7" s="47"/>
      <c r="J7" s="47"/>
      <c r="K7" s="47"/>
    </row>
    <row r="8" spans="1:11" s="9" customFormat="1" ht="15.75" x14ac:dyDescent="0.25">
      <c r="A8" s="5" t="s">
        <v>5</v>
      </c>
      <c r="B8" s="6" t="s">
        <v>6</v>
      </c>
      <c r="C8" s="5" t="s">
        <v>7</v>
      </c>
      <c r="D8" s="7" t="s">
        <v>8</v>
      </c>
      <c r="E8" s="7" t="s">
        <v>9</v>
      </c>
      <c r="F8" s="7" t="s">
        <v>10</v>
      </c>
      <c r="G8" s="7" t="s">
        <v>11</v>
      </c>
      <c r="H8" s="5" t="s">
        <v>12</v>
      </c>
      <c r="I8" s="7" t="s">
        <v>13</v>
      </c>
      <c r="J8" s="7" t="s">
        <v>14</v>
      </c>
      <c r="K8" s="8" t="s">
        <v>15</v>
      </c>
    </row>
    <row r="9" spans="1:11" s="10" customFormat="1" ht="45" x14ac:dyDescent="0.25">
      <c r="A9" s="11">
        <v>1</v>
      </c>
      <c r="B9" s="35" t="s">
        <v>29</v>
      </c>
      <c r="C9" s="12" t="s">
        <v>7</v>
      </c>
      <c r="D9" s="36" t="s">
        <v>26</v>
      </c>
      <c r="E9" s="37" t="s">
        <v>30</v>
      </c>
      <c r="F9" s="37" t="s">
        <v>31</v>
      </c>
      <c r="G9" s="37"/>
      <c r="H9" s="14"/>
      <c r="I9" s="2"/>
      <c r="J9" s="38"/>
      <c r="K9" s="13"/>
    </row>
    <row r="10" spans="1:11" s="10" customFormat="1" ht="45" x14ac:dyDescent="0.25">
      <c r="A10" s="16"/>
      <c r="B10" s="39" t="s">
        <v>42</v>
      </c>
      <c r="C10" s="40">
        <v>6</v>
      </c>
      <c r="D10" s="29">
        <f>7/3.281</f>
        <v>2.1334958854007922</v>
      </c>
      <c r="E10" s="29">
        <v>2.4300000000000002</v>
      </c>
      <c r="F10" s="29">
        <f t="shared" ref="F10" si="0">PRODUCT(C10:E10)</f>
        <v>31.10637000914355</v>
      </c>
      <c r="G10" s="29">
        <f t="shared" ref="G10" si="1">F10</f>
        <v>31.10637000914355</v>
      </c>
      <c r="H10" s="38"/>
      <c r="I10" s="38"/>
      <c r="J10" s="38"/>
      <c r="K10" s="28"/>
    </row>
    <row r="11" spans="1:11" s="10" customFormat="1" ht="30" x14ac:dyDescent="0.25">
      <c r="A11" s="16"/>
      <c r="B11" s="39" t="s">
        <v>41</v>
      </c>
      <c r="C11" s="40">
        <v>4</v>
      </c>
      <c r="D11" s="29">
        <f>(14)/3.281</f>
        <v>4.2669917708015843</v>
      </c>
      <c r="E11" s="29">
        <v>1.83</v>
      </c>
      <c r="F11" s="29">
        <f t="shared" ref="F11" si="2">PRODUCT(C11:E11)</f>
        <v>31.234379762267597</v>
      </c>
      <c r="G11" s="29">
        <f t="shared" ref="G11" si="3">F11</f>
        <v>31.234379762267597</v>
      </c>
      <c r="H11" s="38"/>
      <c r="I11" s="38"/>
      <c r="J11" s="38"/>
      <c r="K11" s="28"/>
    </row>
    <row r="12" spans="1:11" s="10" customFormat="1" x14ac:dyDescent="0.25">
      <c r="A12" s="16"/>
      <c r="B12" s="39"/>
      <c r="C12" s="40">
        <v>4</v>
      </c>
      <c r="D12" s="29">
        <f>(14)/3.281</f>
        <v>4.2669917708015843</v>
      </c>
      <c r="E12" s="29">
        <v>1.83</v>
      </c>
      <c r="F12" s="29">
        <f t="shared" ref="F12" si="4">PRODUCT(C12:E12)</f>
        <v>31.234379762267597</v>
      </c>
      <c r="G12" s="29">
        <f t="shared" ref="G12" si="5">F12</f>
        <v>31.234379762267597</v>
      </c>
      <c r="H12" s="38"/>
      <c r="I12" s="38"/>
      <c r="J12" s="38"/>
      <c r="K12" s="28"/>
    </row>
    <row r="13" spans="1:11" s="10" customFormat="1" x14ac:dyDescent="0.25">
      <c r="A13" s="11"/>
      <c r="B13" s="39" t="s">
        <v>32</v>
      </c>
      <c r="C13" s="12"/>
      <c r="D13" s="1"/>
      <c r="E13" s="13"/>
      <c r="F13" s="13"/>
      <c r="G13" s="38">
        <f>SUM(G11:G12)</f>
        <v>62.468759524535194</v>
      </c>
      <c r="H13" s="14" t="s">
        <v>33</v>
      </c>
      <c r="I13" s="2">
        <v>182.51</v>
      </c>
      <c r="J13" s="38">
        <f>G13*I13</f>
        <v>11401.173300822918</v>
      </c>
      <c r="K13" s="13"/>
    </row>
    <row r="14" spans="1:11" s="10" customFormat="1" x14ac:dyDescent="0.25">
      <c r="A14" s="11"/>
      <c r="B14" s="39" t="s">
        <v>34</v>
      </c>
      <c r="C14" s="12"/>
      <c r="D14" s="1"/>
      <c r="E14" s="13"/>
      <c r="F14" s="13"/>
      <c r="G14" s="38"/>
      <c r="H14" s="14"/>
      <c r="I14" s="2"/>
      <c r="J14" s="38">
        <f>0.13*G13*(1871.42/18.94)</f>
        <v>802.41220556614235</v>
      </c>
      <c r="K14" s="13"/>
    </row>
    <row r="15" spans="1:11" s="10" customFormat="1" x14ac:dyDescent="0.25">
      <c r="A15" s="11"/>
      <c r="B15" s="39"/>
      <c r="C15" s="12"/>
      <c r="D15" s="1"/>
      <c r="E15" s="13"/>
      <c r="F15" s="13"/>
      <c r="G15" s="38"/>
      <c r="H15" s="14"/>
      <c r="I15" s="2"/>
      <c r="J15" s="38"/>
      <c r="K15" s="13"/>
    </row>
    <row r="16" spans="1:11" s="10" customFormat="1" ht="30" x14ac:dyDescent="0.25">
      <c r="A16" s="11">
        <v>2</v>
      </c>
      <c r="B16" s="35" t="s">
        <v>35</v>
      </c>
      <c r="C16" s="12"/>
      <c r="D16" s="1"/>
      <c r="E16" s="13"/>
      <c r="F16" s="13"/>
      <c r="G16" s="38"/>
      <c r="H16" s="14"/>
      <c r="I16" s="2"/>
      <c r="J16" s="38"/>
      <c r="K16" s="13"/>
    </row>
    <row r="17" spans="1:11" s="10" customFormat="1" x14ac:dyDescent="0.25">
      <c r="A17" s="11"/>
      <c r="B17" s="39" t="s">
        <v>36</v>
      </c>
      <c r="C17" s="12">
        <v>1</v>
      </c>
      <c r="D17" s="1">
        <f>14/3.281</f>
        <v>4.2669917708015843</v>
      </c>
      <c r="E17" s="13">
        <f>14/3.281</f>
        <v>4.2669917708015843</v>
      </c>
      <c r="F17" s="13"/>
      <c r="G17" s="19">
        <f t="shared" ref="G17" si="6">PRODUCT(C17:F17)</f>
        <v>18.207218772088439</v>
      </c>
      <c r="H17" s="14"/>
      <c r="I17" s="2"/>
      <c r="J17" s="38"/>
      <c r="K17" s="13"/>
    </row>
    <row r="18" spans="1:11" s="10" customFormat="1" x14ac:dyDescent="0.25">
      <c r="A18" s="11"/>
      <c r="B18" s="39" t="s">
        <v>32</v>
      </c>
      <c r="C18" s="12"/>
      <c r="D18" s="1"/>
      <c r="E18" s="13"/>
      <c r="F18" s="13"/>
      <c r="G18" s="38">
        <f>SUM(G17:G17)</f>
        <v>18.207218772088439</v>
      </c>
      <c r="H18" s="14" t="s">
        <v>28</v>
      </c>
      <c r="I18" s="2">
        <v>1112.58</v>
      </c>
      <c r="J18" s="38">
        <f>G18*I18</f>
        <v>20256.987461450153</v>
      </c>
      <c r="K18" s="13"/>
    </row>
    <row r="19" spans="1:11" s="9" customFormat="1" x14ac:dyDescent="0.25">
      <c r="A19" s="16"/>
      <c r="B19" s="17" t="s">
        <v>37</v>
      </c>
      <c r="C19" s="18"/>
      <c r="D19" s="18"/>
      <c r="E19" s="18"/>
      <c r="F19" s="18"/>
      <c r="G19" s="18"/>
      <c r="H19" s="18"/>
      <c r="I19" s="18"/>
      <c r="J19" s="15">
        <f>0.13*G18*7050.67/10</f>
        <v>1668.8501853374105</v>
      </c>
      <c r="K19" s="18"/>
    </row>
    <row r="20" spans="1:11" s="9" customFormat="1" x14ac:dyDescent="0.25">
      <c r="A20" s="16"/>
      <c r="B20" s="17" t="s">
        <v>38</v>
      </c>
      <c r="C20" s="18"/>
      <c r="D20" s="18"/>
      <c r="E20" s="18"/>
      <c r="F20" s="18"/>
      <c r="G20" s="18"/>
      <c r="H20" s="18"/>
      <c r="I20" s="18"/>
      <c r="J20" s="15">
        <f>0.13*G18*1023.75/10</f>
        <v>242.31532283303204</v>
      </c>
      <c r="K20" s="18"/>
    </row>
    <row r="21" spans="1:11" s="9" customFormat="1" x14ac:dyDescent="0.25">
      <c r="A21" s="16"/>
      <c r="B21" s="17" t="s">
        <v>39</v>
      </c>
      <c r="C21" s="18"/>
      <c r="D21" s="18"/>
      <c r="E21" s="18"/>
      <c r="F21" s="18"/>
      <c r="G21" s="18"/>
      <c r="H21" s="18"/>
      <c r="I21" s="18"/>
      <c r="J21" s="15">
        <f>0.13*G18*348.21/10</f>
        <v>82.419163432175907</v>
      </c>
      <c r="K21" s="18"/>
    </row>
    <row r="22" spans="1:11" s="9" customFormat="1" x14ac:dyDescent="0.25">
      <c r="A22" s="16"/>
      <c r="B22" s="17" t="s">
        <v>40</v>
      </c>
      <c r="C22" s="18"/>
      <c r="D22" s="18"/>
      <c r="E22" s="18"/>
      <c r="F22" s="18"/>
      <c r="G22" s="18"/>
      <c r="H22" s="18"/>
      <c r="I22" s="18"/>
      <c r="J22" s="15">
        <f>0.13*G18*165/10</f>
        <v>39.054484266129705</v>
      </c>
      <c r="K22" s="18"/>
    </row>
    <row r="23" spans="1:11" s="9" customFormat="1" x14ac:dyDescent="0.25">
      <c r="A23" s="16"/>
      <c r="B23" s="17"/>
      <c r="C23" s="18"/>
      <c r="D23" s="18"/>
      <c r="E23" s="18"/>
      <c r="F23" s="18"/>
      <c r="G23" s="18"/>
      <c r="H23" s="18"/>
      <c r="I23" s="18"/>
      <c r="J23" s="15"/>
      <c r="K23" s="18"/>
    </row>
    <row r="24" spans="1:11" s="9" customFormat="1" ht="15" customHeight="1" x14ac:dyDescent="0.25">
      <c r="A24" s="11">
        <v>6</v>
      </c>
      <c r="B24" s="20" t="s">
        <v>16</v>
      </c>
      <c r="C24" s="12">
        <v>1</v>
      </c>
      <c r="D24" s="1"/>
      <c r="E24" s="13"/>
      <c r="F24" s="13"/>
      <c r="G24" s="14">
        <f t="shared" ref="G24" si="7">PRODUCT(C24:F24)</f>
        <v>1</v>
      </c>
      <c r="H24" s="14" t="s">
        <v>17</v>
      </c>
      <c r="I24" s="2">
        <v>500</v>
      </c>
      <c r="J24" s="14">
        <f>G24*I24</f>
        <v>500</v>
      </c>
      <c r="K24" s="13"/>
    </row>
    <row r="25" spans="1:11" s="9" customFormat="1" x14ac:dyDescent="0.25">
      <c r="A25" s="11"/>
      <c r="B25" s="21"/>
      <c r="C25" s="12"/>
      <c r="D25" s="1"/>
      <c r="E25" s="13"/>
      <c r="F25" s="13"/>
      <c r="G25" s="2"/>
      <c r="H25" s="14"/>
      <c r="I25" s="2"/>
      <c r="J25" s="15"/>
      <c r="K25" s="13"/>
    </row>
    <row r="26" spans="1:11" s="9" customFormat="1" x14ac:dyDescent="0.25">
      <c r="A26" s="22"/>
      <c r="B26" s="23" t="s">
        <v>19</v>
      </c>
      <c r="C26" s="24"/>
      <c r="D26" s="25"/>
      <c r="E26" s="25"/>
      <c r="F26" s="25"/>
      <c r="G26" s="15"/>
      <c r="H26" s="15"/>
      <c r="I26" s="15"/>
      <c r="J26" s="15">
        <f>SUM(J10:J24)</f>
        <v>34993.21212370797</v>
      </c>
      <c r="K26" s="26"/>
    </row>
    <row r="27" spans="1:11" s="9" customFormat="1" x14ac:dyDescent="0.25"/>
    <row r="28" spans="1:11" s="34" customFormat="1" x14ac:dyDescent="0.25">
      <c r="A28" s="27"/>
      <c r="B28" s="28" t="s">
        <v>18</v>
      </c>
      <c r="C28" s="41">
        <f>J26</f>
        <v>34993.21212370797</v>
      </c>
      <c r="D28" s="42"/>
      <c r="E28" s="29">
        <v>100</v>
      </c>
      <c r="F28" s="27"/>
      <c r="G28" s="30"/>
      <c r="H28" s="27"/>
      <c r="I28" s="31"/>
      <c r="J28" s="32"/>
      <c r="K28" s="33"/>
    </row>
    <row r="29" spans="1:11" s="9" customFormat="1" x14ac:dyDescent="0.25">
      <c r="B29" s="28" t="s">
        <v>20</v>
      </c>
      <c r="C29" s="43">
        <v>30000</v>
      </c>
      <c r="D29" s="44"/>
      <c r="E29" s="29"/>
    </row>
    <row r="30" spans="1:11" s="9" customFormat="1" x14ac:dyDescent="0.25">
      <c r="B30" s="28" t="s">
        <v>21</v>
      </c>
      <c r="C30" s="43">
        <f>C29-C32-C33</f>
        <v>28500</v>
      </c>
      <c r="D30" s="44"/>
      <c r="E30" s="29">
        <f>C30/C28*100</f>
        <v>81.444366693880028</v>
      </c>
    </row>
    <row r="31" spans="1:11" s="9" customFormat="1" x14ac:dyDescent="0.25">
      <c r="B31" s="28" t="s">
        <v>25</v>
      </c>
      <c r="C31" s="45">
        <f>C28-C30</f>
        <v>6493.21212370797</v>
      </c>
      <c r="D31" s="45"/>
      <c r="E31" s="29">
        <f>100-E30</f>
        <v>18.555633306119972</v>
      </c>
    </row>
    <row r="32" spans="1:11" s="9" customFormat="1" x14ac:dyDescent="0.25">
      <c r="B32" s="28" t="s">
        <v>22</v>
      </c>
      <c r="C32" s="41">
        <f>C29*0.03</f>
        <v>900</v>
      </c>
      <c r="D32" s="42"/>
      <c r="E32" s="29">
        <v>3</v>
      </c>
    </row>
    <row r="33" spans="2:5" s="9" customFormat="1" x14ac:dyDescent="0.25">
      <c r="B33" s="28" t="s">
        <v>23</v>
      </c>
      <c r="C33" s="41">
        <f>C29*0.02</f>
        <v>600</v>
      </c>
      <c r="D33" s="42"/>
      <c r="E33" s="29">
        <v>2</v>
      </c>
    </row>
  </sheetData>
  <mergeCells count="15">
    <mergeCell ref="A7:F7"/>
    <mergeCell ref="H7:K7"/>
    <mergeCell ref="A1:K1"/>
    <mergeCell ref="A2:K2"/>
    <mergeCell ref="A3:K3"/>
    <mergeCell ref="A4:K4"/>
    <mergeCell ref="A5:K5"/>
    <mergeCell ref="A6:F6"/>
    <mergeCell ref="H6:K6"/>
    <mergeCell ref="C33:D33"/>
    <mergeCell ref="C28:D28"/>
    <mergeCell ref="C29:D29"/>
    <mergeCell ref="C30:D30"/>
    <mergeCell ref="C31:D31"/>
    <mergeCell ref="C32:D32"/>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estimate</vt:lpstr>
      <vt:lpstr>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2026-02-16T05:35:40Z</dcterms:modified>
</cp:coreProperties>
</file>