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FBC5B06F-95B4-4397-A08F-3A88158CBD2A}"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estimate!$A$1:$K$68</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2" l="1"/>
  <c r="E41" i="12"/>
  <c r="E34" i="12" s="1"/>
  <c r="C41" i="12"/>
  <c r="C34" i="12" s="1"/>
  <c r="E30" i="12" l="1"/>
  <c r="E35" i="12" s="1"/>
  <c r="D30" i="12"/>
  <c r="C29" i="12"/>
  <c r="D13" i="12"/>
  <c r="D14" i="12" s="1"/>
  <c r="D11" i="12"/>
  <c r="D10" i="12"/>
  <c r="D35" i="12" l="1"/>
  <c r="D52" i="12"/>
  <c r="E20" i="12"/>
  <c r="F11" i="12"/>
  <c r="G11" i="12" s="1"/>
  <c r="F43" i="12"/>
  <c r="F30" i="12"/>
  <c r="B30" i="12"/>
  <c r="G52" i="12" l="1"/>
  <c r="G53" i="12" s="1"/>
  <c r="D41" i="12"/>
  <c r="C42" i="12"/>
  <c r="B42" i="12"/>
  <c r="E42" i="12"/>
  <c r="J54" i="12" l="1"/>
  <c r="J55" i="12"/>
  <c r="J53" i="12"/>
  <c r="J57" i="12"/>
  <c r="J56" i="12"/>
  <c r="G41" i="12"/>
  <c r="D34" i="12"/>
  <c r="D42" i="12"/>
  <c r="G30" i="12"/>
  <c r="G34" i="12" l="1"/>
  <c r="D28" i="12"/>
  <c r="G28" i="12" s="1"/>
  <c r="F13" i="12"/>
  <c r="G13" i="12" s="1"/>
  <c r="D12" i="12"/>
  <c r="D15" i="12" l="1"/>
  <c r="F15" i="12" s="1"/>
  <c r="G15" i="12" s="1"/>
  <c r="D20" i="12"/>
  <c r="F14" i="12"/>
  <c r="G14" i="12" s="1"/>
  <c r="F12" i="12"/>
  <c r="G12" i="12" s="1"/>
  <c r="E36" i="12"/>
  <c r="E43" i="12" s="1"/>
  <c r="D36" i="12"/>
  <c r="D43" i="12" s="1"/>
  <c r="C36" i="12"/>
  <c r="C43" i="12" s="1"/>
  <c r="B36" i="12"/>
  <c r="B43" i="12" s="1"/>
  <c r="G29" i="12"/>
  <c r="G16" i="12" l="1"/>
  <c r="G43" i="12"/>
  <c r="G42" i="12"/>
  <c r="G44" i="12" s="1"/>
  <c r="G36" i="12"/>
  <c r="J47" i="12" l="1"/>
  <c r="G35" i="12"/>
  <c r="G37" i="12" s="1"/>
  <c r="J45" i="12" l="1"/>
  <c r="J49" i="12"/>
  <c r="J46" i="12"/>
  <c r="J48" i="12"/>
  <c r="J44" i="12"/>
  <c r="J31" i="12"/>
  <c r="J38" i="12"/>
  <c r="J37" i="12"/>
  <c r="G20" i="12" l="1"/>
  <c r="G21" i="12" l="1"/>
  <c r="J24" i="12" s="1"/>
  <c r="J22" i="12" l="1"/>
  <c r="J25" i="12"/>
  <c r="J23" i="12"/>
  <c r="J21" i="12"/>
  <c r="F10" i="12" l="1"/>
  <c r="G10" i="12" s="1"/>
  <c r="J16" i="12" l="1"/>
  <c r="J17" i="12" l="1"/>
  <c r="J61" i="12" s="1"/>
  <c r="C67" i="12" l="1"/>
  <c r="C68" i="12" l="1"/>
  <c r="C65" i="12" s="1"/>
  <c r="G59" i="12"/>
  <c r="J59" i="12" s="1"/>
  <c r="C63" i="12" l="1"/>
  <c r="C66" i="12" s="1"/>
  <c r="E65" i="12" l="1"/>
  <c r="E66" i="12" s="1"/>
  <c r="B52" i="12"/>
  <c r="B41" i="12" s="1"/>
  <c r="B34" i="12" s="1"/>
</calcChain>
</file>

<file path=xl/sharedStrings.xml><?xml version="1.0" encoding="utf-8"?>
<sst xmlns="http://schemas.openxmlformats.org/spreadsheetml/2006/main" count="74" uniqueCount="62">
  <si>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</si>
  <si>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</si>
  <si>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</si>
  <si>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</si>
  <si>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</si>
  <si>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</si>
  <si>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</si>
  <si>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</si>
  <si>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</si>
  <si>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</si>
  <si>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</si>
  <si>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</si>
  <si>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</si>
  <si>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</si>
  <si>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</si>
  <si>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</si>
  <si>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</si>
  <si>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</si>
  <si>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</si>
  <si>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</si>
  <si>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</si>
  <si>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</si>
  <si>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</si>
  <si>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</si>
  <si>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</si>
  <si>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</si>
  <si>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-13% VAT for cement</t>
  </si>
  <si>
    <t>-13% VAT for sand</t>
  </si>
  <si>
    <t>-13% VAT for aggregate</t>
  </si>
  <si>
    <t>-13% VAT for stone</t>
  </si>
  <si>
    <t>-13% VAT for water</t>
  </si>
  <si>
    <t>User contribution</t>
  </si>
  <si>
    <t>sfnf] kmnfd] kfO{ksf] 6«; agfO{ h8fg ug]{ sfd</t>
  </si>
  <si>
    <t>Length (m)</t>
  </si>
  <si>
    <t>Unit length (Kg/m)</t>
  </si>
  <si>
    <t>Total Weight (kg)</t>
  </si>
  <si>
    <t>sub-total</t>
  </si>
  <si>
    <t>Kg</t>
  </si>
  <si>
    <t>-VAT 13% for materials</t>
  </si>
  <si>
    <t>sqm</t>
  </si>
  <si>
    <t>-13% VAT for sheet</t>
  </si>
  <si>
    <t>-13% VAT for nut bolt</t>
  </si>
  <si>
    <t>-13% VAT for j-hook</t>
  </si>
  <si>
    <t>-13% VAT for bitumen washer</t>
  </si>
  <si>
    <t>)=$! dL=dL=afSnf] sf]?u]6]8 /+lug ss{6 kftfsf] 5fgf 5fpg] sfd</t>
  </si>
  <si>
    <t>cum</t>
  </si>
  <si>
    <t>-13% VAT for formwork</t>
  </si>
  <si>
    <t>-for footing of vertical post</t>
  </si>
  <si>
    <t>Location:- Shankharapur Municipality 1</t>
  </si>
  <si>
    <t>-truss 1</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</si>
  <si>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</si>
  <si>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-for plinth</t>
  </si>
  <si>
    <t>Providing and laying of Plain/Reinforced Cement Concrete in Foundation complete as per Drawing and Technical Specifications, PCC Grade M15</t>
  </si>
  <si>
    <t xml:space="preserve">Date:                  </t>
  </si>
  <si>
    <t>-MS square pipe of 3"*3" of 1.6mm thickness for vertical post</t>
  </si>
  <si>
    <t>-MS square pipe of 3"*3" of 1.6mm thickness for horizontal purlin</t>
  </si>
  <si>
    <t>-for masonary wall</t>
  </si>
  <si>
    <t>Random Rubble Masonry, Providing and laying of Stone Masonry Work in Cement Mortar 1:6 in Foundation complete as per Drawing and Technical Specifications., Using Concrete Mixer</t>
  </si>
  <si>
    <t>Sub-total</t>
  </si>
  <si>
    <t>m3</t>
  </si>
  <si>
    <r>
      <t xml:space="preserve">Project:- </t>
    </r>
    <r>
      <rPr>
        <b/>
        <sz val="12"/>
        <rFont val="Preeti"/>
      </rPr>
      <t>lhDjfn 6f]n b]jLyfg lgdf{0f l;l8 af6f]</t>
    </r>
  </si>
  <si>
    <t>-MS black pipe of 1.5"*1.5" of 2mm thickness for horizontal purlin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</si>
</sst>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b/>
      <sz val="12"/>
      <name val="Preeti"/>
    </font>
    <font>
      <sz val="12"/>
      <name val="Times New Roman"/>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0" fillId="0" borderId="0" xfId="0" applyAlignment="1">
      <alignment vertical="center"/>
    </xf>
    <xf numFmtId="0" fontId="12"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6"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4" fillId="0" borderId="2" xfId="0" applyNumberFormat="1" applyFont="1" applyBorder="1" applyAlignment="1">
      <alignment vertical="center"/>
    </xf>
    <xf numFmtId="0" fontId="4" fillId="0" borderId="2" xfId="0" quotePrefix="1" applyFont="1" applyBorder="1" applyAlignment="1">
      <alignment wrapText="1"/>
    </xf>
    <xf numFmtId="0" fontId="13" fillId="2" borderId="2" xfId="0" applyFont="1" applyFill="1" applyBorder="1" applyAlignment="1">
      <alignment vertical="center" wrapText="1"/>
    </xf>
    <xf numFmtId="1" fontId="4" fillId="0" borderId="2" xfId="0" applyNumberFormat="1" applyFont="1" applyBorder="1"/>
    <xf numFmtId="0" fontId="14" fillId="2" borderId="2" xfId="0" applyFont="1" applyFill="1" applyBorder="1" applyAlignment="1">
      <alignment vertical="center" wrapText="1"/>
    </xf>
    <xf numFmtId="0" fontId="2" fillId="0" borderId="2" xfId="0" quotePrefix="1" applyFont="1" applyBorder="1" applyAlignment="1">
      <alignment horizontal="right"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8"/>
  <sheetViews>
    <sheetView tabSelected="1" view="pageBreakPreview" topLeftCell="A40" zoomScaleNormal="90" zoomScaleSheetLayoutView="100" workbookViewId="0">
      <selection activeCell="D19" sqref="D1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6384" width="9.140625" style="19"/>
  </cols>
  <sheetData>
    <row r="1" spans="1:11" x14ac:dyDescent="0.25">
      <c r="A1" s="48" t="s">
        <v>0</v>
      </c>
      <c r="B1" s="48"/>
      <c r="C1" s="48"/>
      <c r="D1" s="48"/>
      <c r="E1" s="48"/>
      <c r="F1" s="48"/>
      <c r="G1" s="48"/>
      <c r="H1" s="48"/>
      <c r="I1" s="48"/>
      <c r="J1" s="48"/>
      <c r="K1" s="48"/>
    </row>
    <row r="2" spans="1:11" ht="22.5" x14ac:dyDescent="0.25">
      <c r="A2" s="49" t="s">
        <v>1</v>
      </c>
      <c r="B2" s="49"/>
      <c r="C2" s="49"/>
      <c r="D2" s="49"/>
      <c r="E2" s="49"/>
      <c r="F2" s="49"/>
      <c r="G2" s="49"/>
      <c r="H2" s="49"/>
      <c r="I2" s="49"/>
      <c r="J2" s="49"/>
      <c r="K2" s="49"/>
    </row>
    <row r="3" spans="1:11" x14ac:dyDescent="0.25">
      <c r="A3" s="50" t="s">
        <v>2</v>
      </c>
      <c r="B3" s="50"/>
      <c r="C3" s="50"/>
      <c r="D3" s="50"/>
      <c r="E3" s="50"/>
      <c r="F3" s="50"/>
      <c r="G3" s="50"/>
      <c r="H3" s="50"/>
      <c r="I3" s="50"/>
      <c r="J3" s="50"/>
      <c r="K3" s="50"/>
    </row>
    <row r="4" spans="1:11" x14ac:dyDescent="0.25">
      <c r="A4" s="50" t="s">
        <v>3</v>
      </c>
      <c r="B4" s="50"/>
      <c r="C4" s="50"/>
      <c r="D4" s="50"/>
      <c r="E4" s="50"/>
      <c r="F4" s="50"/>
      <c r="G4" s="50"/>
      <c r="H4" s="50"/>
      <c r="I4" s="50"/>
      <c r="J4" s="50"/>
      <c r="K4" s="50"/>
    </row>
    <row r="5" spans="1:11" ht="18.75" x14ac:dyDescent="0.3">
      <c r="A5" s="51" t="s">
        <v>4</v>
      </c>
      <c r="B5" s="51"/>
      <c r="C5" s="51"/>
      <c r="D5" s="51"/>
      <c r="E5" s="51"/>
      <c r="F5" s="51"/>
      <c r="G5" s="51"/>
      <c r="H5" s="51"/>
      <c r="I5" s="51"/>
      <c r="J5" s="51"/>
      <c r="K5" s="51"/>
    </row>
    <row r="6" spans="1:11" ht="15.75" x14ac:dyDescent="0.25">
      <c r="A6" s="46" t="s">
        <v>60</v>
      </c>
      <c r="B6" s="46"/>
      <c r="C6" s="46"/>
      <c r="D6" s="46"/>
      <c r="E6" s="46"/>
      <c r="F6" s="46"/>
      <c r="G6" s="10"/>
      <c r="H6" s="47" t="s">
        <v>24</v>
      </c>
      <c r="I6" s="47"/>
      <c r="J6" s="47"/>
      <c r="K6" s="47"/>
    </row>
    <row r="7" spans="1:11" ht="15.75" x14ac:dyDescent="0.25">
      <c r="A7" s="54" t="s">
        <v>48</v>
      </c>
      <c r="B7" s="54"/>
      <c r="C7" s="54"/>
      <c r="D7" s="54"/>
      <c r="E7" s="54"/>
      <c r="F7" s="54"/>
      <c r="G7" s="11"/>
      <c r="H7" s="55" t="s">
        <v>53</v>
      </c>
      <c r="I7" s="55"/>
      <c r="J7" s="55"/>
      <c r="K7" s="55"/>
    </row>
    <row r="8" spans="1:11" ht="15.75" x14ac:dyDescent="0.25">
      <c r="A8" s="12" t="s">
        <v>5</v>
      </c>
      <c r="B8" s="13" t="s">
        <v>6</v>
      </c>
      <c r="C8" s="12" t="s">
        <v>7</v>
      </c>
      <c r="D8" s="14" t="s">
        <v>8</v>
      </c>
      <c r="E8" s="14" t="s">
        <v>9</v>
      </c>
      <c r="F8" s="14" t="s">
        <v>10</v>
      </c>
      <c r="G8" s="14" t="s">
        <v>11</v>
      </c>
      <c r="H8" s="12" t="s">
        <v>12</v>
      </c>
      <c r="I8" s="14" t="s">
        <v>13</v>
      </c>
      <c r="J8" s="14" t="s">
        <v>14</v>
      </c>
      <c r="K8" s="15" t="s">
        <v>15</v>
      </c>
    </row>
    <row r="9" spans="1:11" s="34" customFormat="1" ht="45" x14ac:dyDescent="0.25">
      <c r="A9" s="2">
        <v>1</v>
      </c>
      <c r="B9" s="35" t="s">
        <v>32</v>
      </c>
      <c r="C9" s="3" t="s">
        <v>7</v>
      </c>
      <c r="D9" s="36" t="s">
        <v>33</v>
      </c>
      <c r="E9" s="37" t="s">
        <v>34</v>
      </c>
      <c r="F9" s="37" t="s">
        <v>35</v>
      </c>
      <c r="G9" s="37"/>
      <c r="H9" s="7"/>
      <c r="I9" s="6"/>
      <c r="J9" s="38"/>
      <c r="K9" s="5"/>
    </row>
    <row r="10" spans="1:11" s="34" customFormat="1" ht="30" x14ac:dyDescent="0.25">
      <c r="A10" s="16"/>
      <c r="B10" s="39" t="s">
        <v>54</v>
      </c>
      <c r="C10" s="40">
        <v>3</v>
      </c>
      <c r="D10" s="9">
        <f>(8+1)/3.281</f>
        <v>2.7430661383724475</v>
      </c>
      <c r="E10" s="9">
        <v>3.54</v>
      </c>
      <c r="F10" s="9">
        <f t="shared" ref="F10:F11" si="0">PRODUCT(C10:E10)</f>
        <v>29.131362389515388</v>
      </c>
      <c r="G10" s="9">
        <f t="shared" ref="G10:G11" si="1">F10</f>
        <v>29.131362389515388</v>
      </c>
      <c r="H10" s="38"/>
      <c r="I10" s="38"/>
      <c r="J10" s="38"/>
      <c r="K10" s="27"/>
    </row>
    <row r="11" spans="1:11" s="34" customFormat="1" ht="30" x14ac:dyDescent="0.25">
      <c r="A11" s="16"/>
      <c r="B11" s="39" t="s">
        <v>54</v>
      </c>
      <c r="C11" s="40">
        <v>3</v>
      </c>
      <c r="D11" s="9">
        <f>(12+1)/3.281</f>
        <v>3.9622066443157573</v>
      </c>
      <c r="E11" s="9">
        <v>3.54</v>
      </c>
      <c r="F11" s="9">
        <f t="shared" si="0"/>
        <v>42.078634562633347</v>
      </c>
      <c r="G11" s="9">
        <f t="shared" si="1"/>
        <v>42.078634562633347</v>
      </c>
      <c r="H11" s="38"/>
      <c r="I11" s="38"/>
      <c r="J11" s="38"/>
      <c r="K11" s="27"/>
    </row>
    <row r="12" spans="1:11" s="34" customFormat="1" ht="45" x14ac:dyDescent="0.25">
      <c r="A12" s="16"/>
      <c r="B12" s="39" t="s">
        <v>55</v>
      </c>
      <c r="C12" s="40">
        <v>2</v>
      </c>
      <c r="D12" s="9">
        <f>20/3.281</f>
        <v>6.0957025297165499</v>
      </c>
      <c r="E12" s="9">
        <v>3.54</v>
      </c>
      <c r="F12" s="9">
        <f t="shared" ref="F12" si="2">PRODUCT(C12:E12)</f>
        <v>43.157573910393175</v>
      </c>
      <c r="G12" s="9">
        <f t="shared" ref="G12" si="3">F12</f>
        <v>43.157573910393175</v>
      </c>
      <c r="H12" s="38"/>
      <c r="I12" s="38"/>
      <c r="J12" s="38"/>
      <c r="K12" s="27"/>
    </row>
    <row r="13" spans="1:11" s="34" customFormat="1" x14ac:dyDescent="0.25">
      <c r="A13" s="16"/>
      <c r="B13" s="39"/>
      <c r="C13" s="40">
        <v>2</v>
      </c>
      <c r="D13" s="9">
        <f>12/3.281</f>
        <v>3.6574215178299299</v>
      </c>
      <c r="E13" s="9">
        <v>3.54</v>
      </c>
      <c r="F13" s="9">
        <f t="shared" ref="F13" si="4">PRODUCT(C13:E13)</f>
        <v>25.894544346235904</v>
      </c>
      <c r="G13" s="9">
        <f t="shared" ref="G13" si="5">F13</f>
        <v>25.894544346235904</v>
      </c>
      <c r="H13" s="38"/>
      <c r="I13" s="38"/>
      <c r="J13" s="38"/>
      <c r="K13" s="27"/>
    </row>
    <row r="14" spans="1:11" s="34" customFormat="1" ht="30" x14ac:dyDescent="0.25">
      <c r="A14" s="16"/>
      <c r="B14" s="39" t="s">
        <v>61</v>
      </c>
      <c r="C14" s="40">
        <v>2</v>
      </c>
      <c r="D14" s="9">
        <f>D13</f>
        <v>3.6574215178299299</v>
      </c>
      <c r="E14" s="9">
        <v>2.2599999999999998</v>
      </c>
      <c r="F14" s="9">
        <f t="shared" ref="F14" si="6">PRODUCT(C14:E14)</f>
        <v>16.531545260591283</v>
      </c>
      <c r="G14" s="9">
        <f t="shared" ref="G14" si="7">F14</f>
        <v>16.531545260591283</v>
      </c>
      <c r="H14" s="38"/>
      <c r="I14" s="38"/>
      <c r="J14" s="38"/>
      <c r="K14" s="27"/>
    </row>
    <row r="15" spans="1:11" s="34" customFormat="1" x14ac:dyDescent="0.25">
      <c r="A15" s="16"/>
      <c r="B15" s="39"/>
      <c r="C15" s="40">
        <v>1</v>
      </c>
      <c r="D15" s="9">
        <f>D12</f>
        <v>6.0957025297165499</v>
      </c>
      <c r="E15" s="9">
        <v>2.2599999999999998</v>
      </c>
      <c r="F15" s="9">
        <f t="shared" ref="F15" si="8">PRODUCT(C15:E15)</f>
        <v>13.776287717159402</v>
      </c>
      <c r="G15" s="9">
        <f t="shared" ref="G15" si="9">F15</f>
        <v>13.776287717159402</v>
      </c>
      <c r="H15" s="38"/>
      <c r="I15" s="38"/>
      <c r="J15" s="38"/>
      <c r="K15" s="27"/>
    </row>
    <row r="16" spans="1:11" s="34" customFormat="1" x14ac:dyDescent="0.25">
      <c r="A16" s="2"/>
      <c r="B16" s="39" t="s">
        <v>36</v>
      </c>
      <c r="C16" s="3"/>
      <c r="D16" s="4"/>
      <c r="E16" s="5"/>
      <c r="F16" s="5"/>
      <c r="G16" s="38">
        <f>SUM(G10:G15)</f>
        <v>170.56994818652851</v>
      </c>
      <c r="H16" s="7" t="s">
        <v>37</v>
      </c>
      <c r="I16" s="6">
        <v>182.51</v>
      </c>
      <c r="J16" s="38">
        <f>G16*I16</f>
        <v>31130.721243523316</v>
      </c>
      <c r="K16" s="5"/>
    </row>
    <row r="17" spans="1:11" s="34" customFormat="1" x14ac:dyDescent="0.25">
      <c r="A17" s="2"/>
      <c r="B17" s="39" t="s">
        <v>38</v>
      </c>
      <c r="C17" s="3"/>
      <c r="D17" s="4"/>
      <c r="E17" s="5"/>
      <c r="F17" s="5"/>
      <c r="G17" s="38"/>
      <c r="H17" s="7"/>
      <c r="I17" s="6"/>
      <c r="J17" s="38">
        <f>0.13*G16*(1871.42/18.94)</f>
        <v>2190.9736861974825</v>
      </c>
      <c r="K17" s="5"/>
    </row>
    <row r="18" spans="1:11" s="34" customFormat="1" x14ac:dyDescent="0.25">
      <c r="A18" s="2"/>
      <c r="B18" s="39"/>
      <c r="C18" s="3"/>
      <c r="D18" s="4"/>
      <c r="E18" s="5"/>
      <c r="F18" s="5"/>
      <c r="G18" s="38"/>
      <c r="H18" s="7"/>
      <c r="I18" s="6"/>
      <c r="J18" s="38"/>
      <c r="K18" s="5"/>
    </row>
    <row r="19" spans="1:11" s="34" customFormat="1" ht="30" x14ac:dyDescent="0.25">
      <c r="A19" s="2">
        <v>2</v>
      </c>
      <c r="B19" s="35" t="s">
        <v>44</v>
      </c>
      <c r="C19" s="3"/>
      <c r="D19" s="4"/>
      <c r="E19" s="5"/>
      <c r="F19" s="5"/>
      <c r="G19" s="38"/>
      <c r="H19" s="7"/>
      <c r="I19" s="6"/>
      <c r="J19" s="38"/>
      <c r="K19" s="5"/>
    </row>
    <row r="20" spans="1:11" s="34" customFormat="1" x14ac:dyDescent="0.25">
      <c r="A20" s="2"/>
      <c r="B20" s="39" t="s">
        <v>49</v>
      </c>
      <c r="C20" s="3">
        <v>1</v>
      </c>
      <c r="D20" s="4">
        <f>D12</f>
        <v>6.0957025297165499</v>
      </c>
      <c r="E20" s="5">
        <f>D13</f>
        <v>3.6574215178299299</v>
      </c>
      <c r="F20" s="5"/>
      <c r="G20" s="33">
        <f t="shared" ref="G20" si="10">PRODUCT(C20:F20)</f>
        <v>22.294553598475648</v>
      </c>
      <c r="H20" s="7"/>
      <c r="I20" s="6"/>
      <c r="J20" s="38"/>
      <c r="K20" s="5"/>
    </row>
    <row r="21" spans="1:11" s="34" customFormat="1" x14ac:dyDescent="0.25">
      <c r="A21" s="2"/>
      <c r="B21" s="39" t="s">
        <v>36</v>
      </c>
      <c r="C21" s="3"/>
      <c r="D21" s="4"/>
      <c r="E21" s="5"/>
      <c r="F21" s="5"/>
      <c r="G21" s="38">
        <f>SUM(G20:G20)</f>
        <v>22.294553598475648</v>
      </c>
      <c r="H21" s="7" t="s">
        <v>39</v>
      </c>
      <c r="I21" s="6">
        <v>1112.58</v>
      </c>
      <c r="J21" s="38">
        <f>G21*I21</f>
        <v>24804.474442592036</v>
      </c>
      <c r="K21" s="5"/>
    </row>
    <row r="22" spans="1:11" x14ac:dyDescent="0.25">
      <c r="A22" s="16"/>
      <c r="B22" s="32" t="s">
        <v>40</v>
      </c>
      <c r="C22" s="17"/>
      <c r="D22" s="17"/>
      <c r="E22" s="17"/>
      <c r="F22" s="17"/>
      <c r="G22" s="17"/>
      <c r="H22" s="17"/>
      <c r="I22" s="17"/>
      <c r="J22" s="18">
        <f>0.13*G21*7050.67/10</f>
        <v>2043.4900228621359</v>
      </c>
      <c r="K22" s="17"/>
    </row>
    <row r="23" spans="1:11" x14ac:dyDescent="0.25">
      <c r="A23" s="16"/>
      <c r="B23" s="32" t="s">
        <v>41</v>
      </c>
      <c r="C23" s="17"/>
      <c r="D23" s="17"/>
      <c r="E23" s="17"/>
      <c r="F23" s="17"/>
      <c r="G23" s="17"/>
      <c r="H23" s="17"/>
      <c r="I23" s="17"/>
      <c r="J23" s="18">
        <f>0.13*G21*1023.75/10</f>
        <v>296.71264020371279</v>
      </c>
      <c r="K23" s="17"/>
    </row>
    <row r="24" spans="1:11" x14ac:dyDescent="0.25">
      <c r="A24" s="16"/>
      <c r="B24" s="32" t="s">
        <v>42</v>
      </c>
      <c r="C24" s="17"/>
      <c r="D24" s="17"/>
      <c r="E24" s="17"/>
      <c r="F24" s="17"/>
      <c r="G24" s="17"/>
      <c r="H24" s="17"/>
      <c r="I24" s="17"/>
      <c r="J24" s="18">
        <f>0.13*G21*348.21/10</f>
        <v>100.92142461082766</v>
      </c>
      <c r="K24" s="17"/>
    </row>
    <row r="25" spans="1:11" x14ac:dyDescent="0.25">
      <c r="A25" s="16"/>
      <c r="B25" s="32" t="s">
        <v>43</v>
      </c>
      <c r="C25" s="17"/>
      <c r="D25" s="17"/>
      <c r="E25" s="17"/>
      <c r="F25" s="17"/>
      <c r="G25" s="17"/>
      <c r="H25" s="17"/>
      <c r="I25" s="17"/>
      <c r="J25" s="18">
        <f>0.13*G21*165/10</f>
        <v>47.821817468730259</v>
      </c>
      <c r="K25" s="17"/>
    </row>
    <row r="26" spans="1:11" x14ac:dyDescent="0.25">
      <c r="A26" s="16"/>
      <c r="B26" s="32"/>
      <c r="C26" s="17"/>
      <c r="D26" s="17"/>
      <c r="E26" s="17"/>
      <c r="F26" s="17"/>
      <c r="G26" s="17"/>
      <c r="H26" s="17"/>
      <c r="I26" s="17"/>
      <c r="J26" s="18"/>
      <c r="K26" s="17"/>
    </row>
    <row r="27" spans="1:11" ht="150" x14ac:dyDescent="0.25">
      <c r="A27" s="16">
        <v>3</v>
      </c>
      <c r="B27" s="41" t="s">
        <v>50</v>
      </c>
      <c r="C27" s="17"/>
      <c r="D27" s="17"/>
      <c r="E27" s="17"/>
      <c r="F27" s="17"/>
      <c r="G27" s="17"/>
      <c r="H27" s="17"/>
      <c r="I27" s="17"/>
      <c r="J27" s="18"/>
      <c r="K27" s="17"/>
    </row>
    <row r="28" spans="1:11" x14ac:dyDescent="0.25">
      <c r="A28" s="16"/>
      <c r="B28" s="32" t="s">
        <v>56</v>
      </c>
      <c r="C28" s="17">
        <v>1</v>
      </c>
      <c r="D28" s="33">
        <f>D34</f>
        <v>5.486132276744895</v>
      </c>
      <c r="E28" s="33">
        <v>0.5</v>
      </c>
      <c r="F28" s="33">
        <v>0.3</v>
      </c>
      <c r="G28" s="33">
        <f>PRODUCT(C28:F28)</f>
        <v>0.82291984151173425</v>
      </c>
      <c r="H28" s="17"/>
      <c r="I28" s="17"/>
      <c r="J28" s="18"/>
      <c r="K28" s="17"/>
    </row>
    <row r="29" spans="1:11" x14ac:dyDescent="0.25">
      <c r="A29" s="16"/>
      <c r="B29" s="32" t="s">
        <v>47</v>
      </c>
      <c r="C29" s="43">
        <f>C10+C11</f>
        <v>6</v>
      </c>
      <c r="D29" s="33">
        <v>0.3</v>
      </c>
      <c r="E29" s="33">
        <v>0.3</v>
      </c>
      <c r="F29" s="17">
        <v>0.45</v>
      </c>
      <c r="G29" s="33">
        <f t="shared" ref="G29:G30" si="11">PRODUCT(C29:F29)</f>
        <v>0.24299999999999997</v>
      </c>
      <c r="H29" s="17"/>
      <c r="I29" s="17"/>
      <c r="J29" s="18"/>
      <c r="K29" s="17"/>
    </row>
    <row r="30" spans="1:11" x14ac:dyDescent="0.25">
      <c r="A30" s="16"/>
      <c r="B30" s="32" t="str">
        <f>B35</f>
        <v>-for plinth</v>
      </c>
      <c r="C30" s="43">
        <v>0.5</v>
      </c>
      <c r="D30" s="33">
        <f>18/3.281</f>
        <v>5.486132276744895</v>
      </c>
      <c r="E30" s="33">
        <f>10/3.281</f>
        <v>3.047851264858275</v>
      </c>
      <c r="F30" s="33">
        <f>F35</f>
        <v>0.15</v>
      </c>
      <c r="G30" s="33">
        <f t="shared" si="11"/>
        <v>1.2540686399142553</v>
      </c>
      <c r="H30" s="17"/>
      <c r="I30" s="17"/>
      <c r="J30" s="18"/>
      <c r="K30" s="17"/>
    </row>
    <row r="31" spans="1:11" s="34" customFormat="1" x14ac:dyDescent="0.25">
      <c r="A31" s="2"/>
      <c r="B31" s="39" t="s">
        <v>36</v>
      </c>
      <c r="C31" s="3"/>
      <c r="D31" s="4"/>
      <c r="E31" s="5"/>
      <c r="F31" s="5"/>
      <c r="G31" s="38">
        <f>SUM(G28:G30)</f>
        <v>2.3199884814259892</v>
      </c>
      <c r="H31" s="7" t="s">
        <v>45</v>
      </c>
      <c r="I31" s="6">
        <v>748.9</v>
      </c>
      <c r="J31" s="38">
        <f>G31*I31</f>
        <v>1737.4393737399232</v>
      </c>
      <c r="K31" s="5"/>
    </row>
    <row r="32" spans="1:11" x14ac:dyDescent="0.25">
      <c r="A32" s="16"/>
      <c r="B32" s="32"/>
      <c r="C32" s="17"/>
      <c r="D32" s="17"/>
      <c r="E32" s="17"/>
      <c r="F32" s="17"/>
      <c r="G32" s="17"/>
      <c r="H32" s="17"/>
      <c r="I32" s="17"/>
      <c r="J32" s="18"/>
      <c r="K32" s="17"/>
    </row>
    <row r="33" spans="1:11" ht="90" customHeight="1" x14ac:dyDescent="0.25">
      <c r="A33" s="16">
        <v>4</v>
      </c>
      <c r="B33" s="41" t="s">
        <v>25</v>
      </c>
      <c r="C33" s="17"/>
      <c r="D33" s="17"/>
      <c r="E33" s="17"/>
      <c r="F33" s="17"/>
      <c r="G33" s="17"/>
      <c r="H33" s="17"/>
      <c r="I33" s="17"/>
      <c r="J33" s="18"/>
      <c r="K33" s="17"/>
    </row>
    <row r="34" spans="1:11" x14ac:dyDescent="0.25">
      <c r="A34" s="16"/>
      <c r="B34" s="32" t="str">
        <f>B41</f>
        <v>-for masonary wall</v>
      </c>
      <c r="C34" s="17">
        <f>C41</f>
        <v>1</v>
      </c>
      <c r="D34" s="33">
        <f>D41</f>
        <v>5.486132276744895</v>
      </c>
      <c r="E34" s="33">
        <f>E41</f>
        <v>0.45</v>
      </c>
      <c r="F34" s="33">
        <v>0.15</v>
      </c>
      <c r="G34" s="33">
        <f t="shared" ref="G34:G36" si="12">PRODUCT(C34:F34)</f>
        <v>0.3703139286802804</v>
      </c>
      <c r="H34" s="17"/>
      <c r="I34" s="17"/>
      <c r="J34" s="18"/>
      <c r="K34" s="17"/>
    </row>
    <row r="35" spans="1:11" x14ac:dyDescent="0.25">
      <c r="A35" s="16"/>
      <c r="B35" s="32" t="s">
        <v>51</v>
      </c>
      <c r="C35" s="17">
        <v>1</v>
      </c>
      <c r="D35" s="33">
        <f>D30</f>
        <v>5.486132276744895</v>
      </c>
      <c r="E35" s="33">
        <f>E30</f>
        <v>3.047851264858275</v>
      </c>
      <c r="F35" s="33">
        <v>0.15</v>
      </c>
      <c r="G35" s="33">
        <f t="shared" si="12"/>
        <v>2.5081372798285106</v>
      </c>
      <c r="H35" s="17"/>
      <c r="I35" s="17"/>
      <c r="J35" s="18"/>
      <c r="K35" s="17"/>
    </row>
    <row r="36" spans="1:11" x14ac:dyDescent="0.25">
      <c r="A36" s="16"/>
      <c r="B36" s="32" t="str">
        <f>B29</f>
        <v>-for footing of vertical post</v>
      </c>
      <c r="C36" s="17">
        <f>C29</f>
        <v>6</v>
      </c>
      <c r="D36" s="33">
        <f>D29</f>
        <v>0.3</v>
      </c>
      <c r="E36" s="33">
        <f>E29</f>
        <v>0.3</v>
      </c>
      <c r="F36" s="33">
        <v>0.15</v>
      </c>
      <c r="G36" s="33">
        <f t="shared" si="12"/>
        <v>8.0999999999999989E-2</v>
      </c>
      <c r="H36" s="17"/>
      <c r="I36" s="17"/>
      <c r="J36" s="18"/>
      <c r="K36" s="17"/>
    </row>
    <row r="37" spans="1:11" s="34" customFormat="1" x14ac:dyDescent="0.25">
      <c r="A37" s="2"/>
      <c r="B37" s="39" t="s">
        <v>36</v>
      </c>
      <c r="C37" s="3"/>
      <c r="D37" s="4"/>
      <c r="E37" s="5"/>
      <c r="F37" s="5"/>
      <c r="G37" s="38">
        <f>SUM(G34:G36)</f>
        <v>2.9594512085087912</v>
      </c>
      <c r="H37" s="7" t="s">
        <v>45</v>
      </c>
      <c r="I37" s="6">
        <v>4458.5200000000004</v>
      </c>
      <c r="J37" s="38">
        <f>G37*I37</f>
        <v>13194.772402160617</v>
      </c>
      <c r="K37" s="5"/>
    </row>
    <row r="38" spans="1:11" x14ac:dyDescent="0.25">
      <c r="A38" s="16"/>
      <c r="B38" s="32" t="s">
        <v>29</v>
      </c>
      <c r="C38" s="17"/>
      <c r="D38" s="17"/>
      <c r="E38" s="17"/>
      <c r="F38" s="17"/>
      <c r="G38" s="17"/>
      <c r="H38" s="17"/>
      <c r="I38" s="17"/>
      <c r="J38" s="18">
        <f>0.13*G37*15452.64/5</f>
        <v>1189.0146871889333</v>
      </c>
      <c r="K38" s="17"/>
    </row>
    <row r="39" spans="1:11" x14ac:dyDescent="0.25">
      <c r="A39" s="16"/>
      <c r="B39" s="41"/>
      <c r="C39" s="17"/>
      <c r="D39" s="17"/>
      <c r="E39" s="17"/>
      <c r="F39" s="17"/>
      <c r="G39" s="17"/>
      <c r="H39" s="17"/>
      <c r="I39" s="17"/>
      <c r="J39" s="18"/>
      <c r="K39" s="17"/>
    </row>
    <row r="40" spans="1:11" ht="83.25" customHeight="1" x14ac:dyDescent="0.25">
      <c r="A40" s="16">
        <v>5</v>
      </c>
      <c r="B40" s="42" t="s">
        <v>52</v>
      </c>
      <c r="C40" s="17"/>
      <c r="D40" s="17"/>
      <c r="E40" s="17"/>
      <c r="F40" s="17"/>
      <c r="G40" s="17"/>
      <c r="H40" s="17"/>
      <c r="I40" s="17"/>
      <c r="J40" s="17"/>
      <c r="K40" s="17"/>
    </row>
    <row r="41" spans="1:11" x14ac:dyDescent="0.25">
      <c r="A41" s="16"/>
      <c r="B41" s="32" t="str">
        <f>B52</f>
        <v>-for masonary wall</v>
      </c>
      <c r="C41" s="17">
        <f>C52</f>
        <v>1</v>
      </c>
      <c r="D41" s="33">
        <f>D52</f>
        <v>5.486132276744895</v>
      </c>
      <c r="E41" s="33">
        <f>E52</f>
        <v>0.45</v>
      </c>
      <c r="F41" s="33">
        <v>7.4999999999999997E-2</v>
      </c>
      <c r="G41" s="33">
        <f t="shared" ref="G41:G43" si="13">PRODUCT(C41:F41)</f>
        <v>0.1851569643401402</v>
      </c>
      <c r="H41" s="17"/>
      <c r="I41" s="17"/>
      <c r="J41" s="18"/>
      <c r="K41" s="17"/>
    </row>
    <row r="42" spans="1:11" x14ac:dyDescent="0.25">
      <c r="A42" s="16"/>
      <c r="B42" s="32" t="str">
        <f t="shared" ref="B42:E43" si="14">B35</f>
        <v>-for plinth</v>
      </c>
      <c r="C42" s="17">
        <f t="shared" si="14"/>
        <v>1</v>
      </c>
      <c r="D42" s="33">
        <f t="shared" si="14"/>
        <v>5.486132276744895</v>
      </c>
      <c r="E42" s="33">
        <f t="shared" si="14"/>
        <v>3.047851264858275</v>
      </c>
      <c r="F42" s="33">
        <v>7.4999999999999997E-2</v>
      </c>
      <c r="G42" s="33">
        <f t="shared" si="13"/>
        <v>1.2540686399142553</v>
      </c>
      <c r="H42" s="17"/>
      <c r="I42" s="17"/>
      <c r="J42" s="18"/>
      <c r="K42" s="17"/>
    </row>
    <row r="43" spans="1:11" x14ac:dyDescent="0.25">
      <c r="A43" s="16"/>
      <c r="B43" s="32" t="str">
        <f t="shared" si="14"/>
        <v>-for footing of vertical post</v>
      </c>
      <c r="C43" s="17">
        <f t="shared" si="14"/>
        <v>6</v>
      </c>
      <c r="D43" s="33">
        <f t="shared" si="14"/>
        <v>0.3</v>
      </c>
      <c r="E43" s="33">
        <f t="shared" si="14"/>
        <v>0.3</v>
      </c>
      <c r="F43" s="33">
        <f>0.05+0.3</f>
        <v>0.35</v>
      </c>
      <c r="G43" s="33">
        <f t="shared" si="13"/>
        <v>0.18899999999999997</v>
      </c>
      <c r="H43" s="17"/>
      <c r="I43" s="17"/>
      <c r="J43" s="18"/>
      <c r="K43" s="17"/>
    </row>
    <row r="44" spans="1:11" s="34" customFormat="1" x14ac:dyDescent="0.25">
      <c r="A44" s="2"/>
      <c r="B44" s="39" t="s">
        <v>36</v>
      </c>
      <c r="C44" s="3"/>
      <c r="D44" s="4"/>
      <c r="E44" s="5"/>
      <c r="F44" s="5"/>
      <c r="G44" s="38">
        <f>SUM(G41:G43)</f>
        <v>1.6282256042543957</v>
      </c>
      <c r="H44" s="7" t="s">
        <v>45</v>
      </c>
      <c r="I44" s="6">
        <v>10964.46</v>
      </c>
      <c r="J44" s="38">
        <f>G44*I44</f>
        <v>17852.61450882315</v>
      </c>
      <c r="K44" s="5"/>
    </row>
    <row r="45" spans="1:11" x14ac:dyDescent="0.25">
      <c r="A45" s="16"/>
      <c r="B45" s="32" t="s">
        <v>26</v>
      </c>
      <c r="C45" s="17"/>
      <c r="D45" s="17"/>
      <c r="E45" s="17"/>
      <c r="F45" s="17"/>
      <c r="G45" s="17"/>
      <c r="H45" s="17"/>
      <c r="I45" s="17"/>
      <c r="J45" s="18">
        <f>0.13*G44*53818.03/15</f>
        <v>759.441751609937</v>
      </c>
      <c r="K45" s="17"/>
    </row>
    <row r="46" spans="1:11" x14ac:dyDescent="0.25">
      <c r="A46" s="16"/>
      <c r="B46" s="32" t="s">
        <v>27</v>
      </c>
      <c r="C46" s="17"/>
      <c r="D46" s="17"/>
      <c r="E46" s="17"/>
      <c r="F46" s="17"/>
      <c r="G46" s="17"/>
      <c r="H46" s="17"/>
      <c r="I46" s="17"/>
      <c r="J46" s="18">
        <f>0.13*G44*21432.6/15</f>
        <v>302.44160340977055</v>
      </c>
      <c r="K46" s="17"/>
    </row>
    <row r="47" spans="1:11" x14ac:dyDescent="0.25">
      <c r="A47" s="16"/>
      <c r="B47" s="32" t="s">
        <v>28</v>
      </c>
      <c r="C47" s="17"/>
      <c r="D47" s="17"/>
      <c r="E47" s="17"/>
      <c r="F47" s="17"/>
      <c r="G47" s="17"/>
      <c r="H47" s="17"/>
      <c r="I47" s="17"/>
      <c r="J47" s="18">
        <f>0.13*G44*(25719.12+13573.98+4286.52)/15</f>
        <v>614.96459359986682</v>
      </c>
      <c r="K47" s="17"/>
    </row>
    <row r="48" spans="1:11" x14ac:dyDescent="0.25">
      <c r="A48" s="16"/>
      <c r="B48" s="32" t="s">
        <v>46</v>
      </c>
      <c r="C48" s="17"/>
      <c r="D48" s="17"/>
      <c r="E48" s="17"/>
      <c r="F48" s="17"/>
      <c r="G48" s="17"/>
      <c r="H48" s="17"/>
      <c r="I48" s="17"/>
      <c r="J48" s="18">
        <f>0.13*G44*(6325.7/15)</f>
        <v>89.263778108544258</v>
      </c>
      <c r="K48" s="17"/>
    </row>
    <row r="49" spans="1:11" x14ac:dyDescent="0.25">
      <c r="A49" s="16"/>
      <c r="B49" s="32" t="s">
        <v>30</v>
      </c>
      <c r="C49" s="17"/>
      <c r="D49" s="17"/>
      <c r="E49" s="17"/>
      <c r="F49" s="17"/>
      <c r="G49" s="17"/>
      <c r="H49" s="17"/>
      <c r="I49" s="17"/>
      <c r="J49" s="18">
        <f>0.13*G44*(310)/5</f>
        <v>13.123498370290429</v>
      </c>
      <c r="K49" s="17"/>
    </row>
    <row r="50" spans="1:11" x14ac:dyDescent="0.25">
      <c r="A50" s="16"/>
      <c r="B50" s="32"/>
      <c r="C50" s="17"/>
      <c r="D50" s="17"/>
      <c r="E50" s="17"/>
      <c r="F50" s="17"/>
      <c r="G50" s="17"/>
      <c r="H50" s="17"/>
      <c r="I50" s="17"/>
      <c r="J50" s="18"/>
      <c r="K50" s="17"/>
    </row>
    <row r="51" spans="1:11" ht="110.25" x14ac:dyDescent="0.25">
      <c r="A51" s="16">
        <v>6</v>
      </c>
      <c r="B51" s="44" t="s">
        <v>57</v>
      </c>
      <c r="C51" s="17"/>
      <c r="D51" s="17"/>
      <c r="E51" s="17"/>
      <c r="F51" s="17"/>
      <c r="G51" s="17"/>
      <c r="H51" s="17"/>
      <c r="I51" s="17"/>
      <c r="J51" s="17"/>
      <c r="K51" s="17"/>
    </row>
    <row r="52" spans="1:11" x14ac:dyDescent="0.25">
      <c r="A52" s="16"/>
      <c r="B52" s="32" t="str">
        <f>B28</f>
        <v>-for masonary wall</v>
      </c>
      <c r="C52" s="17">
        <v>1</v>
      </c>
      <c r="D52" s="33">
        <f>D30</f>
        <v>5.486132276744895</v>
      </c>
      <c r="E52" s="33">
        <v>0.45</v>
      </c>
      <c r="F52" s="33">
        <v>0.9</v>
      </c>
      <c r="G52" s="33">
        <f>PRODUCT(C52:F52)</f>
        <v>2.2218835720816825</v>
      </c>
      <c r="H52" s="17"/>
      <c r="I52" s="17"/>
      <c r="J52" s="17"/>
      <c r="K52" s="17"/>
    </row>
    <row r="53" spans="1:11" ht="15" customHeight="1" x14ac:dyDescent="0.25">
      <c r="A53" s="2"/>
      <c r="B53" s="45" t="s">
        <v>58</v>
      </c>
      <c r="C53" s="3"/>
      <c r="D53" s="4"/>
      <c r="E53" s="5"/>
      <c r="F53" s="5"/>
      <c r="G53" s="6">
        <f>SUM(G52:G52)</f>
        <v>2.2218835720816825</v>
      </c>
      <c r="H53" s="7" t="s">
        <v>59</v>
      </c>
      <c r="I53" s="6">
        <v>8987.83</v>
      </c>
      <c r="J53" s="18">
        <f>G53*I53</f>
        <v>19969.911825662908</v>
      </c>
      <c r="K53" s="5"/>
    </row>
    <row r="54" spans="1:11" x14ac:dyDescent="0.25">
      <c r="A54" s="16"/>
      <c r="B54" s="32" t="s">
        <v>26</v>
      </c>
      <c r="C54" s="17"/>
      <c r="D54" s="17"/>
      <c r="E54" s="17"/>
      <c r="F54" s="17"/>
      <c r="G54" s="17"/>
      <c r="H54" s="17"/>
      <c r="I54" s="17"/>
      <c r="J54" s="18">
        <f>0.13*G53*(5863.95)/5</f>
        <v>338.75436848521792</v>
      </c>
      <c r="K54" s="17"/>
    </row>
    <row r="55" spans="1:11" x14ac:dyDescent="0.25">
      <c r="A55" s="16"/>
      <c r="B55" s="32" t="s">
        <v>27</v>
      </c>
      <c r="C55" s="17"/>
      <c r="D55" s="17"/>
      <c r="E55" s="17"/>
      <c r="F55" s="17"/>
      <c r="G55" s="17"/>
      <c r="H55" s="17"/>
      <c r="I55" s="17"/>
      <c r="J55" s="18">
        <f>0.13*G53*(6604.416)/5</f>
        <v>381.53032875342888</v>
      </c>
      <c r="K55" s="17"/>
    </row>
    <row r="56" spans="1:11" x14ac:dyDescent="0.25">
      <c r="A56" s="16"/>
      <c r="B56" s="32" t="s">
        <v>29</v>
      </c>
      <c r="C56" s="17"/>
      <c r="D56" s="17"/>
      <c r="E56" s="17"/>
      <c r="F56" s="17"/>
      <c r="G56" s="17"/>
      <c r="H56" s="17"/>
      <c r="I56" s="17"/>
      <c r="J56" s="18">
        <f>0.13*G53*(14808.78)/5</f>
        <v>855.48801011886621</v>
      </c>
      <c r="K56" s="17"/>
    </row>
    <row r="57" spans="1:11" x14ac:dyDescent="0.25">
      <c r="A57" s="16"/>
      <c r="B57" s="32" t="s">
        <v>30</v>
      </c>
      <c r="C57" s="17"/>
      <c r="D57" s="17"/>
      <c r="E57" s="17"/>
      <c r="F57" s="17"/>
      <c r="G57" s="17"/>
      <c r="H57" s="17"/>
      <c r="I57" s="17"/>
      <c r="J57" s="18">
        <f>0.13*G53*(310)/5</f>
        <v>17.908381590978362</v>
      </c>
      <c r="K57" s="17"/>
    </row>
    <row r="58" spans="1:11" x14ac:dyDescent="0.25">
      <c r="A58" s="16"/>
      <c r="B58" s="17"/>
      <c r="C58" s="17"/>
      <c r="D58" s="17"/>
      <c r="E58" s="17"/>
      <c r="F58" s="17"/>
      <c r="G58" s="17"/>
      <c r="H58" s="17"/>
      <c r="I58" s="17"/>
      <c r="J58" s="17"/>
      <c r="K58" s="17"/>
    </row>
    <row r="59" spans="1:11" ht="15" customHeight="1" x14ac:dyDescent="0.25">
      <c r="A59" s="2">
        <v>7</v>
      </c>
      <c r="B59" s="1" t="s">
        <v>16</v>
      </c>
      <c r="C59" s="3">
        <v>1</v>
      </c>
      <c r="D59" s="4"/>
      <c r="E59" s="5"/>
      <c r="F59" s="5"/>
      <c r="G59" s="7">
        <f t="shared" ref="G59" si="15">PRODUCT(C59:F59)</f>
        <v>1</v>
      </c>
      <c r="H59" s="7" t="s">
        <v>17</v>
      </c>
      <c r="I59" s="6">
        <v>500</v>
      </c>
      <c r="J59" s="7">
        <f>G59*I59</f>
        <v>500</v>
      </c>
      <c r="K59" s="5"/>
    </row>
    <row r="60" spans="1:11" x14ac:dyDescent="0.25">
      <c r="A60" s="2"/>
      <c r="B60" s="8"/>
      <c r="C60" s="3"/>
      <c r="D60" s="4"/>
      <c r="E60" s="5"/>
      <c r="F60" s="5"/>
      <c r="G60" s="6"/>
      <c r="H60" s="7"/>
      <c r="I60" s="6"/>
      <c r="J60" s="18"/>
      <c r="K60" s="5"/>
    </row>
    <row r="61" spans="1:11" x14ac:dyDescent="0.25">
      <c r="A61" s="21"/>
      <c r="B61" s="22" t="s">
        <v>19</v>
      </c>
      <c r="C61" s="23"/>
      <c r="D61" s="24"/>
      <c r="E61" s="24"/>
      <c r="F61" s="24"/>
      <c r="G61" s="18"/>
      <c r="H61" s="18"/>
      <c r="I61" s="18"/>
      <c r="J61" s="18">
        <f>SUM(J9:J59)</f>
        <v>118431.78438908067</v>
      </c>
      <c r="K61" s="25"/>
    </row>
    <row r="63" spans="1:11" s="20" customFormat="1" x14ac:dyDescent="0.25">
      <c r="A63" s="26"/>
      <c r="B63" s="27" t="s">
        <v>18</v>
      </c>
      <c r="C63" s="52">
        <f>J61</f>
        <v>118431.78438908067</v>
      </c>
      <c r="D63" s="53"/>
      <c r="E63" s="9">
        <v>100</v>
      </c>
      <c r="F63" s="26"/>
      <c r="G63" s="28"/>
      <c r="H63" s="26"/>
      <c r="I63" s="29"/>
      <c r="J63" s="30"/>
      <c r="K63" s="31"/>
    </row>
    <row r="64" spans="1:11" x14ac:dyDescent="0.25">
      <c r="B64" s="27" t="s">
        <v>20</v>
      </c>
      <c r="C64" s="56">
        <v>100000</v>
      </c>
      <c r="D64" s="57"/>
      <c r="E64" s="9"/>
    </row>
    <row r="65" spans="2:5" x14ac:dyDescent="0.25">
      <c r="B65" s="27" t="s">
        <v>21</v>
      </c>
      <c r="C65" s="56">
        <f>C64-C67-C68</f>
        <v>95000</v>
      </c>
      <c r="D65" s="57"/>
      <c r="E65" s="9">
        <f>C65/C63*100</f>
        <v>80.214952843992563</v>
      </c>
    </row>
    <row r="66" spans="2:5" x14ac:dyDescent="0.25">
      <c r="B66" s="27" t="s">
        <v>31</v>
      </c>
      <c r="C66" s="58">
        <f>C63-C65</f>
        <v>23431.784389080669</v>
      </c>
      <c r="D66" s="58"/>
      <c r="E66" s="9">
        <f>100-E65</f>
        <v>19.785047156007437</v>
      </c>
    </row>
    <row r="67" spans="2:5" x14ac:dyDescent="0.25">
      <c r="B67" s="27" t="s">
        <v>22</v>
      </c>
      <c r="C67" s="52">
        <f>C64*0.03</f>
        <v>3000</v>
      </c>
      <c r="D67" s="53"/>
      <c r="E67" s="9">
        <v>3</v>
      </c>
    </row>
    <row r="68" spans="2:5" x14ac:dyDescent="0.25">
      <c r="B68" s="27" t="s">
        <v>23</v>
      </c>
      <c r="C68" s="52">
        <f>C64*0.02</f>
        <v>2000</v>
      </c>
      <c r="D68" s="53"/>
      <c r="E68" s="9">
        <v>2</v>
      </c>
    </row>
  </sheetData>
  <mergeCells count="15">
    <mergeCell ref="C67:D67"/>
    <mergeCell ref="C68:D68"/>
    <mergeCell ref="A7:F7"/>
    <mergeCell ref="H7:K7"/>
    <mergeCell ref="C63:D63"/>
    <mergeCell ref="C64:D64"/>
    <mergeCell ref="C65:D65"/>
    <mergeCell ref="C66:D66"/>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2026-02-23T04:51:50Z</dcterms:modified>
</cp:coreProperties>
</file>