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91C943A1-1CE0-4D01-8F7A-1D972735744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stimate" sheetId="1" r:id="rId1"/>
    <sheet name="Valuation" sheetId="2" r:id="rId2"/>
    <sheet name="WCR" sheetId="3" r:id="rId3"/>
    <sheet name="Measure" sheetId="4" r:id="rId4"/>
  </sheets>
  <externalReferences>
    <externalReference r:id="rId5"/>
  </externalReferences>
  <definedNames>
    <definedName name="_xlnm.Print_Titles" localSheetId="0">Estimate!$1:$8</definedName>
    <definedName name="_xlnm.Print_Titles" localSheetId="3">Measure!$1:$8</definedName>
    <definedName name="_xlnm.Print_Titles" localSheetId="1">Valuation!$1:$8</definedName>
    <definedName name="_xlnm.Print_Titles" localSheetId="2">WCR!$1:$12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4" l="1"/>
  <c r="C78" i="4"/>
  <c r="G70" i="4"/>
  <c r="J70" i="4" s="1"/>
  <c r="G66" i="4"/>
  <c r="G65" i="4"/>
  <c r="G63" i="4"/>
  <c r="G62" i="4"/>
  <c r="G61" i="4"/>
  <c r="G60" i="4"/>
  <c r="G58" i="4"/>
  <c r="I53" i="4"/>
  <c r="G53" i="4"/>
  <c r="G52" i="4"/>
  <c r="G46" i="4"/>
  <c r="G45" i="4"/>
  <c r="E44" i="4"/>
  <c r="G44" i="4" s="1"/>
  <c r="G42" i="4"/>
  <c r="G41" i="4"/>
  <c r="G40" i="4"/>
  <c r="G38" i="4"/>
  <c r="G37" i="4"/>
  <c r="G36" i="4"/>
  <c r="G35" i="4"/>
  <c r="G34" i="4"/>
  <c r="G47" i="4" s="1"/>
  <c r="J47" i="4" s="1"/>
  <c r="J48" i="4" s="1"/>
  <c r="I29" i="4"/>
  <c r="G28" i="4"/>
  <c r="G27" i="4"/>
  <c r="G26" i="4"/>
  <c r="G25" i="4"/>
  <c r="G24" i="4"/>
  <c r="G22" i="4"/>
  <c r="G21" i="4"/>
  <c r="G20" i="4"/>
  <c r="G19" i="4"/>
  <c r="G17" i="4"/>
  <c r="G16" i="4"/>
  <c r="G15" i="4"/>
  <c r="G14" i="4"/>
  <c r="G13" i="4"/>
  <c r="G12" i="4"/>
  <c r="G11" i="4"/>
  <c r="I29" i="1"/>
  <c r="A8" i="3"/>
  <c r="I53" i="2"/>
  <c r="I29" i="2"/>
  <c r="I53" i="1"/>
  <c r="J53" i="4" l="1"/>
  <c r="J54" i="4" s="1"/>
  <c r="G67" i="4"/>
  <c r="J67" i="4" s="1"/>
  <c r="J68" i="4" s="1"/>
  <c r="G29" i="4"/>
  <c r="J29" i="4" s="1"/>
  <c r="J30" i="4"/>
  <c r="J72" i="4" s="1"/>
  <c r="C74" i="4" s="1"/>
  <c r="H25" i="3" l="1"/>
  <c r="E25" i="3"/>
  <c r="C25" i="3"/>
  <c r="B25" i="3"/>
  <c r="A25" i="3"/>
  <c r="H22" i="3"/>
  <c r="E22" i="3"/>
  <c r="C22" i="3"/>
  <c r="B23" i="3"/>
  <c r="B22" i="3"/>
  <c r="A22" i="3"/>
  <c r="H19" i="3"/>
  <c r="E19" i="3"/>
  <c r="C19" i="3"/>
  <c r="B20" i="3"/>
  <c r="B19" i="3"/>
  <c r="A19" i="3"/>
  <c r="H16" i="3"/>
  <c r="E16" i="3"/>
  <c r="C16" i="3"/>
  <c r="B17" i="3"/>
  <c r="B16" i="3"/>
  <c r="A16" i="3"/>
  <c r="H13" i="3"/>
  <c r="E13" i="3"/>
  <c r="C13" i="3"/>
  <c r="B14" i="3"/>
  <c r="B13" i="3"/>
  <c r="A13" i="3"/>
  <c r="A9" i="3"/>
  <c r="J6" i="3"/>
  <c r="C6" i="3"/>
  <c r="C79" i="2" l="1"/>
  <c r="C78" i="2"/>
  <c r="G70" i="2"/>
  <c r="G25" i="3" s="1"/>
  <c r="I25" i="3" s="1"/>
  <c r="G66" i="2"/>
  <c r="G65" i="2"/>
  <c r="G63" i="2"/>
  <c r="G62" i="2"/>
  <c r="G61" i="2"/>
  <c r="G60" i="2"/>
  <c r="G58" i="2"/>
  <c r="G52" i="2"/>
  <c r="G53" i="2" s="1"/>
  <c r="G46" i="2"/>
  <c r="G45" i="2"/>
  <c r="E44" i="2"/>
  <c r="G44" i="2" s="1"/>
  <c r="G42" i="2"/>
  <c r="G41" i="2"/>
  <c r="G40" i="2"/>
  <c r="G38" i="2"/>
  <c r="G37" i="2"/>
  <c r="G36" i="2"/>
  <c r="G35" i="2"/>
  <c r="G34" i="2"/>
  <c r="G28" i="2"/>
  <c r="G27" i="2"/>
  <c r="G26" i="2"/>
  <c r="G25" i="2"/>
  <c r="G24" i="2"/>
  <c r="G22" i="2"/>
  <c r="G21" i="2"/>
  <c r="G20" i="2"/>
  <c r="G19" i="2"/>
  <c r="G17" i="2"/>
  <c r="G16" i="2"/>
  <c r="G15" i="2"/>
  <c r="G14" i="2"/>
  <c r="G13" i="2"/>
  <c r="G12" i="2"/>
  <c r="G11" i="2"/>
  <c r="C79" i="1"/>
  <c r="C78" i="1"/>
  <c r="G70" i="1"/>
  <c r="D25" i="3" s="1"/>
  <c r="F25" i="3" s="1"/>
  <c r="G66" i="1"/>
  <c r="G65" i="1"/>
  <c r="G63" i="1"/>
  <c r="G62" i="1"/>
  <c r="G61" i="1"/>
  <c r="G60" i="1"/>
  <c r="G58" i="1"/>
  <c r="G52" i="1"/>
  <c r="G53" i="1" s="1"/>
  <c r="G46" i="1"/>
  <c r="G45" i="1"/>
  <c r="E44" i="1"/>
  <c r="G44" i="1" s="1"/>
  <c r="G42" i="1"/>
  <c r="G41" i="1"/>
  <c r="G40" i="1"/>
  <c r="G38" i="1"/>
  <c r="G37" i="1"/>
  <c r="G36" i="1"/>
  <c r="G35" i="1"/>
  <c r="G34" i="1"/>
  <c r="G28" i="1"/>
  <c r="G27" i="1"/>
  <c r="G26" i="1"/>
  <c r="G25" i="1"/>
  <c r="G24" i="1"/>
  <c r="G22" i="1"/>
  <c r="G21" i="1"/>
  <c r="G20" i="1"/>
  <c r="G19" i="1"/>
  <c r="G17" i="1"/>
  <c r="G16" i="1"/>
  <c r="G15" i="1"/>
  <c r="G14" i="1"/>
  <c r="G13" i="1"/>
  <c r="G12" i="1"/>
  <c r="G11" i="1"/>
  <c r="G67" i="2" l="1"/>
  <c r="G29" i="1"/>
  <c r="J70" i="1"/>
  <c r="J67" i="2"/>
  <c r="J68" i="2" s="1"/>
  <c r="I23" i="3" s="1"/>
  <c r="G22" i="3"/>
  <c r="I22" i="3" s="1"/>
  <c r="C76" i="1"/>
  <c r="J53" i="1"/>
  <c r="J54" i="1" s="1"/>
  <c r="F20" i="3" s="1"/>
  <c r="D19" i="3"/>
  <c r="F19" i="3" s="1"/>
  <c r="G29" i="2"/>
  <c r="G67" i="1"/>
  <c r="J25" i="3"/>
  <c r="J70" i="2"/>
  <c r="J53" i="2"/>
  <c r="J54" i="2" s="1"/>
  <c r="I20" i="3" s="1"/>
  <c r="G19" i="3"/>
  <c r="I19" i="3" s="1"/>
  <c r="G47" i="2"/>
  <c r="G47" i="1"/>
  <c r="J29" i="1" l="1"/>
  <c r="D13" i="3"/>
  <c r="F13" i="3" s="1"/>
  <c r="J29" i="2"/>
  <c r="J30" i="2" s="1"/>
  <c r="I14" i="3" s="1"/>
  <c r="G13" i="3"/>
  <c r="I13" i="3" s="1"/>
  <c r="J67" i="1"/>
  <c r="J68" i="1" s="1"/>
  <c r="F23" i="3" s="1"/>
  <c r="J23" i="3" s="1"/>
  <c r="D22" i="3"/>
  <c r="F22" i="3" s="1"/>
  <c r="J22" i="3" s="1"/>
  <c r="J20" i="3"/>
  <c r="J47" i="1"/>
  <c r="J48" i="1" s="1"/>
  <c r="F17" i="3" s="1"/>
  <c r="D16" i="3"/>
  <c r="F16" i="3" s="1"/>
  <c r="J47" i="2"/>
  <c r="J48" i="2" s="1"/>
  <c r="I17" i="3" s="1"/>
  <c r="G16" i="3"/>
  <c r="I16" i="3" s="1"/>
  <c r="J19" i="3"/>
  <c r="J17" i="3" l="1"/>
  <c r="J30" i="1"/>
  <c r="F14" i="3" s="1"/>
  <c r="J72" i="1"/>
  <c r="C74" i="1" s="1"/>
  <c r="C77" i="1" s="1"/>
  <c r="J13" i="3"/>
  <c r="I27" i="3"/>
  <c r="J72" i="2"/>
  <c r="C74" i="2" s="1"/>
  <c r="J16" i="3"/>
  <c r="J14" i="3" l="1"/>
  <c r="F27" i="3"/>
  <c r="E76" i="1"/>
  <c r="C76" i="4" s="1"/>
  <c r="C76" i="2"/>
  <c r="E76" i="2" s="1"/>
  <c r="E77" i="2" s="1"/>
  <c r="J27" i="3"/>
  <c r="E77" i="1" l="1"/>
  <c r="E76" i="4"/>
  <c r="E77" i="4" s="1"/>
  <c r="C77" i="4"/>
  <c r="C7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2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sliding panel only ie; window without frame</t>
        </r>
      </text>
    </comment>
    <comment ref="B38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khapa only</t>
        </r>
      </text>
    </comment>
    <comment ref="B50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2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sliding panel only ie; window without frame</t>
        </r>
      </text>
    </comment>
    <comment ref="B38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khapa only</t>
        </r>
      </text>
    </comment>
    <comment ref="B50" authorId="0" shapeId="0" xr:uid="{00000000-0006-0000-0100-000003000000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2" authorId="0" shapeId="0" xr:uid="{FBA3F1F2-4BDA-42A9-9755-1D4EC603CA5F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sliding panel only ie; window without frame</t>
        </r>
      </text>
    </comment>
    <comment ref="B38" authorId="0" shapeId="0" xr:uid="{CBAB65DE-B8C9-4538-9430-DD730B83F809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khapa only</t>
        </r>
      </text>
    </comment>
    <comment ref="B50" authorId="0" shapeId="0" xr:uid="{F9C32CB0-A179-42EE-8B35-17B03E8171E9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sharedStrings.xml><?xml version="1.0" encoding="utf-8"?>
<sst xmlns="http://schemas.openxmlformats.org/spreadsheetml/2006/main" count="271" uniqueCount="76">
  <si>
    <t>Government of Nepal</t>
  </si>
  <si>
    <t>Shankharapur Municipality Office</t>
  </si>
  <si>
    <t>Bagmati Province</t>
  </si>
  <si>
    <t>Sankhu, Kathmandu</t>
  </si>
  <si>
    <t>Detail Estimated Sheet</t>
  </si>
  <si>
    <t>Project:-Nanglebhare Police Chauki Marmat</t>
  </si>
  <si>
    <t>F.Y.: 2082/2083</t>
  </si>
  <si>
    <t>Location:- Shankharapur Municipality 9</t>
  </si>
  <si>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</si>
  <si>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</si>
  <si>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</si>
  <si>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</si>
  <si>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</si>
  <si>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</si>
  <si>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</si>
  <si>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</si>
  <si>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</si>
  <si>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</si>
  <si>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</t>
  </si>
  <si>
    <t>UPVC sliding window without net (frame 60 X 60mm sash 66 X 42mm white colour with 5mm Glass)</t>
  </si>
  <si>
    <t>Ground Floor</t>
  </si>
  <si>
    <t>-Lobby</t>
  </si>
  <si>
    <t>-main door attached window</t>
  </si>
  <si>
    <t>-traffic room</t>
  </si>
  <si>
    <t>-store room</t>
  </si>
  <si>
    <t>-Rooms</t>
  </si>
  <si>
    <t>-room near staircase</t>
  </si>
  <si>
    <t>-toilet</t>
  </si>
  <si>
    <t>First Floor</t>
  </si>
  <si>
    <t>-Civil barrack room</t>
  </si>
  <si>
    <t>-balcony passage</t>
  </si>
  <si>
    <t>-Civil barrack 2nd room</t>
  </si>
  <si>
    <t>Second Floor</t>
  </si>
  <si>
    <t>-attched window to door at balcony</t>
  </si>
  <si>
    <t>-Head room</t>
  </si>
  <si>
    <t>Sub-total</t>
  </si>
  <si>
    <t>m2</t>
  </si>
  <si>
    <t>-13% VAT for materials</t>
  </si>
  <si>
    <t>UPVC Single Door with full pannel (frame 60*60mm sash 60X100mm White Colour With  Panel)</t>
  </si>
  <si>
    <t>-Jail toilet door</t>
  </si>
  <si>
    <t>-Staircase area</t>
  </si>
  <si>
    <t>-Room near staircase</t>
  </si>
  <si>
    <t>-at staircase landing</t>
  </si>
  <si>
    <t>-Balcony on Passage</t>
  </si>
  <si>
    <t>-door to kitchen room</t>
  </si>
  <si>
    <t>UPVC Door with half  pannel half glass (frame 60*60mm sash 60X104mm White Colour With  5mm glass)</t>
  </si>
  <si>
    <t>-Main door</t>
  </si>
  <si>
    <t>-room along kitchen</t>
  </si>
  <si>
    <t>Information board (सुचना पाटि)</t>
  </si>
  <si>
    <t>no.</t>
  </si>
  <si>
    <t>Total</t>
  </si>
  <si>
    <t>Total Estimated</t>
  </si>
  <si>
    <t>Budget allocated</t>
  </si>
  <si>
    <t>Municipal payment</t>
  </si>
  <si>
    <t>Police sector contribution</t>
  </si>
  <si>
    <t xml:space="preserve">Contingencies </t>
  </si>
  <si>
    <t xml:space="preserve">Maintanince </t>
  </si>
  <si>
    <t>Total Valuated</t>
  </si>
  <si>
    <t>Detail Valuated Sheet</t>
  </si>
  <si>
    <t>Work Completion Report</t>
  </si>
  <si>
    <t>Total Estimated Amount:</t>
  </si>
  <si>
    <t>Total Valuated Amount :</t>
  </si>
  <si>
    <t xml:space="preserve">Work Started : </t>
  </si>
  <si>
    <t xml:space="preserve">Work Finished:            </t>
  </si>
  <si>
    <t>S.No.</t>
  </si>
  <si>
    <t>Description</t>
  </si>
  <si>
    <t>Estimated</t>
  </si>
  <si>
    <t>Valuated</t>
  </si>
  <si>
    <t>Difference</t>
  </si>
  <si>
    <t>Remarks</t>
  </si>
  <si>
    <t xml:space="preserve">Quantity </t>
  </si>
  <si>
    <t>4mm glass for affected openings</t>
  </si>
  <si>
    <t xml:space="preserve">F.Y:2082/2083            </t>
  </si>
  <si>
    <t xml:space="preserve">Date:                             </t>
  </si>
  <si>
    <t xml:space="preserve">Date:                  </t>
  </si>
  <si>
    <t>Detail Quantity Measurement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</si>
</sst>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sz val="18"/>
      <name val="Times New Roman"/>
      <family val="1"/>
    </font>
    <font>
      <b/>
      <sz val="1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87">
    <xf numFmtId="0" fontId="0" fillId="0" borderId="0" xfId="0"/>
    <xf numFmtId="0" fontId="4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4" fontId="9" fillId="0" borderId="0" xfId="1" applyFont="1"/>
    <xf numFmtId="0" fontId="8" fillId="0" borderId="1" xfId="0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164" fontId="9" fillId="0" borderId="2" xfId="1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6" fillId="0" borderId="2" xfId="0" applyFont="1" applyBorder="1" applyAlignment="1">
      <alignment vertical="center"/>
    </xf>
    <xf numFmtId="0" fontId="10" fillId="2" borderId="2" xfId="2" applyFill="1" applyBorder="1" applyAlignment="1">
      <alignment wrapText="1"/>
    </xf>
    <xf numFmtId="0" fontId="4" fillId="0" borderId="2" xfId="0" applyFont="1" applyBorder="1"/>
    <xf numFmtId="0" fontId="11" fillId="0" borderId="0" xfId="2" applyFont="1" applyAlignment="1">
      <alignment horizontal="center" wrapText="1"/>
    </xf>
    <xf numFmtId="0" fontId="10" fillId="2" borderId="2" xfId="2" applyFill="1" applyBorder="1" applyAlignment="1">
      <alignment horizontal="center" wrapText="1"/>
    </xf>
    <xf numFmtId="0" fontId="4" fillId="0" borderId="2" xfId="0" quotePrefix="1" applyFont="1" applyBorder="1" applyAlignment="1">
      <alignment horizontal="right"/>
    </xf>
    <xf numFmtId="2" fontId="4" fillId="0" borderId="2" xfId="0" applyNumberFormat="1" applyFont="1" applyBorder="1"/>
    <xf numFmtId="1" fontId="3" fillId="0" borderId="2" xfId="0" applyNumberFormat="1" applyFont="1" applyBorder="1" applyAlignment="1">
      <alignment vertical="center"/>
    </xf>
    <xf numFmtId="0" fontId="12" fillId="0" borderId="2" xfId="0" quotePrefix="1" applyFont="1" applyBorder="1" applyAlignment="1">
      <alignment horizontal="right" wrapText="1"/>
    </xf>
    <xf numFmtId="165" fontId="12" fillId="0" borderId="2" xfId="0" applyNumberFormat="1" applyFont="1" applyBorder="1" applyAlignment="1">
      <alignment vertical="center"/>
    </xf>
    <xf numFmtId="2" fontId="12" fillId="0" borderId="2" xfId="1" applyNumberFormat="1" applyFont="1" applyFill="1" applyBorder="1" applyAlignment="1">
      <alignment vertical="center"/>
    </xf>
    <xf numFmtId="2" fontId="12" fillId="0" borderId="2" xfId="0" applyNumberFormat="1" applyFont="1" applyBorder="1" applyAlignment="1">
      <alignment vertical="center"/>
    </xf>
    <xf numFmtId="2" fontId="3" fillId="0" borderId="2" xfId="1" applyNumberFormat="1" applyFont="1" applyFill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/>
    <xf numFmtId="0" fontId="10" fillId="2" borderId="2" xfId="2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1" fontId="12" fillId="0" borderId="2" xfId="0" applyNumberFormat="1" applyFont="1" applyBorder="1" applyAlignment="1">
      <alignment vertical="center" wrapText="1"/>
    </xf>
    <xf numFmtId="1" fontId="12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right" wrapText="1"/>
    </xf>
    <xf numFmtId="165" fontId="12" fillId="0" borderId="2" xfId="0" applyNumberFormat="1" applyFont="1" applyBorder="1"/>
    <xf numFmtId="2" fontId="12" fillId="0" borderId="2" xfId="0" applyNumberFormat="1" applyFont="1" applyBorder="1"/>
    <xf numFmtId="0" fontId="12" fillId="0" borderId="2" xfId="0" applyFont="1" applyBorder="1"/>
    <xf numFmtId="0" fontId="12" fillId="0" borderId="0" xfId="0" applyFont="1" applyAlignment="1">
      <alignment vertical="center"/>
    </xf>
    <xf numFmtId="2" fontId="4" fillId="0" borderId="2" xfId="0" applyNumberFormat="1" applyFont="1" applyBorder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3" borderId="2" xfId="0" applyFill="1" applyBorder="1"/>
    <xf numFmtId="1" fontId="21" fillId="0" borderId="2" xfId="0" applyNumberFormat="1" applyFont="1" applyBorder="1" applyAlignment="1">
      <alignment vertical="center"/>
    </xf>
    <xf numFmtId="2" fontId="0" fillId="0" borderId="2" xfId="0" applyNumberFormat="1" applyBorder="1" applyAlignment="1">
      <alignment vertical="center"/>
    </xf>
    <xf numFmtId="164" fontId="2" fillId="0" borderId="2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1" fontId="20" fillId="0" borderId="2" xfId="0" applyNumberFormat="1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/>
    </xf>
    <xf numFmtId="1" fontId="21" fillId="0" borderId="2" xfId="0" applyNumberFormat="1" applyFont="1" applyBorder="1" applyAlignment="1">
      <alignment vertical="center" wrapText="1"/>
    </xf>
    <xf numFmtId="0" fontId="0" fillId="0" borderId="2" xfId="0" applyBorder="1"/>
    <xf numFmtId="0" fontId="2" fillId="0" borderId="2" xfId="0" applyFont="1" applyBorder="1" applyAlignment="1">
      <alignment horizontal="right"/>
    </xf>
    <xf numFmtId="2" fontId="2" fillId="0" borderId="2" xfId="0" applyNumberFormat="1" applyFont="1" applyBorder="1"/>
    <xf numFmtId="1" fontId="0" fillId="0" borderId="2" xfId="0" applyNumberFormat="1" applyBorder="1"/>
    <xf numFmtId="43" fontId="2" fillId="0" borderId="2" xfId="1" applyNumberFormat="1" applyFont="1" applyBorder="1" applyAlignment="1">
      <alignment vertical="center"/>
    </xf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2" fontId="4" fillId="0" borderId="3" xfId="1" applyNumberFormat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4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81_082\ofc\ofc\estimates\Finalized%20valuations\kalimasta%20mandir\valuation%20kalima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imasta mandir final"/>
      <sheetName val="kalimasta mandir final (2)"/>
      <sheetName val="WCR"/>
      <sheetName val="valuated"/>
      <sheetName val="M"/>
    </sheetNames>
    <sheetDataSet>
      <sheetData sheetId="0" refreshError="1"/>
      <sheetData sheetId="1">
        <row r="6">
          <cell r="A6" t="str">
            <v>Project:- कालीमस्ट मन्दिर निर्माण</v>
          </cell>
        </row>
        <row r="7">
          <cell r="A7" t="str">
            <v>Location:- Shankharapur Municipality 9</v>
          </cell>
        </row>
      </sheetData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view="pageBreakPreview" topLeftCell="A46" zoomScaleNormal="100" zoomScaleSheetLayoutView="100" workbookViewId="0">
      <selection activeCell="G24" sqref="G24"/>
    </sheetView>
  </sheetViews>
  <sheetFormatPr defaultColWidth="9.140625" defaultRowHeight="15" x14ac:dyDescent="0.25"/>
  <cols>
    <col min="1" max="1" width="4.7109375" customWidth="1"/>
    <col min="2" max="2" width="30.85546875" customWidth="1"/>
    <col min="3" max="3" width="4.42578125" bestFit="1" customWidth="1"/>
    <col min="4" max="4" width="8.42578125" customWidth="1"/>
    <col min="5" max="5" width="8.5703125" customWidth="1"/>
    <col min="6" max="6" width="7.28515625" customWidth="1"/>
    <col min="8" max="8" width="5" bestFit="1" customWidth="1"/>
    <col min="9" max="9" width="9.5703125" bestFit="1" customWidth="1"/>
    <col min="10" max="10" width="11.85546875" bestFit="1" customWidth="1"/>
    <col min="13" max="16" width="0" hidden="1" customWidth="1"/>
  </cols>
  <sheetData>
    <row r="1" spans="1:13" s="1" customForma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3" s="1" customFormat="1" ht="22.5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3" s="1" customFormat="1" x14ac:dyDescent="0.25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3" s="1" customFormat="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3" s="1" customFormat="1" ht="18.75" x14ac:dyDescent="0.3">
      <c r="A5" s="65" t="s">
        <v>4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3" s="1" customFormat="1" ht="15.75" x14ac:dyDescent="0.25">
      <c r="A6" s="60" t="s">
        <v>5</v>
      </c>
      <c r="B6" s="60"/>
      <c r="C6" s="60"/>
      <c r="D6" s="60"/>
      <c r="E6" s="60"/>
      <c r="F6" s="60"/>
      <c r="G6" s="2"/>
      <c r="H6" s="61" t="s">
        <v>6</v>
      </c>
      <c r="I6" s="61"/>
      <c r="J6" s="61"/>
      <c r="K6" s="61"/>
    </row>
    <row r="7" spans="1:13" s="1" customFormat="1" ht="15.75" x14ac:dyDescent="0.25">
      <c r="A7" s="68" t="s">
        <v>7</v>
      </c>
      <c r="B7" s="68"/>
      <c r="C7" s="68"/>
      <c r="D7" s="68"/>
      <c r="E7" s="68"/>
      <c r="F7" s="68"/>
      <c r="G7" s="4"/>
      <c r="H7" s="69" t="s">
        <v>74</v>
      </c>
      <c r="I7" s="69"/>
      <c r="J7" s="69"/>
      <c r="K7" s="69"/>
    </row>
    <row r="8" spans="1:13" s="1" customFormat="1" ht="15.75" x14ac:dyDescent="0.25">
      <c r="A8" s="6" t="s">
        <v>8</v>
      </c>
      <c r="B8" s="7" t="s">
        <v>9</v>
      </c>
      <c r="C8" s="6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6" t="s">
        <v>15</v>
      </c>
      <c r="I8" s="8" t="s">
        <v>16</v>
      </c>
      <c r="J8" s="8" t="s">
        <v>17</v>
      </c>
      <c r="K8" s="9" t="s">
        <v>18</v>
      </c>
    </row>
    <row r="9" spans="1:13" s="1" customFormat="1" ht="51.75" x14ac:dyDescent="0.25">
      <c r="A9" s="10">
        <v>1</v>
      </c>
      <c r="B9" s="11" t="s">
        <v>19</v>
      </c>
      <c r="C9" s="12"/>
      <c r="D9" s="12"/>
      <c r="E9" s="12"/>
      <c r="F9" s="12"/>
      <c r="G9" s="12"/>
      <c r="H9" s="12"/>
      <c r="I9" s="12"/>
      <c r="J9" s="12"/>
      <c r="K9" s="12"/>
      <c r="M9" s="13"/>
    </row>
    <row r="10" spans="1:13" s="1" customFormat="1" x14ac:dyDescent="0.25">
      <c r="A10" s="10"/>
      <c r="B10" s="14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3" s="1" customFormat="1" x14ac:dyDescent="0.25">
      <c r="A11" s="10"/>
      <c r="B11" s="15" t="s">
        <v>21</v>
      </c>
      <c r="C11" s="12">
        <v>1</v>
      </c>
      <c r="D11" s="16">
        <v>1.81</v>
      </c>
      <c r="E11" s="16">
        <v>1.33</v>
      </c>
      <c r="F11" s="16"/>
      <c r="G11" s="16">
        <f t="shared" ref="G11:G28" si="0">PRODUCT(C11:F11)</f>
        <v>2.4073000000000002</v>
      </c>
      <c r="H11" s="12"/>
      <c r="I11" s="12"/>
      <c r="J11" s="12"/>
      <c r="K11" s="12"/>
    </row>
    <row r="12" spans="1:13" s="1" customFormat="1" x14ac:dyDescent="0.25">
      <c r="A12" s="10"/>
      <c r="B12" s="15" t="s">
        <v>22</v>
      </c>
      <c r="C12" s="12">
        <v>2</v>
      </c>
      <c r="D12" s="16">
        <v>0.67</v>
      </c>
      <c r="E12" s="16">
        <v>2.04</v>
      </c>
      <c r="F12" s="16"/>
      <c r="G12" s="16">
        <f t="shared" si="0"/>
        <v>2.7336</v>
      </c>
      <c r="H12" s="12"/>
      <c r="I12" s="12"/>
      <c r="J12" s="12"/>
      <c r="K12" s="12"/>
    </row>
    <row r="13" spans="1:13" s="1" customFormat="1" x14ac:dyDescent="0.25">
      <c r="A13" s="10"/>
      <c r="B13" s="15" t="s">
        <v>23</v>
      </c>
      <c r="C13" s="12">
        <v>1</v>
      </c>
      <c r="D13" s="16">
        <v>1.2</v>
      </c>
      <c r="E13" s="16">
        <v>1.32</v>
      </c>
      <c r="F13" s="16"/>
      <c r="G13" s="16">
        <f t="shared" si="0"/>
        <v>1.5840000000000001</v>
      </c>
      <c r="H13" s="12"/>
      <c r="I13" s="12"/>
      <c r="J13" s="12"/>
      <c r="K13" s="12"/>
    </row>
    <row r="14" spans="1:13" s="1" customFormat="1" x14ac:dyDescent="0.25">
      <c r="A14" s="10"/>
      <c r="B14" s="15" t="s">
        <v>24</v>
      </c>
      <c r="C14" s="12">
        <v>3</v>
      </c>
      <c r="D14" s="16">
        <v>0.62</v>
      </c>
      <c r="E14" s="16">
        <v>1.22</v>
      </c>
      <c r="F14" s="16"/>
      <c r="G14" s="16">
        <f t="shared" si="0"/>
        <v>2.2691999999999997</v>
      </c>
      <c r="H14" s="12"/>
      <c r="I14" s="12"/>
      <c r="J14" s="12"/>
      <c r="K14" s="12"/>
    </row>
    <row r="15" spans="1:13" s="1" customFormat="1" x14ac:dyDescent="0.25">
      <c r="A15" s="10"/>
      <c r="B15" s="15" t="s">
        <v>25</v>
      </c>
      <c r="C15" s="12">
        <v>1</v>
      </c>
      <c r="D15" s="16">
        <v>0.62</v>
      </c>
      <c r="E15" s="16">
        <v>1.22</v>
      </c>
      <c r="F15" s="16"/>
      <c r="G15" s="16">
        <f t="shared" si="0"/>
        <v>0.75639999999999996</v>
      </c>
      <c r="H15" s="12"/>
      <c r="I15" s="12"/>
      <c r="J15" s="12"/>
      <c r="K15" s="12"/>
    </row>
    <row r="16" spans="1:13" s="1" customFormat="1" x14ac:dyDescent="0.25">
      <c r="A16" s="10"/>
      <c r="B16" s="15" t="s">
        <v>26</v>
      </c>
      <c r="C16" s="12">
        <v>1</v>
      </c>
      <c r="D16" s="16">
        <v>1.81</v>
      </c>
      <c r="E16" s="16">
        <v>1.32</v>
      </c>
      <c r="F16" s="16"/>
      <c r="G16" s="16">
        <f>PRODUCT(C16:F16)</f>
        <v>2.3892000000000002</v>
      </c>
      <c r="H16" s="12"/>
      <c r="I16" s="12"/>
      <c r="J16" s="12"/>
      <c r="K16" s="12"/>
    </row>
    <row r="17" spans="1:11" s="1" customFormat="1" x14ac:dyDescent="0.25">
      <c r="A17" s="10"/>
      <c r="B17" s="15" t="s">
        <v>27</v>
      </c>
      <c r="C17" s="12">
        <v>2</v>
      </c>
      <c r="D17" s="16">
        <v>0.9</v>
      </c>
      <c r="E17" s="16">
        <v>0.55000000000000004</v>
      </c>
      <c r="F17" s="16"/>
      <c r="G17" s="16">
        <f t="shared" si="0"/>
        <v>0.9900000000000001</v>
      </c>
      <c r="H17" s="12"/>
      <c r="I17" s="12"/>
      <c r="J17" s="12"/>
      <c r="K17" s="12"/>
    </row>
    <row r="18" spans="1:11" s="1" customFormat="1" x14ac:dyDescent="0.25">
      <c r="A18" s="10"/>
      <c r="B18" s="14" t="s">
        <v>28</v>
      </c>
      <c r="C18" s="12"/>
      <c r="D18" s="16"/>
      <c r="E18" s="16"/>
      <c r="F18" s="16"/>
      <c r="G18" s="16"/>
      <c r="H18" s="12"/>
      <c r="I18" s="12"/>
      <c r="J18" s="12"/>
      <c r="K18" s="12"/>
    </row>
    <row r="19" spans="1:11" s="1" customFormat="1" x14ac:dyDescent="0.25">
      <c r="A19" s="10"/>
      <c r="B19" s="15" t="s">
        <v>29</v>
      </c>
      <c r="C19" s="12">
        <v>1</v>
      </c>
      <c r="D19" s="16">
        <v>0.62</v>
      </c>
      <c r="E19" s="16">
        <v>1.2</v>
      </c>
      <c r="F19" s="16"/>
      <c r="G19" s="16">
        <f>PRODUCT(C19:F19)</f>
        <v>0.74399999999999999</v>
      </c>
      <c r="H19" s="12"/>
      <c r="I19" s="12"/>
      <c r="J19" s="12"/>
      <c r="K19" s="12"/>
    </row>
    <row r="20" spans="1:11" s="1" customFormat="1" x14ac:dyDescent="0.25">
      <c r="A20" s="10"/>
      <c r="B20" s="15" t="s">
        <v>30</v>
      </c>
      <c r="C20" s="12">
        <v>1</v>
      </c>
      <c r="D20" s="16">
        <v>0.45</v>
      </c>
      <c r="E20" s="16">
        <v>1.27</v>
      </c>
      <c r="F20" s="16"/>
      <c r="G20" s="16">
        <f t="shared" si="0"/>
        <v>0.57150000000000001</v>
      </c>
      <c r="H20" s="12"/>
      <c r="I20" s="12"/>
      <c r="J20" s="12"/>
      <c r="K20" s="12"/>
    </row>
    <row r="21" spans="1:11" s="1" customFormat="1" x14ac:dyDescent="0.25">
      <c r="A21" s="10"/>
      <c r="B21" s="15" t="s">
        <v>31</v>
      </c>
      <c r="C21" s="12">
        <v>2</v>
      </c>
      <c r="D21" s="16">
        <v>1.8</v>
      </c>
      <c r="E21" s="16">
        <v>1.32</v>
      </c>
      <c r="F21" s="16"/>
      <c r="G21" s="16">
        <f t="shared" si="0"/>
        <v>4.7520000000000007</v>
      </c>
      <c r="H21" s="12"/>
      <c r="I21" s="12"/>
      <c r="J21" s="12"/>
      <c r="K21" s="12"/>
    </row>
    <row r="22" spans="1:11" s="1" customFormat="1" x14ac:dyDescent="0.25">
      <c r="A22" s="10"/>
      <c r="B22" s="15"/>
      <c r="C22" s="12">
        <v>3</v>
      </c>
      <c r="D22" s="16">
        <v>0.6</v>
      </c>
      <c r="E22" s="16">
        <v>1.22</v>
      </c>
      <c r="F22" s="16"/>
      <c r="G22" s="16">
        <f t="shared" si="0"/>
        <v>2.1959999999999997</v>
      </c>
      <c r="H22" s="12"/>
      <c r="I22" s="12"/>
      <c r="J22" s="12"/>
      <c r="K22" s="12"/>
    </row>
    <row r="23" spans="1:11" s="1" customFormat="1" x14ac:dyDescent="0.25">
      <c r="A23" s="10"/>
      <c r="B23" s="14" t="s">
        <v>32</v>
      </c>
      <c r="C23" s="12"/>
      <c r="D23" s="16"/>
      <c r="E23" s="16"/>
      <c r="F23" s="16"/>
      <c r="G23" s="16"/>
      <c r="H23" s="12"/>
      <c r="I23" s="12"/>
      <c r="J23" s="12"/>
      <c r="K23" s="12"/>
    </row>
    <row r="24" spans="1:11" s="1" customFormat="1" x14ac:dyDescent="0.25">
      <c r="A24" s="10"/>
      <c r="B24" s="15" t="s">
        <v>33</v>
      </c>
      <c r="C24" s="12">
        <v>1</v>
      </c>
      <c r="D24" s="16">
        <v>0.71499999999999997</v>
      </c>
      <c r="E24" s="16">
        <v>1.38</v>
      </c>
      <c r="F24" s="16"/>
      <c r="G24" s="16">
        <f t="shared" si="0"/>
        <v>0.98669999999999991</v>
      </c>
      <c r="H24" s="12"/>
      <c r="I24" s="12"/>
      <c r="J24" s="12"/>
      <c r="K24" s="12"/>
    </row>
    <row r="25" spans="1:11" s="1" customFormat="1" x14ac:dyDescent="0.25">
      <c r="A25" s="10"/>
      <c r="B25" s="15"/>
      <c r="C25" s="12">
        <v>1</v>
      </c>
      <c r="D25" s="16">
        <v>0.71499999999999997</v>
      </c>
      <c r="E25" s="16">
        <v>0.52</v>
      </c>
      <c r="F25" s="16"/>
      <c r="G25" s="16">
        <f t="shared" si="0"/>
        <v>0.37180000000000002</v>
      </c>
      <c r="H25" s="12"/>
      <c r="I25" s="12"/>
      <c r="J25" s="12"/>
      <c r="K25" s="12"/>
    </row>
    <row r="26" spans="1:11" s="1" customFormat="1" x14ac:dyDescent="0.25">
      <c r="A26" s="10"/>
      <c r="B26" s="15"/>
      <c r="C26" s="12">
        <v>1</v>
      </c>
      <c r="D26" s="16">
        <v>0.79</v>
      </c>
      <c r="E26" s="16">
        <v>2.0299999999999998</v>
      </c>
      <c r="F26" s="16"/>
      <c r="G26" s="16">
        <f t="shared" si="0"/>
        <v>1.6036999999999999</v>
      </c>
      <c r="H26" s="12"/>
      <c r="I26" s="12"/>
      <c r="J26" s="12"/>
      <c r="K26" s="12"/>
    </row>
    <row r="27" spans="1:11" s="1" customFormat="1" x14ac:dyDescent="0.25">
      <c r="A27" s="10"/>
      <c r="B27" s="15" t="s">
        <v>34</v>
      </c>
      <c r="C27" s="12">
        <v>1</v>
      </c>
      <c r="D27" s="16">
        <v>1.8</v>
      </c>
      <c r="E27" s="16">
        <v>1.32</v>
      </c>
      <c r="F27" s="16"/>
      <c r="G27" s="16">
        <f t="shared" si="0"/>
        <v>2.3760000000000003</v>
      </c>
      <c r="H27" s="12"/>
      <c r="I27" s="12"/>
      <c r="J27" s="12"/>
      <c r="K27" s="12"/>
    </row>
    <row r="28" spans="1:11" s="1" customFormat="1" x14ac:dyDescent="0.25">
      <c r="A28" s="10"/>
      <c r="B28" s="15"/>
      <c r="C28" s="12">
        <v>1</v>
      </c>
      <c r="D28" s="16">
        <v>1.8</v>
      </c>
      <c r="E28" s="16">
        <v>1.32</v>
      </c>
      <c r="F28" s="16"/>
      <c r="G28" s="16">
        <f t="shared" si="0"/>
        <v>2.3760000000000003</v>
      </c>
      <c r="H28" s="12"/>
      <c r="I28" s="12"/>
      <c r="J28" s="12"/>
      <c r="K28" s="12"/>
    </row>
    <row r="29" spans="1:11" s="1" customFormat="1" ht="15" customHeight="1" x14ac:dyDescent="0.25">
      <c r="A29" s="17"/>
      <c r="B29" s="18" t="s">
        <v>35</v>
      </c>
      <c r="C29" s="19"/>
      <c r="D29" s="20"/>
      <c r="E29" s="21"/>
      <c r="F29" s="21"/>
      <c r="G29" s="22">
        <f>SUM(G11:G28)</f>
        <v>29.107400000000002</v>
      </c>
      <c r="H29" s="23" t="s">
        <v>36</v>
      </c>
      <c r="I29" s="22">
        <f>6997-850.04+742.44</f>
        <v>6889.4</v>
      </c>
      <c r="J29" s="24">
        <f>G29*I29</f>
        <v>200532.52155999999</v>
      </c>
      <c r="K29" s="21"/>
    </row>
    <row r="30" spans="1:11" s="1" customFormat="1" x14ac:dyDescent="0.25">
      <c r="A30" s="10"/>
      <c r="B30" s="15" t="s">
        <v>37</v>
      </c>
      <c r="C30" s="12"/>
      <c r="D30" s="12"/>
      <c r="E30" s="12"/>
      <c r="F30" s="12"/>
      <c r="G30" s="12"/>
      <c r="H30" s="12"/>
      <c r="I30" s="12"/>
      <c r="J30" s="24">
        <f>0.13*J29</f>
        <v>26069.2278028</v>
      </c>
      <c r="K30" s="12"/>
    </row>
    <row r="31" spans="1:11" s="1" customFormat="1" x14ac:dyDescent="0.25">
      <c r="A31" s="10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s="27" customFormat="1" ht="54.75" customHeight="1" x14ac:dyDescent="0.25">
      <c r="A32" s="10">
        <v>2</v>
      </c>
      <c r="B32" s="25" t="s">
        <v>38</v>
      </c>
      <c r="C32" s="26"/>
      <c r="D32" s="26"/>
      <c r="E32" s="26"/>
      <c r="F32" s="26"/>
      <c r="G32" s="26"/>
      <c r="H32" s="26"/>
      <c r="I32" s="26"/>
      <c r="J32" s="26"/>
      <c r="K32" s="26"/>
    </row>
    <row r="33" spans="1:11" s="1" customFormat="1" x14ac:dyDescent="0.25">
      <c r="A33" s="10"/>
      <c r="B33" s="14" t="s">
        <v>20</v>
      </c>
      <c r="C33" s="12"/>
      <c r="D33" s="12"/>
      <c r="E33" s="12"/>
      <c r="F33" s="12"/>
      <c r="G33" s="12"/>
      <c r="H33" s="12"/>
      <c r="I33" s="12"/>
      <c r="J33" s="12"/>
      <c r="K33" s="12"/>
    </row>
    <row r="34" spans="1:11" s="1" customFormat="1" x14ac:dyDescent="0.25">
      <c r="A34" s="10"/>
      <c r="B34" s="15" t="s">
        <v>39</v>
      </c>
      <c r="C34" s="12">
        <v>2</v>
      </c>
      <c r="D34" s="16">
        <v>0.74</v>
      </c>
      <c r="E34" s="16">
        <v>1.89</v>
      </c>
      <c r="F34" s="16"/>
      <c r="G34" s="16">
        <f t="shared" ref="G34:G42" si="1">PRODUCT(C34:F34)</f>
        <v>2.7971999999999997</v>
      </c>
      <c r="H34" s="12"/>
      <c r="I34" s="12"/>
      <c r="J34" s="12"/>
      <c r="K34" s="12"/>
    </row>
    <row r="35" spans="1:11" s="1" customFormat="1" x14ac:dyDescent="0.25">
      <c r="A35" s="10"/>
      <c r="B35" s="15" t="s">
        <v>24</v>
      </c>
      <c r="C35" s="12">
        <v>1</v>
      </c>
      <c r="D35" s="16">
        <v>0.98</v>
      </c>
      <c r="E35" s="16">
        <v>2.02</v>
      </c>
      <c r="F35" s="16"/>
      <c r="G35" s="16">
        <f t="shared" si="1"/>
        <v>1.9796</v>
      </c>
      <c r="H35" s="12"/>
      <c r="I35" s="12"/>
      <c r="J35" s="12"/>
      <c r="K35" s="12"/>
    </row>
    <row r="36" spans="1:11" s="1" customFormat="1" x14ac:dyDescent="0.25">
      <c r="A36" s="10"/>
      <c r="B36" s="15" t="s">
        <v>40</v>
      </c>
      <c r="C36" s="12">
        <v>1</v>
      </c>
      <c r="D36" s="16">
        <v>0.97</v>
      </c>
      <c r="E36" s="16">
        <v>2.0499999999999998</v>
      </c>
      <c r="F36" s="16"/>
      <c r="G36" s="16">
        <f t="shared" si="1"/>
        <v>1.9884999999999997</v>
      </c>
      <c r="H36" s="12"/>
      <c r="I36" s="12"/>
      <c r="J36" s="12"/>
      <c r="K36" s="12"/>
    </row>
    <row r="37" spans="1:11" s="1" customFormat="1" x14ac:dyDescent="0.25">
      <c r="A37" s="10"/>
      <c r="B37" s="15" t="s">
        <v>41</v>
      </c>
      <c r="C37" s="12">
        <v>1</v>
      </c>
      <c r="D37" s="16">
        <v>0.98</v>
      </c>
      <c r="E37" s="16">
        <v>2.0499999999999998</v>
      </c>
      <c r="F37" s="16"/>
      <c r="G37" s="16">
        <f t="shared" si="1"/>
        <v>2.0089999999999999</v>
      </c>
      <c r="H37" s="12"/>
      <c r="I37" s="12"/>
      <c r="J37" s="12"/>
      <c r="K37" s="12"/>
    </row>
    <row r="38" spans="1:11" s="1" customFormat="1" x14ac:dyDescent="0.25">
      <c r="A38" s="10"/>
      <c r="B38" s="15" t="s">
        <v>42</v>
      </c>
      <c r="C38" s="12">
        <v>1</v>
      </c>
      <c r="D38" s="16">
        <v>0.91</v>
      </c>
      <c r="E38" s="16">
        <v>1.96</v>
      </c>
      <c r="F38" s="16"/>
      <c r="G38" s="16">
        <f t="shared" si="1"/>
        <v>1.7836000000000001</v>
      </c>
      <c r="H38" s="12"/>
      <c r="I38" s="12"/>
      <c r="J38" s="12"/>
      <c r="K38" s="12"/>
    </row>
    <row r="39" spans="1:11" s="1" customFormat="1" x14ac:dyDescent="0.25">
      <c r="A39" s="10"/>
      <c r="B39" s="14" t="s">
        <v>28</v>
      </c>
      <c r="C39" s="12"/>
      <c r="D39" s="16"/>
      <c r="E39" s="16"/>
      <c r="F39" s="16"/>
      <c r="G39" s="16"/>
      <c r="H39" s="12"/>
      <c r="I39" s="12"/>
      <c r="J39" s="12"/>
      <c r="K39" s="12"/>
    </row>
    <row r="40" spans="1:11" s="1" customFormat="1" x14ac:dyDescent="0.25">
      <c r="A40" s="10"/>
      <c r="B40" s="15" t="s">
        <v>29</v>
      </c>
      <c r="C40" s="12">
        <v>1</v>
      </c>
      <c r="D40" s="16">
        <v>0.93</v>
      </c>
      <c r="E40" s="16">
        <v>2</v>
      </c>
      <c r="F40" s="16"/>
      <c r="G40" s="16">
        <f t="shared" si="1"/>
        <v>1.86</v>
      </c>
      <c r="H40" s="12"/>
      <c r="I40" s="12"/>
      <c r="J40" s="12"/>
      <c r="K40" s="12"/>
    </row>
    <row r="41" spans="1:11" s="1" customFormat="1" x14ac:dyDescent="0.25">
      <c r="A41" s="10"/>
      <c r="B41" s="15" t="s">
        <v>31</v>
      </c>
      <c r="C41" s="12">
        <v>1</v>
      </c>
      <c r="D41" s="16">
        <v>0.95</v>
      </c>
      <c r="E41" s="16">
        <v>2.06</v>
      </c>
      <c r="F41" s="16"/>
      <c r="G41" s="16">
        <f t="shared" si="1"/>
        <v>1.9569999999999999</v>
      </c>
      <c r="H41" s="12"/>
      <c r="I41" s="12"/>
      <c r="J41" s="12"/>
      <c r="K41" s="12"/>
    </row>
    <row r="42" spans="1:11" s="1" customFormat="1" x14ac:dyDescent="0.25">
      <c r="A42" s="10"/>
      <c r="B42" s="15" t="s">
        <v>43</v>
      </c>
      <c r="C42" s="12">
        <v>1</v>
      </c>
      <c r="D42" s="16">
        <v>0.94</v>
      </c>
      <c r="E42" s="16">
        <v>1.98</v>
      </c>
      <c r="F42" s="16"/>
      <c r="G42" s="16">
        <f t="shared" si="1"/>
        <v>1.8612</v>
      </c>
      <c r="H42" s="12"/>
      <c r="I42" s="12"/>
      <c r="J42" s="12"/>
      <c r="K42" s="12"/>
    </row>
    <row r="43" spans="1:11" s="1" customFormat="1" x14ac:dyDescent="0.25">
      <c r="A43" s="10"/>
      <c r="B43" s="14" t="s">
        <v>32</v>
      </c>
      <c r="C43" s="12"/>
      <c r="D43" s="16"/>
      <c r="E43" s="16"/>
      <c r="F43" s="16"/>
      <c r="G43" s="16"/>
      <c r="H43" s="12"/>
      <c r="I43" s="12"/>
      <c r="J43" s="12"/>
      <c r="K43" s="12"/>
    </row>
    <row r="44" spans="1:11" s="1" customFormat="1" x14ac:dyDescent="0.25">
      <c r="A44" s="10"/>
      <c r="B44" s="15" t="s">
        <v>43</v>
      </c>
      <c r="C44" s="12">
        <v>1</v>
      </c>
      <c r="D44" s="16">
        <v>0.98499999999999999</v>
      </c>
      <c r="E44" s="16">
        <f>2.67-0.52</f>
        <v>2.15</v>
      </c>
      <c r="F44" s="16"/>
      <c r="G44" s="16">
        <f t="shared" ref="G44" si="2">PRODUCT(C44:F44)</f>
        <v>2.11775</v>
      </c>
      <c r="H44" s="12"/>
      <c r="I44" s="12"/>
      <c r="J44" s="12"/>
      <c r="K44" s="12"/>
    </row>
    <row r="45" spans="1:11" s="1" customFormat="1" x14ac:dyDescent="0.25">
      <c r="A45" s="10"/>
      <c r="B45" s="15" t="s">
        <v>34</v>
      </c>
      <c r="C45" s="12">
        <v>1</v>
      </c>
      <c r="D45" s="16">
        <v>0.94499999999999995</v>
      </c>
      <c r="E45" s="16">
        <v>2.0699999999999998</v>
      </c>
      <c r="F45" s="16"/>
      <c r="G45" s="16">
        <f>PRODUCT(C45:F45)</f>
        <v>1.9561499999999998</v>
      </c>
      <c r="H45" s="12"/>
      <c r="I45" s="12"/>
      <c r="J45" s="12"/>
      <c r="K45" s="12"/>
    </row>
    <row r="46" spans="1:11" s="1" customFormat="1" x14ac:dyDescent="0.25">
      <c r="A46" s="10"/>
      <c r="B46" s="15" t="s">
        <v>44</v>
      </c>
      <c r="C46" s="12">
        <v>1</v>
      </c>
      <c r="D46" s="16">
        <v>0.94</v>
      </c>
      <c r="E46" s="16">
        <v>2.0499999999999998</v>
      </c>
      <c r="F46" s="16"/>
      <c r="G46" s="16">
        <f t="shared" ref="G46" si="3">PRODUCT(C46:F46)</f>
        <v>1.9269999999999998</v>
      </c>
      <c r="H46" s="12"/>
      <c r="I46" s="12"/>
      <c r="J46" s="12"/>
      <c r="K46" s="12"/>
    </row>
    <row r="47" spans="1:11" s="1" customFormat="1" ht="15" customHeight="1" x14ac:dyDescent="0.25">
      <c r="A47" s="17"/>
      <c r="B47" s="18" t="s">
        <v>35</v>
      </c>
      <c r="C47" s="19"/>
      <c r="D47" s="20"/>
      <c r="E47" s="21"/>
      <c r="F47" s="21"/>
      <c r="G47" s="22">
        <f>SUM(G34:G46)</f>
        <v>22.237000000000002</v>
      </c>
      <c r="H47" s="23" t="s">
        <v>36</v>
      </c>
      <c r="I47" s="22">
        <v>8744</v>
      </c>
      <c r="J47" s="24">
        <f>G47*I47</f>
        <v>194440.32800000001</v>
      </c>
      <c r="K47" s="21"/>
    </row>
    <row r="48" spans="1:11" s="1" customFormat="1" x14ac:dyDescent="0.25">
      <c r="A48" s="10"/>
      <c r="B48" s="15" t="s">
        <v>37</v>
      </c>
      <c r="C48" s="12"/>
      <c r="D48" s="12"/>
      <c r="E48" s="12"/>
      <c r="F48" s="12"/>
      <c r="G48" s="12"/>
      <c r="H48" s="12"/>
      <c r="I48" s="12"/>
      <c r="J48" s="24">
        <f>0.13*J47</f>
        <v>25277.24264</v>
      </c>
      <c r="K48" s="12"/>
    </row>
    <row r="49" spans="1:11" s="1" customFormat="1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s="27" customFormat="1" ht="54.75" customHeight="1" x14ac:dyDescent="0.25">
      <c r="A50" s="10">
        <v>3</v>
      </c>
      <c r="B50" s="25" t="s">
        <v>45</v>
      </c>
      <c r="C50" s="26"/>
      <c r="D50" s="26"/>
      <c r="E50" s="26"/>
      <c r="F50" s="26"/>
      <c r="G50" s="26"/>
      <c r="H50" s="26"/>
      <c r="I50" s="26"/>
      <c r="J50" s="26"/>
      <c r="K50" s="26"/>
    </row>
    <row r="51" spans="1:11" s="1" customFormat="1" x14ac:dyDescent="0.25">
      <c r="A51" s="10"/>
      <c r="B51" s="14" t="s">
        <v>20</v>
      </c>
      <c r="C51" s="12"/>
      <c r="D51" s="12"/>
      <c r="E51" s="12"/>
      <c r="F51" s="12"/>
      <c r="G51" s="12"/>
      <c r="H51" s="12"/>
      <c r="I51" s="12"/>
      <c r="J51" s="12"/>
      <c r="K51" s="12"/>
    </row>
    <row r="52" spans="1:11" s="1" customFormat="1" x14ac:dyDescent="0.25">
      <c r="A52" s="10"/>
      <c r="B52" s="15" t="s">
        <v>46</v>
      </c>
      <c r="C52" s="12">
        <v>1</v>
      </c>
      <c r="D52" s="16">
        <v>1.22</v>
      </c>
      <c r="E52" s="16">
        <v>2.04</v>
      </c>
      <c r="F52" s="16"/>
      <c r="G52" s="16">
        <f t="shared" ref="G52" si="4">PRODUCT(C52:F52)</f>
        <v>2.4887999999999999</v>
      </c>
      <c r="H52" s="12"/>
      <c r="I52" s="12"/>
      <c r="J52" s="12"/>
      <c r="K52" s="12"/>
    </row>
    <row r="53" spans="1:11" s="1" customFormat="1" ht="15" customHeight="1" x14ac:dyDescent="0.25">
      <c r="A53" s="17"/>
      <c r="B53" s="18" t="s">
        <v>35</v>
      </c>
      <c r="C53" s="19"/>
      <c r="D53" s="20"/>
      <c r="E53" s="21"/>
      <c r="F53" s="21"/>
      <c r="G53" s="22">
        <f>SUM(G52:G52)</f>
        <v>2.4887999999999999</v>
      </c>
      <c r="H53" s="23" t="s">
        <v>36</v>
      </c>
      <c r="I53" s="22">
        <f>8624-850.04+742.44</f>
        <v>8516.4</v>
      </c>
      <c r="J53" s="24">
        <f>G53*I53</f>
        <v>21195.616319999997</v>
      </c>
      <c r="K53" s="21"/>
    </row>
    <row r="54" spans="1:11" s="1" customFormat="1" x14ac:dyDescent="0.25">
      <c r="A54" s="10"/>
      <c r="B54" s="15" t="s">
        <v>37</v>
      </c>
      <c r="C54" s="12"/>
      <c r="D54" s="12"/>
      <c r="E54" s="12"/>
      <c r="F54" s="12"/>
      <c r="G54" s="12"/>
      <c r="H54" s="12"/>
      <c r="I54" s="12"/>
      <c r="J54" s="24">
        <f>0.13*J53</f>
        <v>2755.4301215999999</v>
      </c>
      <c r="K54" s="12"/>
    </row>
    <row r="55" spans="1:11" s="1" customFormat="1" x14ac:dyDescent="0.25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s="1" customFormat="1" x14ac:dyDescent="0.25">
      <c r="A56" s="10">
        <v>4</v>
      </c>
      <c r="B56" s="28" t="s">
        <v>71</v>
      </c>
      <c r="C56" s="12"/>
      <c r="D56" s="12"/>
      <c r="E56" s="12"/>
      <c r="F56" s="12"/>
      <c r="G56" s="12"/>
      <c r="H56" s="12"/>
      <c r="I56" s="12"/>
      <c r="J56" s="12"/>
      <c r="K56" s="12"/>
    </row>
    <row r="57" spans="1:11" s="1" customFormat="1" x14ac:dyDescent="0.25">
      <c r="A57" s="10"/>
      <c r="B57" s="14" t="s">
        <v>20</v>
      </c>
      <c r="C57" s="12"/>
      <c r="D57" s="12"/>
      <c r="E57" s="12"/>
      <c r="F57" s="12"/>
      <c r="G57" s="12"/>
      <c r="H57" s="12"/>
      <c r="I57" s="12"/>
      <c r="J57" s="12"/>
      <c r="K57" s="12"/>
    </row>
    <row r="58" spans="1:11" s="1" customFormat="1" x14ac:dyDescent="0.25">
      <c r="A58" s="10"/>
      <c r="B58" s="15" t="s">
        <v>24</v>
      </c>
      <c r="C58" s="12">
        <v>3</v>
      </c>
      <c r="D58" s="16">
        <v>0.51</v>
      </c>
      <c r="E58" s="16">
        <v>1.1200000000000001</v>
      </c>
      <c r="F58" s="16"/>
      <c r="G58" s="16">
        <f>PRODUCT(C58:F58)</f>
        <v>1.7136000000000002</v>
      </c>
      <c r="H58" s="12"/>
      <c r="I58" s="12"/>
      <c r="J58" s="12"/>
      <c r="K58" s="12"/>
    </row>
    <row r="59" spans="1:11" s="1" customFormat="1" x14ac:dyDescent="0.25">
      <c r="A59" s="10"/>
      <c r="B59" s="14" t="s">
        <v>28</v>
      </c>
      <c r="C59" s="12"/>
      <c r="D59" s="16"/>
      <c r="E59" s="16"/>
      <c r="F59" s="16"/>
      <c r="G59" s="16"/>
      <c r="H59" s="12"/>
      <c r="I59" s="12"/>
      <c r="J59" s="12"/>
      <c r="K59" s="12"/>
    </row>
    <row r="60" spans="1:11" s="1" customFormat="1" x14ac:dyDescent="0.25">
      <c r="A60" s="10"/>
      <c r="B60" s="15" t="s">
        <v>29</v>
      </c>
      <c r="C60" s="12">
        <v>3</v>
      </c>
      <c r="D60" s="16">
        <v>0.5</v>
      </c>
      <c r="E60" s="16">
        <v>1.1000000000000001</v>
      </c>
      <c r="F60" s="16"/>
      <c r="G60" s="16">
        <f t="shared" ref="G60:G63" si="5">PRODUCT(C60:F60)</f>
        <v>1.6500000000000001</v>
      </c>
      <c r="H60" s="12"/>
      <c r="I60" s="12"/>
      <c r="J60" s="12"/>
      <c r="K60" s="12"/>
    </row>
    <row r="61" spans="1:11" s="1" customFormat="1" x14ac:dyDescent="0.25">
      <c r="A61" s="10"/>
      <c r="B61" s="15"/>
      <c r="C61" s="12">
        <v>3</v>
      </c>
      <c r="D61" s="16">
        <v>0.5</v>
      </c>
      <c r="E61" s="16">
        <v>1.1000000000000001</v>
      </c>
      <c r="F61" s="16"/>
      <c r="G61" s="16">
        <f t="shared" si="5"/>
        <v>1.6500000000000001</v>
      </c>
      <c r="H61" s="12"/>
      <c r="I61" s="12"/>
      <c r="J61" s="12"/>
      <c r="K61" s="12"/>
    </row>
    <row r="62" spans="1:11" s="1" customFormat="1" x14ac:dyDescent="0.25">
      <c r="A62" s="10"/>
      <c r="B62" s="15"/>
      <c r="C62" s="12">
        <v>3</v>
      </c>
      <c r="D62" s="16">
        <v>0.5</v>
      </c>
      <c r="E62" s="16">
        <v>1.1000000000000001</v>
      </c>
      <c r="F62" s="16"/>
      <c r="G62" s="16">
        <f t="shared" si="5"/>
        <v>1.6500000000000001</v>
      </c>
      <c r="H62" s="12"/>
      <c r="I62" s="12"/>
      <c r="J62" s="12"/>
      <c r="K62" s="12"/>
    </row>
    <row r="63" spans="1:11" s="1" customFormat="1" x14ac:dyDescent="0.25">
      <c r="A63" s="10"/>
      <c r="B63" s="15"/>
      <c r="C63" s="12">
        <v>1</v>
      </c>
      <c r="D63" s="16">
        <v>0.5</v>
      </c>
      <c r="E63" s="16">
        <v>1.1000000000000001</v>
      </c>
      <c r="F63" s="16"/>
      <c r="G63" s="16">
        <f t="shared" si="5"/>
        <v>0.55000000000000004</v>
      </c>
      <c r="H63" s="12"/>
      <c r="I63" s="12"/>
      <c r="J63" s="12"/>
      <c r="K63" s="12"/>
    </row>
    <row r="64" spans="1:11" s="1" customFormat="1" x14ac:dyDescent="0.25">
      <c r="A64" s="10"/>
      <c r="B64" s="14" t="s">
        <v>32</v>
      </c>
      <c r="C64" s="12"/>
      <c r="D64" s="16"/>
      <c r="E64" s="16"/>
      <c r="F64" s="16"/>
      <c r="G64" s="16"/>
      <c r="H64" s="12"/>
      <c r="I64" s="12"/>
      <c r="J64" s="12"/>
      <c r="K64" s="12"/>
    </row>
    <row r="65" spans="1:19" s="1" customFormat="1" x14ac:dyDescent="0.25">
      <c r="A65" s="10"/>
      <c r="B65" s="15" t="s">
        <v>47</v>
      </c>
      <c r="C65" s="12">
        <v>2</v>
      </c>
      <c r="D65" s="16">
        <v>0.47</v>
      </c>
      <c r="E65" s="16">
        <v>1.1100000000000001</v>
      </c>
      <c r="F65" s="16"/>
      <c r="G65" s="16">
        <f t="shared" ref="G65:G66" si="6">PRODUCT(C65:F65)</f>
        <v>1.0434000000000001</v>
      </c>
      <c r="H65" s="12"/>
      <c r="I65" s="12"/>
      <c r="J65" s="12"/>
      <c r="K65" s="12"/>
    </row>
    <row r="66" spans="1:19" s="1" customFormat="1" x14ac:dyDescent="0.25">
      <c r="A66" s="10"/>
      <c r="B66" s="15"/>
      <c r="C66" s="12">
        <v>3</v>
      </c>
      <c r="D66" s="16">
        <v>0.49</v>
      </c>
      <c r="E66" s="16">
        <v>1.1399999999999999</v>
      </c>
      <c r="F66" s="16"/>
      <c r="G66" s="16">
        <f t="shared" si="6"/>
        <v>1.6757999999999997</v>
      </c>
      <c r="H66" s="12"/>
      <c r="I66" s="12"/>
      <c r="J66" s="12"/>
      <c r="K66" s="12"/>
    </row>
    <row r="67" spans="1:19" s="1" customFormat="1" ht="15" customHeight="1" x14ac:dyDescent="0.25">
      <c r="A67" s="17"/>
      <c r="B67" s="18" t="s">
        <v>35</v>
      </c>
      <c r="C67" s="19"/>
      <c r="D67" s="20"/>
      <c r="E67" s="21"/>
      <c r="F67" s="21"/>
      <c r="G67" s="22">
        <f>SUM(G58:G66)</f>
        <v>9.9328000000000003</v>
      </c>
      <c r="H67" s="23" t="s">
        <v>36</v>
      </c>
      <c r="I67" s="22">
        <v>742.44</v>
      </c>
      <c r="J67" s="24">
        <f>G67*I67</f>
        <v>7374.5080320000006</v>
      </c>
      <c r="K67" s="21"/>
    </row>
    <row r="68" spans="1:19" s="1" customFormat="1" x14ac:dyDescent="0.25">
      <c r="A68" s="10"/>
      <c r="B68" s="15" t="s">
        <v>37</v>
      </c>
      <c r="C68" s="12"/>
      <c r="D68" s="12"/>
      <c r="E68" s="12"/>
      <c r="F68" s="12"/>
      <c r="G68" s="12"/>
      <c r="H68" s="12"/>
      <c r="I68" s="12"/>
      <c r="J68" s="24">
        <f>0.13*J67</f>
        <v>958.68604416000016</v>
      </c>
      <c r="K68" s="12"/>
    </row>
    <row r="69" spans="1:19" s="1" customFormat="1" x14ac:dyDescent="0.25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9" s="1" customFormat="1" ht="15" customHeight="1" x14ac:dyDescent="0.25">
      <c r="A70" s="17">
        <v>5</v>
      </c>
      <c r="B70" s="28" t="s">
        <v>48</v>
      </c>
      <c r="C70" s="12">
        <v>1</v>
      </c>
      <c r="D70" s="20"/>
      <c r="E70" s="21"/>
      <c r="F70" s="21"/>
      <c r="G70" s="23">
        <f t="shared" ref="G70" si="7">PRODUCT(C70:F70)</f>
        <v>1</v>
      </c>
      <c r="H70" s="23" t="s">
        <v>49</v>
      </c>
      <c r="I70" s="22">
        <v>500</v>
      </c>
      <c r="J70" s="23">
        <f>G70*I70</f>
        <v>500</v>
      </c>
      <c r="K70" s="21"/>
    </row>
    <row r="71" spans="1:19" s="1" customFormat="1" ht="11.25" customHeight="1" x14ac:dyDescent="0.25">
      <c r="A71" s="17"/>
      <c r="B71" s="29"/>
      <c r="C71" s="19"/>
      <c r="D71" s="20"/>
      <c r="E71" s="21"/>
      <c r="F71" s="21"/>
      <c r="G71" s="22"/>
      <c r="H71" s="23"/>
      <c r="I71" s="22"/>
      <c r="J71" s="24"/>
      <c r="K71" s="21"/>
    </row>
    <row r="72" spans="1:19" s="1" customFormat="1" x14ac:dyDescent="0.25">
      <c r="A72" s="30"/>
      <c r="B72" s="31" t="s">
        <v>50</v>
      </c>
      <c r="C72" s="32"/>
      <c r="D72" s="33"/>
      <c r="E72" s="33"/>
      <c r="F72" s="33"/>
      <c r="G72" s="24"/>
      <c r="H72" s="24"/>
      <c r="I72" s="24"/>
      <c r="J72" s="24">
        <f>SUM(J29:J70)</f>
        <v>479103.56052055996</v>
      </c>
      <c r="K72" s="34"/>
    </row>
    <row r="73" spans="1:19" s="1" customFormat="1" x14ac:dyDescent="0.25">
      <c r="M73" s="27"/>
      <c r="N73" s="27"/>
      <c r="O73" s="27"/>
      <c r="P73" s="27"/>
      <c r="Q73" s="27"/>
      <c r="R73" s="27"/>
      <c r="S73" s="27"/>
    </row>
    <row r="74" spans="1:19" s="27" customFormat="1" x14ac:dyDescent="0.25">
      <c r="A74" s="35"/>
      <c r="B74" s="26" t="s">
        <v>51</v>
      </c>
      <c r="C74" s="66">
        <f>J72</f>
        <v>479103.56052055996</v>
      </c>
      <c r="D74" s="67"/>
      <c r="E74" s="36">
        <v>100</v>
      </c>
      <c r="F74" s="35"/>
      <c r="G74" s="37"/>
      <c r="H74" s="35"/>
      <c r="I74" s="38"/>
      <c r="J74" s="39"/>
      <c r="K74" s="40"/>
      <c r="M74" s="1"/>
      <c r="N74" s="1"/>
      <c r="O74" s="1"/>
      <c r="P74" s="1"/>
      <c r="Q74" s="1"/>
      <c r="R74" s="1"/>
      <c r="S74" s="1"/>
    </row>
    <row r="75" spans="1:19" s="1" customFormat="1" x14ac:dyDescent="0.25">
      <c r="B75" s="26" t="s">
        <v>52</v>
      </c>
      <c r="C75" s="70">
        <v>200000</v>
      </c>
      <c r="D75" s="71"/>
      <c r="E75" s="36"/>
    </row>
    <row r="76" spans="1:19" s="1" customFormat="1" x14ac:dyDescent="0.25">
      <c r="B76" s="26" t="s">
        <v>53</v>
      </c>
      <c r="C76" s="70">
        <f>C75-C78-C79</f>
        <v>190000</v>
      </c>
      <c r="D76" s="71"/>
      <c r="E76" s="36">
        <f>C76/C74*100</f>
        <v>39.657396783601328</v>
      </c>
    </row>
    <row r="77" spans="1:19" s="1" customFormat="1" x14ac:dyDescent="0.25">
      <c r="B77" s="26" t="s">
        <v>54</v>
      </c>
      <c r="C77" s="72">
        <f>C74-C76</f>
        <v>289103.56052055996</v>
      </c>
      <c r="D77" s="72"/>
      <c r="E77" s="36">
        <f>100-E76</f>
        <v>60.342603216398672</v>
      </c>
    </row>
    <row r="78" spans="1:19" s="1" customFormat="1" x14ac:dyDescent="0.25">
      <c r="B78" s="26" t="s">
        <v>55</v>
      </c>
      <c r="C78" s="66">
        <f>C75*0.03</f>
        <v>6000</v>
      </c>
      <c r="D78" s="67"/>
      <c r="E78" s="36">
        <v>3</v>
      </c>
    </row>
    <row r="79" spans="1:19" s="1" customFormat="1" x14ac:dyDescent="0.25">
      <c r="B79" s="26" t="s">
        <v>56</v>
      </c>
      <c r="C79" s="66">
        <f>C75*0.02</f>
        <v>4000</v>
      </c>
      <c r="D79" s="67"/>
      <c r="E79" s="36">
        <v>2</v>
      </c>
    </row>
  </sheetData>
  <mergeCells count="15">
    <mergeCell ref="C78:D78"/>
    <mergeCell ref="C79:D79"/>
    <mergeCell ref="A7:F7"/>
    <mergeCell ref="H7:K7"/>
    <mergeCell ref="C74:D74"/>
    <mergeCell ref="C75:D75"/>
    <mergeCell ref="C76:D76"/>
    <mergeCell ref="C77:D77"/>
    <mergeCell ref="A6:F6"/>
    <mergeCell ref="H6:K6"/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scale="80" orientation="portrait" verticalDpi="0" r:id="rId1"/>
  <headerFooter>
    <oddFooter>&amp;LPrepared By:&amp;CChecked By:&amp;RApproved By:</oddFooter>
  </headerFooter>
  <rowBreaks count="1" manualBreakCount="1">
    <brk id="4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9"/>
  <sheetViews>
    <sheetView view="pageBreakPreview" zoomScale="80" zoomScaleNormal="100" zoomScaleSheetLayoutView="80" workbookViewId="0">
      <selection activeCell="A28" sqref="A28:XFD28"/>
    </sheetView>
  </sheetViews>
  <sheetFormatPr defaultColWidth="9.140625" defaultRowHeight="15" x14ac:dyDescent="0.25"/>
  <cols>
    <col min="1" max="1" width="4.7109375" customWidth="1"/>
    <col min="2" max="2" width="30.85546875" customWidth="1"/>
    <col min="3" max="3" width="4.42578125" bestFit="1" customWidth="1"/>
    <col min="4" max="4" width="8.42578125" customWidth="1"/>
    <col min="5" max="5" width="8.5703125" customWidth="1"/>
    <col min="6" max="6" width="7.28515625" customWidth="1"/>
    <col min="8" max="8" width="5" bestFit="1" customWidth="1"/>
    <col min="9" max="9" width="9.5703125" bestFit="1" customWidth="1"/>
    <col min="10" max="10" width="11.85546875" bestFit="1" customWidth="1"/>
    <col min="13" max="16" width="0" hidden="1" customWidth="1"/>
  </cols>
  <sheetData>
    <row r="1" spans="1:13" s="1" customForma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3" s="1" customFormat="1" ht="22.5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3" s="1" customFormat="1" x14ac:dyDescent="0.25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3" s="1" customFormat="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3" s="1" customFormat="1" ht="18.75" x14ac:dyDescent="0.3">
      <c r="A5" s="65" t="s">
        <v>58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3" s="1" customFormat="1" ht="15.75" x14ac:dyDescent="0.25">
      <c r="A6" s="60" t="s">
        <v>5</v>
      </c>
      <c r="B6" s="60"/>
      <c r="C6" s="60"/>
      <c r="D6" s="60"/>
      <c r="E6" s="60"/>
      <c r="F6" s="60"/>
      <c r="G6" s="2"/>
      <c r="H6" s="61" t="s">
        <v>6</v>
      </c>
      <c r="I6" s="61"/>
      <c r="J6" s="61"/>
      <c r="K6" s="61"/>
    </row>
    <row r="7" spans="1:13" s="1" customFormat="1" ht="15.75" x14ac:dyDescent="0.25">
      <c r="A7" s="68" t="s">
        <v>7</v>
      </c>
      <c r="B7" s="68"/>
      <c r="C7" s="68"/>
      <c r="D7" s="68"/>
      <c r="E7" s="68"/>
      <c r="F7" s="68"/>
      <c r="G7" s="4"/>
      <c r="H7" s="69" t="s">
        <v>74</v>
      </c>
      <c r="I7" s="69"/>
      <c r="J7" s="69"/>
      <c r="K7" s="69"/>
    </row>
    <row r="8" spans="1:13" s="1" customFormat="1" ht="15.75" x14ac:dyDescent="0.25">
      <c r="A8" s="6" t="s">
        <v>8</v>
      </c>
      <c r="B8" s="7" t="s">
        <v>9</v>
      </c>
      <c r="C8" s="6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6" t="s">
        <v>15</v>
      </c>
      <c r="I8" s="8" t="s">
        <v>16</v>
      </c>
      <c r="J8" s="8" t="s">
        <v>17</v>
      </c>
      <c r="K8" s="9" t="s">
        <v>18</v>
      </c>
    </row>
    <row r="9" spans="1:13" s="1" customFormat="1" ht="51.75" x14ac:dyDescent="0.25">
      <c r="A9" s="10">
        <v>1</v>
      </c>
      <c r="B9" s="11" t="s">
        <v>19</v>
      </c>
      <c r="C9" s="12"/>
      <c r="D9" s="12"/>
      <c r="E9" s="12"/>
      <c r="F9" s="12"/>
      <c r="G9" s="12"/>
      <c r="H9" s="12"/>
      <c r="I9" s="12"/>
      <c r="J9" s="12"/>
      <c r="K9" s="12"/>
      <c r="M9" s="13"/>
    </row>
    <row r="10" spans="1:13" s="1" customFormat="1" x14ac:dyDescent="0.25">
      <c r="A10" s="10"/>
      <c r="B10" s="14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3" s="1" customFormat="1" x14ac:dyDescent="0.25">
      <c r="A11" s="10"/>
      <c r="B11" s="15" t="s">
        <v>21</v>
      </c>
      <c r="C11" s="12">
        <v>1</v>
      </c>
      <c r="D11" s="16">
        <v>1.81</v>
      </c>
      <c r="E11" s="16">
        <v>1.33</v>
      </c>
      <c r="F11" s="16"/>
      <c r="G11" s="16">
        <f t="shared" ref="G11:G28" si="0">PRODUCT(C11:F11)</f>
        <v>2.4073000000000002</v>
      </c>
      <c r="H11" s="12"/>
      <c r="I11" s="12"/>
      <c r="J11" s="12"/>
      <c r="K11" s="12"/>
    </row>
    <row r="12" spans="1:13" s="1" customFormat="1" x14ac:dyDescent="0.25">
      <c r="A12" s="10"/>
      <c r="B12" s="15" t="s">
        <v>22</v>
      </c>
      <c r="C12" s="12">
        <v>2</v>
      </c>
      <c r="D12" s="16">
        <v>0.67</v>
      </c>
      <c r="E12" s="16">
        <v>2.04</v>
      </c>
      <c r="F12" s="16"/>
      <c r="G12" s="16">
        <f t="shared" si="0"/>
        <v>2.7336</v>
      </c>
      <c r="H12" s="12"/>
      <c r="I12" s="12"/>
      <c r="J12" s="12"/>
      <c r="K12" s="12"/>
    </row>
    <row r="13" spans="1:13" s="1" customFormat="1" x14ac:dyDescent="0.25">
      <c r="A13" s="10"/>
      <c r="B13" s="15" t="s">
        <v>23</v>
      </c>
      <c r="C13" s="12">
        <v>1</v>
      </c>
      <c r="D13" s="16">
        <v>1.2</v>
      </c>
      <c r="E13" s="16">
        <v>1.32</v>
      </c>
      <c r="F13" s="16"/>
      <c r="G13" s="16">
        <f t="shared" si="0"/>
        <v>1.5840000000000001</v>
      </c>
      <c r="H13" s="12"/>
      <c r="I13" s="12"/>
      <c r="J13" s="12"/>
      <c r="K13" s="12"/>
    </row>
    <row r="14" spans="1:13" s="1" customFormat="1" x14ac:dyDescent="0.25">
      <c r="A14" s="10"/>
      <c r="B14" s="15" t="s">
        <v>24</v>
      </c>
      <c r="C14" s="12">
        <v>3</v>
      </c>
      <c r="D14" s="16">
        <v>0.62</v>
      </c>
      <c r="E14" s="16">
        <v>1.22</v>
      </c>
      <c r="F14" s="16"/>
      <c r="G14" s="16">
        <f t="shared" si="0"/>
        <v>2.2691999999999997</v>
      </c>
      <c r="H14" s="12"/>
      <c r="I14" s="12"/>
      <c r="J14" s="12"/>
      <c r="K14" s="12"/>
    </row>
    <row r="15" spans="1:13" s="1" customFormat="1" x14ac:dyDescent="0.25">
      <c r="A15" s="10"/>
      <c r="B15" s="15" t="s">
        <v>25</v>
      </c>
      <c r="C15" s="12">
        <v>1</v>
      </c>
      <c r="D15" s="16">
        <v>0.62</v>
      </c>
      <c r="E15" s="16">
        <v>1.22</v>
      </c>
      <c r="F15" s="16"/>
      <c r="G15" s="16">
        <f t="shared" si="0"/>
        <v>0.75639999999999996</v>
      </c>
      <c r="H15" s="12"/>
      <c r="I15" s="12"/>
      <c r="J15" s="12"/>
      <c r="K15" s="12"/>
    </row>
    <row r="16" spans="1:13" s="1" customFormat="1" x14ac:dyDescent="0.25">
      <c r="A16" s="10"/>
      <c r="B16" s="15" t="s">
        <v>26</v>
      </c>
      <c r="C16" s="12">
        <v>1</v>
      </c>
      <c r="D16" s="16">
        <v>1.81</v>
      </c>
      <c r="E16" s="16">
        <v>1.32</v>
      </c>
      <c r="F16" s="16"/>
      <c r="G16" s="16">
        <f>PRODUCT(C16:F16)</f>
        <v>2.3892000000000002</v>
      </c>
      <c r="H16" s="12"/>
      <c r="I16" s="12"/>
      <c r="J16" s="12"/>
      <c r="K16" s="12"/>
    </row>
    <row r="17" spans="1:11" s="1" customFormat="1" x14ac:dyDescent="0.25">
      <c r="A17" s="10"/>
      <c r="B17" s="15" t="s">
        <v>27</v>
      </c>
      <c r="C17" s="12">
        <v>2</v>
      </c>
      <c r="D17" s="16">
        <v>0.9</v>
      </c>
      <c r="E17" s="16">
        <v>0.55000000000000004</v>
      </c>
      <c r="F17" s="16"/>
      <c r="G17" s="16">
        <f t="shared" si="0"/>
        <v>0.9900000000000001</v>
      </c>
      <c r="H17" s="12"/>
      <c r="I17" s="12"/>
      <c r="J17" s="12"/>
      <c r="K17" s="12"/>
    </row>
    <row r="18" spans="1:11" s="1" customFormat="1" x14ac:dyDescent="0.25">
      <c r="A18" s="10"/>
      <c r="B18" s="14" t="s">
        <v>28</v>
      </c>
      <c r="C18" s="12"/>
      <c r="D18" s="16"/>
      <c r="E18" s="16"/>
      <c r="F18" s="16"/>
      <c r="G18" s="16"/>
      <c r="H18" s="12"/>
      <c r="I18" s="12"/>
      <c r="J18" s="12"/>
      <c r="K18" s="12"/>
    </row>
    <row r="19" spans="1:11" s="1" customFormat="1" x14ac:dyDescent="0.25">
      <c r="A19" s="10"/>
      <c r="B19" s="15" t="s">
        <v>29</v>
      </c>
      <c r="C19" s="12">
        <v>1</v>
      </c>
      <c r="D19" s="16">
        <v>0.62</v>
      </c>
      <c r="E19" s="16">
        <v>1.2</v>
      </c>
      <c r="F19" s="16"/>
      <c r="G19" s="16">
        <f>PRODUCT(C19:F19)</f>
        <v>0.74399999999999999</v>
      </c>
      <c r="H19" s="12"/>
      <c r="I19" s="12"/>
      <c r="J19" s="12"/>
      <c r="K19" s="12"/>
    </row>
    <row r="20" spans="1:11" s="1" customFormat="1" x14ac:dyDescent="0.25">
      <c r="A20" s="10"/>
      <c r="B20" s="15" t="s">
        <v>30</v>
      </c>
      <c r="C20" s="12">
        <v>1</v>
      </c>
      <c r="D20" s="16">
        <v>0.45</v>
      </c>
      <c r="E20" s="16">
        <v>1.27</v>
      </c>
      <c r="F20" s="16"/>
      <c r="G20" s="16">
        <f t="shared" si="0"/>
        <v>0.57150000000000001</v>
      </c>
      <c r="H20" s="12"/>
      <c r="I20" s="12"/>
      <c r="J20" s="12"/>
      <c r="K20" s="12"/>
    </row>
    <row r="21" spans="1:11" s="1" customFormat="1" x14ac:dyDescent="0.25">
      <c r="A21" s="10"/>
      <c r="B21" s="15" t="s">
        <v>31</v>
      </c>
      <c r="C21" s="12">
        <v>2</v>
      </c>
      <c r="D21" s="16">
        <v>1.8</v>
      </c>
      <c r="E21" s="16">
        <v>1.32</v>
      </c>
      <c r="F21" s="16"/>
      <c r="G21" s="16">
        <f t="shared" si="0"/>
        <v>4.7520000000000007</v>
      </c>
      <c r="H21" s="12"/>
      <c r="I21" s="12"/>
      <c r="J21" s="12"/>
      <c r="K21" s="12"/>
    </row>
    <row r="22" spans="1:11" s="1" customFormat="1" x14ac:dyDescent="0.25">
      <c r="A22" s="10"/>
      <c r="B22" s="15"/>
      <c r="C22" s="12">
        <v>3</v>
      </c>
      <c r="D22" s="16">
        <v>0.6</v>
      </c>
      <c r="E22" s="16">
        <v>1.22</v>
      </c>
      <c r="F22" s="16"/>
      <c r="G22" s="16">
        <f t="shared" si="0"/>
        <v>2.1959999999999997</v>
      </c>
      <c r="H22" s="12"/>
      <c r="I22" s="12"/>
      <c r="J22" s="12"/>
      <c r="K22" s="12"/>
    </row>
    <row r="23" spans="1:11" s="1" customFormat="1" x14ac:dyDescent="0.25">
      <c r="A23" s="10"/>
      <c r="B23" s="14" t="s">
        <v>32</v>
      </c>
      <c r="C23" s="12"/>
      <c r="D23" s="16"/>
      <c r="E23" s="16"/>
      <c r="F23" s="16"/>
      <c r="G23" s="16"/>
      <c r="H23" s="12"/>
      <c r="I23" s="12"/>
      <c r="J23" s="12"/>
      <c r="K23" s="12"/>
    </row>
    <row r="24" spans="1:11" s="1" customFormat="1" x14ac:dyDescent="0.25">
      <c r="A24" s="10"/>
      <c r="B24" s="15" t="s">
        <v>33</v>
      </c>
      <c r="C24" s="12">
        <v>1</v>
      </c>
      <c r="D24" s="16">
        <v>0.71499999999999997</v>
      </c>
      <c r="E24" s="16">
        <v>1.38</v>
      </c>
      <c r="F24" s="16"/>
      <c r="G24" s="16">
        <f t="shared" si="0"/>
        <v>0.98669999999999991</v>
      </c>
      <c r="H24" s="12"/>
      <c r="I24" s="12"/>
      <c r="J24" s="12"/>
      <c r="K24" s="12"/>
    </row>
    <row r="25" spans="1:11" s="1" customFormat="1" x14ac:dyDescent="0.25">
      <c r="A25" s="10"/>
      <c r="B25" s="15"/>
      <c r="C25" s="12">
        <v>1</v>
      </c>
      <c r="D25" s="16">
        <v>0.71499999999999997</v>
      </c>
      <c r="E25" s="16">
        <v>0.52</v>
      </c>
      <c r="F25" s="16"/>
      <c r="G25" s="16">
        <f t="shared" si="0"/>
        <v>0.37180000000000002</v>
      </c>
      <c r="H25" s="12"/>
      <c r="I25" s="12"/>
      <c r="J25" s="12"/>
      <c r="K25" s="12"/>
    </row>
    <row r="26" spans="1:11" s="1" customFormat="1" x14ac:dyDescent="0.25">
      <c r="A26" s="10"/>
      <c r="B26" s="15"/>
      <c r="C26" s="12">
        <v>1</v>
      </c>
      <c r="D26" s="16">
        <v>0.79</v>
      </c>
      <c r="E26" s="16">
        <v>2.0299999999999998</v>
      </c>
      <c r="F26" s="16"/>
      <c r="G26" s="16">
        <f t="shared" si="0"/>
        <v>1.6036999999999999</v>
      </c>
      <c r="H26" s="12"/>
      <c r="I26" s="12"/>
      <c r="J26" s="12"/>
      <c r="K26" s="12"/>
    </row>
    <row r="27" spans="1:11" s="1" customFormat="1" x14ac:dyDescent="0.25">
      <c r="A27" s="10"/>
      <c r="B27" s="15" t="s">
        <v>34</v>
      </c>
      <c r="C27" s="12">
        <v>1</v>
      </c>
      <c r="D27" s="16">
        <v>1.8</v>
      </c>
      <c r="E27" s="16">
        <v>1.32</v>
      </c>
      <c r="F27" s="16"/>
      <c r="G27" s="16">
        <f t="shared" si="0"/>
        <v>2.3760000000000003</v>
      </c>
      <c r="H27" s="12"/>
      <c r="I27" s="12"/>
      <c r="J27" s="12"/>
      <c r="K27" s="12"/>
    </row>
    <row r="28" spans="1:11" s="1" customFormat="1" x14ac:dyDescent="0.25">
      <c r="A28" s="10"/>
      <c r="B28" s="15"/>
      <c r="C28" s="12">
        <v>1</v>
      </c>
      <c r="D28" s="16">
        <v>1.8</v>
      </c>
      <c r="E28" s="16">
        <v>1.32</v>
      </c>
      <c r="F28" s="16"/>
      <c r="G28" s="16">
        <f t="shared" si="0"/>
        <v>2.3760000000000003</v>
      </c>
      <c r="H28" s="12"/>
      <c r="I28" s="12"/>
      <c r="J28" s="12"/>
      <c r="K28" s="12"/>
    </row>
    <row r="29" spans="1:11" s="1" customFormat="1" ht="15" customHeight="1" x14ac:dyDescent="0.25">
      <c r="A29" s="17"/>
      <c r="B29" s="18" t="s">
        <v>35</v>
      </c>
      <c r="C29" s="19"/>
      <c r="D29" s="20"/>
      <c r="E29" s="21"/>
      <c r="F29" s="21"/>
      <c r="G29" s="22">
        <f>SUM(G11:G28)</f>
        <v>29.107400000000002</v>
      </c>
      <c r="H29" s="23" t="s">
        <v>36</v>
      </c>
      <c r="I29" s="22">
        <f>6997-850.04+742.44</f>
        <v>6889.4</v>
      </c>
      <c r="J29" s="24">
        <f>G29*I29</f>
        <v>200532.52155999999</v>
      </c>
      <c r="K29" s="21"/>
    </row>
    <row r="30" spans="1:11" s="1" customFormat="1" x14ac:dyDescent="0.25">
      <c r="A30" s="10"/>
      <c r="B30" s="15" t="s">
        <v>37</v>
      </c>
      <c r="C30" s="12"/>
      <c r="D30" s="12"/>
      <c r="E30" s="12"/>
      <c r="F30" s="12"/>
      <c r="G30" s="12"/>
      <c r="H30" s="12"/>
      <c r="I30" s="12"/>
      <c r="J30" s="24">
        <f>0.13*J29</f>
        <v>26069.2278028</v>
      </c>
      <c r="K30" s="12"/>
    </row>
    <row r="31" spans="1:11" s="1" customFormat="1" x14ac:dyDescent="0.25">
      <c r="A31" s="10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s="27" customFormat="1" ht="54.75" customHeight="1" x14ac:dyDescent="0.25">
      <c r="A32" s="10">
        <v>2</v>
      </c>
      <c r="B32" s="25" t="s">
        <v>38</v>
      </c>
      <c r="C32" s="26"/>
      <c r="D32" s="26"/>
      <c r="E32" s="26"/>
      <c r="F32" s="26"/>
      <c r="G32" s="26"/>
      <c r="H32" s="26"/>
      <c r="I32" s="26"/>
      <c r="J32" s="26"/>
      <c r="K32" s="26"/>
    </row>
    <row r="33" spans="1:11" s="1" customFormat="1" x14ac:dyDescent="0.25">
      <c r="A33" s="10"/>
      <c r="B33" s="14" t="s">
        <v>20</v>
      </c>
      <c r="C33" s="12"/>
      <c r="D33" s="12"/>
      <c r="E33" s="12"/>
      <c r="F33" s="12"/>
      <c r="G33" s="12"/>
      <c r="H33" s="12"/>
      <c r="I33" s="12"/>
      <c r="J33" s="12"/>
      <c r="K33" s="12"/>
    </row>
    <row r="34" spans="1:11" s="1" customFormat="1" x14ac:dyDescent="0.25">
      <c r="A34" s="10"/>
      <c r="B34" s="15" t="s">
        <v>39</v>
      </c>
      <c r="C34" s="12">
        <v>2</v>
      </c>
      <c r="D34" s="16">
        <v>0.74</v>
      </c>
      <c r="E34" s="16">
        <v>1.89</v>
      </c>
      <c r="F34" s="16"/>
      <c r="G34" s="16">
        <f t="shared" ref="G34:G42" si="1">PRODUCT(C34:F34)</f>
        <v>2.7971999999999997</v>
      </c>
      <c r="H34" s="12"/>
      <c r="I34" s="12"/>
      <c r="J34" s="12"/>
      <c r="K34" s="12"/>
    </row>
    <row r="35" spans="1:11" s="1" customFormat="1" x14ac:dyDescent="0.25">
      <c r="A35" s="10"/>
      <c r="B35" s="15" t="s">
        <v>24</v>
      </c>
      <c r="C35" s="12">
        <v>1</v>
      </c>
      <c r="D35" s="16">
        <v>0.98</v>
      </c>
      <c r="E35" s="16">
        <v>2.02</v>
      </c>
      <c r="F35" s="16"/>
      <c r="G35" s="16">
        <f t="shared" si="1"/>
        <v>1.9796</v>
      </c>
      <c r="H35" s="12"/>
      <c r="I35" s="12"/>
      <c r="J35" s="12"/>
      <c r="K35" s="12"/>
    </row>
    <row r="36" spans="1:11" s="1" customFormat="1" x14ac:dyDescent="0.25">
      <c r="A36" s="10"/>
      <c r="B36" s="15" t="s">
        <v>40</v>
      </c>
      <c r="C36" s="12">
        <v>1</v>
      </c>
      <c r="D36" s="16">
        <v>0.97</v>
      </c>
      <c r="E36" s="16">
        <v>2.0499999999999998</v>
      </c>
      <c r="F36" s="16"/>
      <c r="G36" s="16">
        <f t="shared" si="1"/>
        <v>1.9884999999999997</v>
      </c>
      <c r="H36" s="12"/>
      <c r="I36" s="12"/>
      <c r="J36" s="12"/>
      <c r="K36" s="12"/>
    </row>
    <row r="37" spans="1:11" s="1" customFormat="1" x14ac:dyDescent="0.25">
      <c r="A37" s="10"/>
      <c r="B37" s="15" t="s">
        <v>41</v>
      </c>
      <c r="C37" s="12">
        <v>1</v>
      </c>
      <c r="D37" s="16">
        <v>0.98</v>
      </c>
      <c r="E37" s="16">
        <v>2.0499999999999998</v>
      </c>
      <c r="F37" s="16"/>
      <c r="G37" s="16">
        <f t="shared" si="1"/>
        <v>2.0089999999999999</v>
      </c>
      <c r="H37" s="12"/>
      <c r="I37" s="12"/>
      <c r="J37" s="12"/>
      <c r="K37" s="12"/>
    </row>
    <row r="38" spans="1:11" s="1" customFormat="1" x14ac:dyDescent="0.25">
      <c r="A38" s="10"/>
      <c r="B38" s="15" t="s">
        <v>42</v>
      </c>
      <c r="C38" s="12">
        <v>1</v>
      </c>
      <c r="D38" s="16">
        <v>0.91</v>
      </c>
      <c r="E38" s="16">
        <v>1.96</v>
      </c>
      <c r="F38" s="16"/>
      <c r="G38" s="16">
        <f t="shared" si="1"/>
        <v>1.7836000000000001</v>
      </c>
      <c r="H38" s="12"/>
      <c r="I38" s="12"/>
      <c r="J38" s="12"/>
      <c r="K38" s="12"/>
    </row>
    <row r="39" spans="1:11" s="1" customFormat="1" x14ac:dyDescent="0.25">
      <c r="A39" s="10"/>
      <c r="B39" s="14" t="s">
        <v>28</v>
      </c>
      <c r="C39" s="12"/>
      <c r="D39" s="16"/>
      <c r="E39" s="16"/>
      <c r="F39" s="16"/>
      <c r="G39" s="16"/>
      <c r="H39" s="12"/>
      <c r="I39" s="12"/>
      <c r="J39" s="12"/>
      <c r="K39" s="12"/>
    </row>
    <row r="40" spans="1:11" s="1" customFormat="1" x14ac:dyDescent="0.25">
      <c r="A40" s="10"/>
      <c r="B40" s="15" t="s">
        <v>29</v>
      </c>
      <c r="C40" s="12">
        <v>1</v>
      </c>
      <c r="D40" s="16">
        <v>0.93</v>
      </c>
      <c r="E40" s="16">
        <v>2</v>
      </c>
      <c r="F40" s="16"/>
      <c r="G40" s="16">
        <f t="shared" si="1"/>
        <v>1.86</v>
      </c>
      <c r="H40" s="12"/>
      <c r="I40" s="12"/>
      <c r="J40" s="12"/>
      <c r="K40" s="12"/>
    </row>
    <row r="41" spans="1:11" s="1" customFormat="1" x14ac:dyDescent="0.25">
      <c r="A41" s="10"/>
      <c r="B41" s="15" t="s">
        <v>31</v>
      </c>
      <c r="C41" s="12">
        <v>1</v>
      </c>
      <c r="D41" s="16">
        <v>0.95</v>
      </c>
      <c r="E41" s="16">
        <v>2.06</v>
      </c>
      <c r="F41" s="16"/>
      <c r="G41" s="16">
        <f t="shared" si="1"/>
        <v>1.9569999999999999</v>
      </c>
      <c r="H41" s="12"/>
      <c r="I41" s="12"/>
      <c r="J41" s="12"/>
      <c r="K41" s="12"/>
    </row>
    <row r="42" spans="1:11" s="1" customFormat="1" x14ac:dyDescent="0.25">
      <c r="A42" s="10"/>
      <c r="B42" s="15" t="s">
        <v>43</v>
      </c>
      <c r="C42" s="12">
        <v>1</v>
      </c>
      <c r="D42" s="16">
        <v>0.94</v>
      </c>
      <c r="E42" s="16">
        <v>1.98</v>
      </c>
      <c r="F42" s="16"/>
      <c r="G42" s="16">
        <f t="shared" si="1"/>
        <v>1.8612</v>
      </c>
      <c r="H42" s="12"/>
      <c r="I42" s="12"/>
      <c r="J42" s="12"/>
      <c r="K42" s="12"/>
    </row>
    <row r="43" spans="1:11" s="1" customFormat="1" x14ac:dyDescent="0.25">
      <c r="A43" s="10"/>
      <c r="B43" s="14" t="s">
        <v>32</v>
      </c>
      <c r="C43" s="12"/>
      <c r="D43" s="16"/>
      <c r="E43" s="16"/>
      <c r="F43" s="16"/>
      <c r="G43" s="16"/>
      <c r="H43" s="12"/>
      <c r="I43" s="12"/>
      <c r="J43" s="12"/>
      <c r="K43" s="12"/>
    </row>
    <row r="44" spans="1:11" s="1" customFormat="1" x14ac:dyDescent="0.25">
      <c r="A44" s="10"/>
      <c r="B44" s="15" t="s">
        <v>43</v>
      </c>
      <c r="C44" s="12">
        <v>1</v>
      </c>
      <c r="D44" s="16">
        <v>0.98499999999999999</v>
      </c>
      <c r="E44" s="16">
        <f>2.67-0.52</f>
        <v>2.15</v>
      </c>
      <c r="F44" s="16"/>
      <c r="G44" s="16">
        <f t="shared" ref="G44" si="2">PRODUCT(C44:F44)</f>
        <v>2.11775</v>
      </c>
      <c r="H44" s="12"/>
      <c r="I44" s="12"/>
      <c r="J44" s="12"/>
      <c r="K44" s="12"/>
    </row>
    <row r="45" spans="1:11" s="1" customFormat="1" x14ac:dyDescent="0.25">
      <c r="A45" s="10"/>
      <c r="B45" s="15" t="s">
        <v>34</v>
      </c>
      <c r="C45" s="12">
        <v>1</v>
      </c>
      <c r="D45" s="16">
        <v>0.94499999999999995</v>
      </c>
      <c r="E45" s="16">
        <v>2.0699999999999998</v>
      </c>
      <c r="F45" s="16"/>
      <c r="G45" s="16">
        <f>PRODUCT(C45:F45)</f>
        <v>1.9561499999999998</v>
      </c>
      <c r="H45" s="12"/>
      <c r="I45" s="12"/>
      <c r="J45" s="12"/>
      <c r="K45" s="12"/>
    </row>
    <row r="46" spans="1:11" s="1" customFormat="1" x14ac:dyDescent="0.25">
      <c r="A46" s="10"/>
      <c r="B46" s="15" t="s">
        <v>44</v>
      </c>
      <c r="C46" s="12">
        <v>1</v>
      </c>
      <c r="D46" s="16">
        <v>0.94</v>
      </c>
      <c r="E46" s="16">
        <v>2.0499999999999998</v>
      </c>
      <c r="F46" s="16"/>
      <c r="G46" s="16">
        <f t="shared" ref="G46" si="3">PRODUCT(C46:F46)</f>
        <v>1.9269999999999998</v>
      </c>
      <c r="H46" s="12"/>
      <c r="I46" s="12"/>
      <c r="J46" s="12"/>
      <c r="K46" s="12"/>
    </row>
    <row r="47" spans="1:11" s="1" customFormat="1" ht="15" customHeight="1" x14ac:dyDescent="0.25">
      <c r="A47" s="17"/>
      <c r="B47" s="18" t="s">
        <v>35</v>
      </c>
      <c r="C47" s="19"/>
      <c r="D47" s="20"/>
      <c r="E47" s="21"/>
      <c r="F47" s="21"/>
      <c r="G47" s="22">
        <f>SUM(G34:G46)</f>
        <v>22.237000000000002</v>
      </c>
      <c r="H47" s="23" t="s">
        <v>36</v>
      </c>
      <c r="I47" s="22">
        <v>8744</v>
      </c>
      <c r="J47" s="24">
        <f>G47*I47</f>
        <v>194440.32800000001</v>
      </c>
      <c r="K47" s="21"/>
    </row>
    <row r="48" spans="1:11" s="1" customFormat="1" x14ac:dyDescent="0.25">
      <c r="A48" s="10"/>
      <c r="B48" s="15" t="s">
        <v>37</v>
      </c>
      <c r="C48" s="12"/>
      <c r="D48" s="12"/>
      <c r="E48" s="12"/>
      <c r="F48" s="12"/>
      <c r="G48" s="12"/>
      <c r="H48" s="12"/>
      <c r="I48" s="12"/>
      <c r="J48" s="24">
        <f>0.13*J47</f>
        <v>25277.24264</v>
      </c>
      <c r="K48" s="12"/>
    </row>
    <row r="49" spans="1:11" s="1" customFormat="1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s="27" customFormat="1" ht="54.75" customHeight="1" x14ac:dyDescent="0.25">
      <c r="A50" s="10">
        <v>3</v>
      </c>
      <c r="B50" s="25" t="s">
        <v>45</v>
      </c>
      <c r="C50" s="26"/>
      <c r="D50" s="26"/>
      <c r="E50" s="26"/>
      <c r="F50" s="26"/>
      <c r="G50" s="26"/>
      <c r="H50" s="26"/>
      <c r="I50" s="26"/>
      <c r="J50" s="26"/>
      <c r="K50" s="26"/>
    </row>
    <row r="51" spans="1:11" s="1" customFormat="1" x14ac:dyDescent="0.25">
      <c r="A51" s="10"/>
      <c r="B51" s="14" t="s">
        <v>20</v>
      </c>
      <c r="C51" s="12"/>
      <c r="D51" s="12"/>
      <c r="E51" s="12"/>
      <c r="F51" s="12"/>
      <c r="G51" s="12"/>
      <c r="H51" s="12"/>
      <c r="I51" s="12"/>
      <c r="J51" s="12"/>
      <c r="K51" s="12"/>
    </row>
    <row r="52" spans="1:11" s="1" customFormat="1" x14ac:dyDescent="0.25">
      <c r="A52" s="10"/>
      <c r="B52" s="15" t="s">
        <v>46</v>
      </c>
      <c r="C52" s="12">
        <v>1</v>
      </c>
      <c r="D52" s="16">
        <v>1.22</v>
      </c>
      <c r="E52" s="16">
        <v>2.04</v>
      </c>
      <c r="F52" s="16"/>
      <c r="G52" s="16">
        <f t="shared" ref="G52" si="4">PRODUCT(C52:F52)</f>
        <v>2.4887999999999999</v>
      </c>
      <c r="H52" s="12"/>
      <c r="I52" s="12"/>
      <c r="J52" s="12"/>
      <c r="K52" s="12"/>
    </row>
    <row r="53" spans="1:11" s="1" customFormat="1" ht="15" customHeight="1" x14ac:dyDescent="0.25">
      <c r="A53" s="17"/>
      <c r="B53" s="18" t="s">
        <v>35</v>
      </c>
      <c r="C53" s="19"/>
      <c r="D53" s="20"/>
      <c r="E53" s="21"/>
      <c r="F53" s="21"/>
      <c r="G53" s="22">
        <f>SUM(G52:G52)</f>
        <v>2.4887999999999999</v>
      </c>
      <c r="H53" s="23" t="s">
        <v>36</v>
      </c>
      <c r="I53" s="22">
        <f>8624-850.04+742.44</f>
        <v>8516.4</v>
      </c>
      <c r="J53" s="24">
        <f>G53*I53</f>
        <v>21195.616319999997</v>
      </c>
      <c r="K53" s="21"/>
    </row>
    <row r="54" spans="1:11" s="1" customFormat="1" x14ac:dyDescent="0.25">
      <c r="A54" s="10"/>
      <c r="B54" s="15" t="s">
        <v>37</v>
      </c>
      <c r="C54" s="12"/>
      <c r="D54" s="12"/>
      <c r="E54" s="12"/>
      <c r="F54" s="12"/>
      <c r="G54" s="12"/>
      <c r="H54" s="12"/>
      <c r="I54" s="12"/>
      <c r="J54" s="24">
        <f>0.13*J53</f>
        <v>2755.4301215999999</v>
      </c>
      <c r="K54" s="12"/>
    </row>
    <row r="55" spans="1:11" s="1" customFormat="1" x14ac:dyDescent="0.25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s="1" customFormat="1" x14ac:dyDescent="0.25">
      <c r="A56" s="10">
        <v>4</v>
      </c>
      <c r="B56" s="28" t="s">
        <v>71</v>
      </c>
      <c r="C56" s="12"/>
      <c r="D56" s="12"/>
      <c r="E56" s="12"/>
      <c r="F56" s="12"/>
      <c r="G56" s="12"/>
      <c r="H56" s="12"/>
      <c r="I56" s="12"/>
      <c r="J56" s="12"/>
      <c r="K56" s="12"/>
    </row>
    <row r="57" spans="1:11" s="1" customFormat="1" x14ac:dyDescent="0.25">
      <c r="A57" s="10"/>
      <c r="B57" s="14" t="s">
        <v>20</v>
      </c>
      <c r="C57" s="12"/>
      <c r="D57" s="12"/>
      <c r="E57" s="12"/>
      <c r="F57" s="12"/>
      <c r="G57" s="12"/>
      <c r="H57" s="12"/>
      <c r="I57" s="12"/>
      <c r="J57" s="12"/>
      <c r="K57" s="12"/>
    </row>
    <row r="58" spans="1:11" s="1" customFormat="1" x14ac:dyDescent="0.25">
      <c r="A58" s="10"/>
      <c r="B58" s="15" t="s">
        <v>24</v>
      </c>
      <c r="C58" s="12">
        <v>3</v>
      </c>
      <c r="D58" s="16">
        <v>0.51</v>
      </c>
      <c r="E58" s="16">
        <v>1.1200000000000001</v>
      </c>
      <c r="F58" s="16"/>
      <c r="G58" s="16">
        <f>PRODUCT(C58:F58)</f>
        <v>1.7136000000000002</v>
      </c>
      <c r="H58" s="12"/>
      <c r="I58" s="12"/>
      <c r="J58" s="12"/>
      <c r="K58" s="12"/>
    </row>
    <row r="59" spans="1:11" s="1" customFormat="1" x14ac:dyDescent="0.25">
      <c r="A59" s="10"/>
      <c r="B59" s="14" t="s">
        <v>28</v>
      </c>
      <c r="C59" s="12"/>
      <c r="D59" s="16"/>
      <c r="E59" s="16"/>
      <c r="F59" s="16"/>
      <c r="G59" s="16"/>
      <c r="H59" s="12"/>
      <c r="I59" s="12"/>
      <c r="J59" s="12"/>
      <c r="K59" s="12"/>
    </row>
    <row r="60" spans="1:11" s="1" customFormat="1" x14ac:dyDescent="0.25">
      <c r="A60" s="10"/>
      <c r="B60" s="15" t="s">
        <v>29</v>
      </c>
      <c r="C60" s="12">
        <v>3</v>
      </c>
      <c r="D60" s="16">
        <v>0.5</v>
      </c>
      <c r="E60" s="16">
        <v>1.1000000000000001</v>
      </c>
      <c r="F60" s="16"/>
      <c r="G60" s="16">
        <f t="shared" ref="G60:G63" si="5">PRODUCT(C60:F60)</f>
        <v>1.6500000000000001</v>
      </c>
      <c r="H60" s="12"/>
      <c r="I60" s="12"/>
      <c r="J60" s="12"/>
      <c r="K60" s="12"/>
    </row>
    <row r="61" spans="1:11" s="1" customFormat="1" x14ac:dyDescent="0.25">
      <c r="A61" s="10"/>
      <c r="B61" s="15"/>
      <c r="C61" s="12">
        <v>3</v>
      </c>
      <c r="D61" s="16">
        <v>0.5</v>
      </c>
      <c r="E61" s="16">
        <v>1.1000000000000001</v>
      </c>
      <c r="F61" s="16"/>
      <c r="G61" s="16">
        <f t="shared" si="5"/>
        <v>1.6500000000000001</v>
      </c>
      <c r="H61" s="12"/>
      <c r="I61" s="12"/>
      <c r="J61" s="12"/>
      <c r="K61" s="12"/>
    </row>
    <row r="62" spans="1:11" s="1" customFormat="1" x14ac:dyDescent="0.25">
      <c r="A62" s="10"/>
      <c r="B62" s="15"/>
      <c r="C62" s="12">
        <v>3</v>
      </c>
      <c r="D62" s="16">
        <v>0.5</v>
      </c>
      <c r="E62" s="16">
        <v>1.1000000000000001</v>
      </c>
      <c r="F62" s="16"/>
      <c r="G62" s="16">
        <f t="shared" si="5"/>
        <v>1.6500000000000001</v>
      </c>
      <c r="H62" s="12"/>
      <c r="I62" s="12"/>
      <c r="J62" s="12"/>
      <c r="K62" s="12"/>
    </row>
    <row r="63" spans="1:11" s="1" customFormat="1" x14ac:dyDescent="0.25">
      <c r="A63" s="10"/>
      <c r="B63" s="15"/>
      <c r="C63" s="12">
        <v>1</v>
      </c>
      <c r="D63" s="16">
        <v>0.5</v>
      </c>
      <c r="E63" s="16">
        <v>1.1000000000000001</v>
      </c>
      <c r="F63" s="16"/>
      <c r="G63" s="16">
        <f t="shared" si="5"/>
        <v>0.55000000000000004</v>
      </c>
      <c r="H63" s="12"/>
      <c r="I63" s="12"/>
      <c r="J63" s="12"/>
      <c r="K63" s="12"/>
    </row>
    <row r="64" spans="1:11" s="1" customFormat="1" x14ac:dyDescent="0.25">
      <c r="A64" s="10"/>
      <c r="B64" s="14" t="s">
        <v>32</v>
      </c>
      <c r="C64" s="12"/>
      <c r="D64" s="16"/>
      <c r="E64" s="16"/>
      <c r="F64" s="16"/>
      <c r="G64" s="16"/>
      <c r="H64" s="12"/>
      <c r="I64" s="12"/>
      <c r="J64" s="12"/>
      <c r="K64" s="12"/>
    </row>
    <row r="65" spans="1:19" s="1" customFormat="1" x14ac:dyDescent="0.25">
      <c r="A65" s="10"/>
      <c r="B65" s="15" t="s">
        <v>47</v>
      </c>
      <c r="C65" s="12">
        <v>2</v>
      </c>
      <c r="D65" s="16">
        <v>0.47</v>
      </c>
      <c r="E65" s="16">
        <v>1.1100000000000001</v>
      </c>
      <c r="F65" s="16"/>
      <c r="G65" s="16">
        <f t="shared" ref="G65:G66" si="6">PRODUCT(C65:F65)</f>
        <v>1.0434000000000001</v>
      </c>
      <c r="H65" s="12"/>
      <c r="I65" s="12"/>
      <c r="J65" s="12"/>
      <c r="K65" s="12"/>
    </row>
    <row r="66" spans="1:19" s="1" customFormat="1" x14ac:dyDescent="0.25">
      <c r="A66" s="10"/>
      <c r="B66" s="15"/>
      <c r="C66" s="12">
        <v>3</v>
      </c>
      <c r="D66" s="16">
        <v>0.49</v>
      </c>
      <c r="E66" s="16">
        <v>1.1399999999999999</v>
      </c>
      <c r="F66" s="16"/>
      <c r="G66" s="16">
        <f t="shared" si="6"/>
        <v>1.6757999999999997</v>
      </c>
      <c r="H66" s="12"/>
      <c r="I66" s="12"/>
      <c r="J66" s="12"/>
      <c r="K66" s="12"/>
    </row>
    <row r="67" spans="1:19" s="1" customFormat="1" ht="15" customHeight="1" x14ac:dyDescent="0.25">
      <c r="A67" s="17"/>
      <c r="B67" s="18" t="s">
        <v>35</v>
      </c>
      <c r="C67" s="19"/>
      <c r="D67" s="20"/>
      <c r="E67" s="21"/>
      <c r="F67" s="21"/>
      <c r="G67" s="22">
        <f>SUM(G58:G66)</f>
        <v>9.9328000000000003</v>
      </c>
      <c r="H67" s="23" t="s">
        <v>36</v>
      </c>
      <c r="I67" s="22">
        <v>742.44</v>
      </c>
      <c r="J67" s="24">
        <f>G67*I67</f>
        <v>7374.5080320000006</v>
      </c>
      <c r="K67" s="21"/>
    </row>
    <row r="68" spans="1:19" s="1" customFormat="1" x14ac:dyDescent="0.25">
      <c r="A68" s="10"/>
      <c r="B68" s="15" t="s">
        <v>37</v>
      </c>
      <c r="C68" s="12"/>
      <c r="D68" s="12"/>
      <c r="E68" s="12"/>
      <c r="F68" s="12"/>
      <c r="G68" s="12"/>
      <c r="H68" s="12"/>
      <c r="I68" s="12"/>
      <c r="J68" s="24">
        <f>0.13*J67</f>
        <v>958.68604416000016</v>
      </c>
      <c r="K68" s="12"/>
    </row>
    <row r="69" spans="1:19" s="1" customFormat="1" x14ac:dyDescent="0.25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9" s="1" customFormat="1" ht="15" customHeight="1" x14ac:dyDescent="0.25">
      <c r="A70" s="17">
        <v>5</v>
      </c>
      <c r="B70" s="28" t="s">
        <v>48</v>
      </c>
      <c r="C70" s="12">
        <v>0</v>
      </c>
      <c r="D70" s="20"/>
      <c r="E70" s="21"/>
      <c r="F70" s="21"/>
      <c r="G70" s="23">
        <f t="shared" ref="G70" si="7">PRODUCT(C70:F70)</f>
        <v>0</v>
      </c>
      <c r="H70" s="23" t="s">
        <v>49</v>
      </c>
      <c r="I70" s="22">
        <v>500</v>
      </c>
      <c r="J70" s="23">
        <f>G70*I70</f>
        <v>0</v>
      </c>
      <c r="K70" s="21"/>
    </row>
    <row r="71" spans="1:19" s="1" customFormat="1" ht="11.25" customHeight="1" x14ac:dyDescent="0.25">
      <c r="A71" s="17"/>
      <c r="B71" s="29"/>
      <c r="C71" s="19"/>
      <c r="D71" s="20"/>
      <c r="E71" s="21"/>
      <c r="F71" s="21"/>
      <c r="G71" s="22"/>
      <c r="H71" s="23"/>
      <c r="I71" s="22"/>
      <c r="J71" s="24"/>
      <c r="K71" s="21"/>
    </row>
    <row r="72" spans="1:19" s="1" customFormat="1" x14ac:dyDescent="0.25">
      <c r="A72" s="30"/>
      <c r="B72" s="31" t="s">
        <v>50</v>
      </c>
      <c r="C72" s="32"/>
      <c r="D72" s="33"/>
      <c r="E72" s="33"/>
      <c r="F72" s="33"/>
      <c r="G72" s="24"/>
      <c r="H72" s="24"/>
      <c r="I72" s="24"/>
      <c r="J72" s="24">
        <f>SUM(J29:J70)</f>
        <v>478603.56052055996</v>
      </c>
      <c r="K72" s="34"/>
    </row>
    <row r="73" spans="1:19" s="1" customFormat="1" x14ac:dyDescent="0.25">
      <c r="M73" s="27"/>
      <c r="N73" s="27"/>
      <c r="O73" s="27"/>
      <c r="P73" s="27"/>
      <c r="Q73" s="27"/>
      <c r="R73" s="27"/>
      <c r="S73" s="27"/>
    </row>
    <row r="74" spans="1:19" s="27" customFormat="1" x14ac:dyDescent="0.25">
      <c r="A74" s="35"/>
      <c r="B74" s="26" t="s">
        <v>57</v>
      </c>
      <c r="C74" s="66">
        <f>J72</f>
        <v>478603.56052055996</v>
      </c>
      <c r="D74" s="67"/>
      <c r="E74" s="36">
        <v>100</v>
      </c>
      <c r="F74" s="35"/>
      <c r="G74" s="37"/>
      <c r="H74" s="35"/>
      <c r="I74" s="38"/>
      <c r="J74" s="39"/>
      <c r="K74" s="40"/>
      <c r="M74" s="1"/>
      <c r="N74" s="1"/>
      <c r="O74" s="1"/>
      <c r="P74" s="1"/>
      <c r="Q74" s="1"/>
      <c r="R74" s="1"/>
      <c r="S74" s="1"/>
    </row>
    <row r="75" spans="1:19" s="1" customFormat="1" x14ac:dyDescent="0.25">
      <c r="B75" s="26" t="s">
        <v>52</v>
      </c>
      <c r="C75" s="70">
        <v>200000</v>
      </c>
      <c r="D75" s="71"/>
      <c r="E75" s="36"/>
    </row>
    <row r="76" spans="1:19" s="1" customFormat="1" x14ac:dyDescent="0.25">
      <c r="B76" s="26" t="s">
        <v>53</v>
      </c>
      <c r="C76" s="70">
        <f>Estimate!E76%*Valuation!C74</f>
        <v>189801.71301608198</v>
      </c>
      <c r="D76" s="71"/>
      <c r="E76" s="36">
        <f>C76/C74*100</f>
        <v>39.657396783601328</v>
      </c>
    </row>
    <row r="77" spans="1:19" s="1" customFormat="1" x14ac:dyDescent="0.25">
      <c r="B77" s="26" t="s">
        <v>54</v>
      </c>
      <c r="C77" s="72">
        <f>C74-C76</f>
        <v>288801.84750447795</v>
      </c>
      <c r="D77" s="72"/>
      <c r="E77" s="36">
        <f>100-E76</f>
        <v>60.342603216398672</v>
      </c>
    </row>
    <row r="78" spans="1:19" s="1" customFormat="1" x14ac:dyDescent="0.25">
      <c r="B78" s="26" t="s">
        <v>55</v>
      </c>
      <c r="C78" s="66">
        <f>C75*0.03</f>
        <v>6000</v>
      </c>
      <c r="D78" s="67"/>
      <c r="E78" s="36">
        <v>3</v>
      </c>
    </row>
    <row r="79" spans="1:19" s="1" customFormat="1" x14ac:dyDescent="0.25">
      <c r="B79" s="26" t="s">
        <v>56</v>
      </c>
      <c r="C79" s="66">
        <f>C75*0.02</f>
        <v>4000</v>
      </c>
      <c r="D79" s="67"/>
      <c r="E79" s="36">
        <v>2</v>
      </c>
    </row>
  </sheetData>
  <mergeCells count="15">
    <mergeCell ref="C78:D78"/>
    <mergeCell ref="C79:D79"/>
    <mergeCell ref="A7:F7"/>
    <mergeCell ref="H7:K7"/>
    <mergeCell ref="C74:D74"/>
    <mergeCell ref="C75:D75"/>
    <mergeCell ref="C76:D76"/>
    <mergeCell ref="C77:D77"/>
    <mergeCell ref="A6:F6"/>
    <mergeCell ref="H6:K6"/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scale="80" orientation="portrait" verticalDpi="0" r:id="rId1"/>
  <headerFooter>
    <oddFooter>&amp;LPrepared By:&amp;CChecked By:&amp;RApproved By:</oddFooter>
  </headerFooter>
  <rowBreaks count="1" manualBreakCount="1">
    <brk id="49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zoomScaleNormal="100" workbookViewId="0">
      <selection activeCell="C29" sqref="C29"/>
    </sheetView>
  </sheetViews>
  <sheetFormatPr defaultRowHeight="15" x14ac:dyDescent="0.25"/>
  <cols>
    <col min="1" max="1" width="6.28515625" customWidth="1"/>
    <col min="2" max="2" width="36.7109375" customWidth="1"/>
    <col min="3" max="3" width="8.85546875" customWidth="1"/>
    <col min="4" max="4" width="9.28515625" bestFit="1" customWidth="1"/>
    <col min="5" max="5" width="11.5703125" bestFit="1" customWidth="1"/>
    <col min="6" max="6" width="12.28515625" bestFit="1" customWidth="1"/>
    <col min="7" max="7" width="9.5703125" bestFit="1" customWidth="1"/>
    <col min="8" max="8" width="11.140625" bestFit="1" customWidth="1"/>
    <col min="9" max="9" width="11.85546875" bestFit="1" customWidth="1"/>
    <col min="10" max="10" width="12.28515625" bestFit="1" customWidth="1"/>
    <col min="11" max="11" width="11" customWidth="1"/>
  </cols>
  <sheetData>
    <row r="1" spans="1:11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25.5" x14ac:dyDescent="0.35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s="41" customFormat="1" x14ac:dyDescent="0.25">
      <c r="A3" s="77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 s="41" customFormat="1" x14ac:dyDescent="0.25">
      <c r="A4" s="77" t="s">
        <v>3</v>
      </c>
      <c r="B4" s="77"/>
      <c r="C4" s="77"/>
      <c r="D4" s="77"/>
      <c r="E4" s="77"/>
      <c r="F4" s="77"/>
      <c r="G4" s="77"/>
      <c r="H4" s="77"/>
      <c r="I4" s="77"/>
      <c r="J4" s="77"/>
      <c r="K4" s="77"/>
    </row>
    <row r="5" spans="1:11" ht="18.75" x14ac:dyDescent="0.3">
      <c r="A5" s="78" t="s">
        <v>59</v>
      </c>
      <c r="B5" s="78"/>
      <c r="C5" s="78"/>
      <c r="D5" s="78"/>
      <c r="E5" s="78"/>
      <c r="F5" s="78"/>
      <c r="G5" s="78"/>
      <c r="H5" s="78"/>
      <c r="I5" s="78"/>
      <c r="J5" s="78"/>
      <c r="K5" s="78"/>
    </row>
    <row r="6" spans="1:11" ht="18.75" x14ac:dyDescent="0.3">
      <c r="A6" s="42" t="s">
        <v>60</v>
      </c>
      <c r="B6" s="42"/>
      <c r="C6" s="73">
        <f>F33</f>
        <v>0</v>
      </c>
      <c r="D6" s="74"/>
      <c r="E6" s="43"/>
      <c r="F6" s="42"/>
      <c r="G6" s="42"/>
      <c r="H6" s="42" t="s">
        <v>61</v>
      </c>
      <c r="I6" s="42"/>
      <c r="J6" s="73">
        <f>I33</f>
        <v>0</v>
      </c>
      <c r="K6" s="74"/>
    </row>
    <row r="7" spans="1:11" x14ac:dyDescent="0.25">
      <c r="A7" s="44" t="s">
        <v>62</v>
      </c>
      <c r="B7" s="44"/>
      <c r="C7" s="44"/>
      <c r="D7" s="44"/>
      <c r="F7" s="79"/>
      <c r="G7" s="79"/>
      <c r="I7" s="80" t="s">
        <v>63</v>
      </c>
      <c r="J7" s="80"/>
      <c r="K7" s="80"/>
    </row>
    <row r="8" spans="1:11" ht="15.75" x14ac:dyDescent="0.25">
      <c r="A8" s="81" t="str">
        <f>Estimate!A6</f>
        <v>Project:-Nanglebhare Police Chauki Marmat</v>
      </c>
      <c r="B8" s="81"/>
      <c r="C8" s="81"/>
      <c r="D8" s="81"/>
      <c r="E8" s="81"/>
      <c r="F8" s="81"/>
      <c r="I8" s="82" t="s">
        <v>72</v>
      </c>
      <c r="J8" s="82"/>
      <c r="K8" s="82"/>
    </row>
    <row r="9" spans="1:11" x14ac:dyDescent="0.25">
      <c r="A9" s="83" t="str">
        <f>'[1]kalimasta mandir final (2)'!A7:F7</f>
        <v>Location:- Shankharapur Municipality 9</v>
      </c>
      <c r="B9" s="83"/>
      <c r="C9" s="83"/>
      <c r="D9" s="83"/>
      <c r="E9" s="83"/>
      <c r="F9" s="83"/>
      <c r="I9" s="82" t="s">
        <v>73</v>
      </c>
      <c r="J9" s="82"/>
      <c r="K9" s="82"/>
    </row>
    <row r="11" spans="1:11" x14ac:dyDescent="0.25">
      <c r="A11" s="85" t="s">
        <v>64</v>
      </c>
      <c r="B11" s="85" t="s">
        <v>65</v>
      </c>
      <c r="C11" s="85" t="s">
        <v>15</v>
      </c>
      <c r="D11" s="86" t="s">
        <v>66</v>
      </c>
      <c r="E11" s="86"/>
      <c r="F11" s="86"/>
      <c r="G11" s="86" t="s">
        <v>67</v>
      </c>
      <c r="H11" s="86"/>
      <c r="I11" s="86"/>
      <c r="J11" s="85" t="s">
        <v>68</v>
      </c>
      <c r="K11" s="84" t="s">
        <v>69</v>
      </c>
    </row>
    <row r="12" spans="1:11" x14ac:dyDescent="0.25">
      <c r="A12" s="85"/>
      <c r="B12" s="85"/>
      <c r="C12" s="85"/>
      <c r="D12" s="45" t="s">
        <v>70</v>
      </c>
      <c r="E12" s="45" t="s">
        <v>16</v>
      </c>
      <c r="F12" s="45" t="s">
        <v>17</v>
      </c>
      <c r="G12" s="45" t="s">
        <v>70</v>
      </c>
      <c r="H12" s="45" t="s">
        <v>16</v>
      </c>
      <c r="I12" s="45" t="s">
        <v>17</v>
      </c>
      <c r="J12" s="85"/>
      <c r="K12" s="84"/>
    </row>
    <row r="13" spans="1:11" x14ac:dyDescent="0.25">
      <c r="A13" s="53">
        <f>Estimate!A9</f>
        <v>1</v>
      </c>
      <c r="B13" s="53" t="str">
        <f>Estimate!B9</f>
        <v>UPVC sliding window without net (frame 60 X 60mm sash 66 X 42mm white colour with 5mm Glass)</v>
      </c>
      <c r="C13" s="47" t="str">
        <f>Estimate!H29</f>
        <v>m2</v>
      </c>
      <c r="D13" s="47">
        <f>Estimate!G29</f>
        <v>29.107400000000002</v>
      </c>
      <c r="E13" s="47">
        <f>Estimate!I29</f>
        <v>6889.4</v>
      </c>
      <c r="F13" s="47">
        <f>D13*E13</f>
        <v>200532.52155999999</v>
      </c>
      <c r="G13" s="47">
        <f>Valuation!G29</f>
        <v>29.107400000000002</v>
      </c>
      <c r="H13" s="47">
        <f>Valuation!I29</f>
        <v>6889.4</v>
      </c>
      <c r="I13" s="47">
        <f>G13*H13</f>
        <v>200532.52155999999</v>
      </c>
      <c r="J13" s="57">
        <f>I13-F13</f>
        <v>0</v>
      </c>
      <c r="K13" s="53"/>
    </row>
    <row r="14" spans="1:11" s="41" customFormat="1" ht="15.75" x14ac:dyDescent="0.25">
      <c r="A14" s="46"/>
      <c r="B14" s="50" t="str">
        <f>Estimate!B30</f>
        <v>-13% VAT for materials</v>
      </c>
      <c r="C14" s="47"/>
      <c r="D14" s="47"/>
      <c r="E14" s="47"/>
      <c r="F14" s="47">
        <f>Estimate!J30</f>
        <v>26069.2278028</v>
      </c>
      <c r="G14" s="47"/>
      <c r="H14" s="47"/>
      <c r="I14" s="47">
        <f>Valuation!J30</f>
        <v>26069.2278028</v>
      </c>
      <c r="J14" s="57">
        <f>I14-F14</f>
        <v>0</v>
      </c>
      <c r="K14" s="49"/>
    </row>
    <row r="15" spans="1:11" s="41" customFormat="1" x14ac:dyDescent="0.25">
      <c r="A15" s="51"/>
      <c r="B15" s="51"/>
      <c r="C15" s="47"/>
      <c r="D15" s="47"/>
      <c r="E15" s="47"/>
      <c r="F15" s="47"/>
      <c r="G15" s="47"/>
      <c r="H15" s="47"/>
      <c r="I15" s="47"/>
      <c r="J15" s="48"/>
      <c r="K15" s="49"/>
    </row>
    <row r="16" spans="1:11" x14ac:dyDescent="0.25">
      <c r="A16" s="53">
        <f>Estimate!A32</f>
        <v>2</v>
      </c>
      <c r="B16" s="53" t="str">
        <f>Estimate!B32</f>
        <v>UPVC Single Door with full pannel (frame 60*60mm sash 60X100mm White Colour With  Panel)</v>
      </c>
      <c r="C16" s="47" t="str">
        <f>Estimate!H47</f>
        <v>m2</v>
      </c>
      <c r="D16" s="47">
        <f>Estimate!G47</f>
        <v>22.237000000000002</v>
      </c>
      <c r="E16" s="47">
        <f>Estimate!I47</f>
        <v>8744</v>
      </c>
      <c r="F16" s="47">
        <f>D16*E16</f>
        <v>194440.32800000001</v>
      </c>
      <c r="G16" s="47">
        <f>Valuation!G47</f>
        <v>22.237000000000002</v>
      </c>
      <c r="H16" s="47">
        <f>Valuation!I47</f>
        <v>8744</v>
      </c>
      <c r="I16" s="47">
        <f>G16*H16</f>
        <v>194440.32800000001</v>
      </c>
      <c r="J16" s="57">
        <f>I16-F16</f>
        <v>0</v>
      </c>
      <c r="K16" s="53"/>
    </row>
    <row r="17" spans="1:11" s="41" customFormat="1" ht="15.75" x14ac:dyDescent="0.25">
      <c r="A17" s="46"/>
      <c r="B17" s="50" t="str">
        <f>Estimate!B48</f>
        <v>-13% VAT for materials</v>
      </c>
      <c r="C17" s="47"/>
      <c r="D17" s="47"/>
      <c r="E17" s="47"/>
      <c r="F17" s="47">
        <f>Estimate!J48</f>
        <v>25277.24264</v>
      </c>
      <c r="G17" s="47"/>
      <c r="H17" s="47"/>
      <c r="I17" s="47">
        <f>Valuation!J48</f>
        <v>25277.24264</v>
      </c>
      <c r="J17" s="57">
        <f>I17-F17</f>
        <v>0</v>
      </c>
      <c r="K17" s="49"/>
    </row>
    <row r="18" spans="1:11" s="41" customFormat="1" x14ac:dyDescent="0.25">
      <c r="A18" s="51"/>
      <c r="B18" s="51"/>
      <c r="C18" s="47"/>
      <c r="D18" s="47"/>
      <c r="E18" s="47"/>
      <c r="F18" s="47"/>
      <c r="G18" s="47"/>
      <c r="H18" s="47"/>
      <c r="I18" s="47"/>
      <c r="J18" s="48"/>
      <c r="K18" s="49"/>
    </row>
    <row r="19" spans="1:11" x14ac:dyDescent="0.25">
      <c r="A19" s="53">
        <f>Estimate!A50</f>
        <v>3</v>
      </c>
      <c r="B19" s="53" t="str">
        <f>Estimate!B50</f>
        <v>UPVC Door with half  pannel half glass (frame 60*60mm sash 60X104mm White Colour With  5mm glass)</v>
      </c>
      <c r="C19" s="47" t="str">
        <f>Estimate!H53</f>
        <v>m2</v>
      </c>
      <c r="D19" s="47">
        <f>Estimate!G53</f>
        <v>2.4887999999999999</v>
      </c>
      <c r="E19" s="47">
        <f>Estimate!I53</f>
        <v>8516.4</v>
      </c>
      <c r="F19" s="47">
        <f>D19*E19</f>
        <v>21195.616319999997</v>
      </c>
      <c r="G19" s="47">
        <f>Valuation!G53</f>
        <v>2.4887999999999999</v>
      </c>
      <c r="H19" s="47">
        <f>Valuation!I53</f>
        <v>8516.4</v>
      </c>
      <c r="I19" s="47">
        <f>G19*H19</f>
        <v>21195.616319999997</v>
      </c>
      <c r="J19" s="57">
        <f>I19-F19</f>
        <v>0</v>
      </c>
      <c r="K19" s="53"/>
    </row>
    <row r="20" spans="1:11" s="41" customFormat="1" ht="15.75" x14ac:dyDescent="0.25">
      <c r="A20" s="46"/>
      <c r="B20" s="50" t="str">
        <f>Estimate!B54</f>
        <v>-13% VAT for materials</v>
      </c>
      <c r="C20" s="47"/>
      <c r="D20" s="47"/>
      <c r="E20" s="47"/>
      <c r="F20" s="47">
        <f>Estimate!J54</f>
        <v>2755.4301215999999</v>
      </c>
      <c r="G20" s="47"/>
      <c r="H20" s="47"/>
      <c r="I20" s="47">
        <f>Valuation!J54</f>
        <v>2755.4301215999999</v>
      </c>
      <c r="J20" s="57">
        <f>I20-F20</f>
        <v>0</v>
      </c>
      <c r="K20" s="49"/>
    </row>
    <row r="21" spans="1:11" s="41" customFormat="1" x14ac:dyDescent="0.25">
      <c r="A21" s="51"/>
      <c r="B21" s="51"/>
      <c r="C21" s="47"/>
      <c r="D21" s="47"/>
      <c r="E21" s="47"/>
      <c r="F21" s="47"/>
      <c r="G21" s="47"/>
      <c r="H21" s="47"/>
      <c r="I21" s="47"/>
      <c r="J21" s="48"/>
      <c r="K21" s="49"/>
    </row>
    <row r="22" spans="1:11" x14ac:dyDescent="0.25">
      <c r="A22" s="53">
        <f>Estimate!A56</f>
        <v>4</v>
      </c>
      <c r="B22" s="56" t="str">
        <f>Estimate!B56</f>
        <v>4mm glass for affected openings</v>
      </c>
      <c r="C22" s="47" t="str">
        <f>Estimate!H67</f>
        <v>m2</v>
      </c>
      <c r="D22" s="47">
        <f>Estimate!G67</f>
        <v>9.9328000000000003</v>
      </c>
      <c r="E22" s="47">
        <f>Estimate!I67</f>
        <v>742.44</v>
      </c>
      <c r="F22" s="47">
        <f>D22*E22</f>
        <v>7374.5080320000006</v>
      </c>
      <c r="G22" s="47">
        <f>Valuation!G67</f>
        <v>9.9328000000000003</v>
      </c>
      <c r="H22" s="47">
        <f>Valuation!I67</f>
        <v>742.44</v>
      </c>
      <c r="I22" s="47">
        <f>G22*H22</f>
        <v>7374.5080320000006</v>
      </c>
      <c r="J22" s="57">
        <f>I22-F22</f>
        <v>0</v>
      </c>
      <c r="K22" s="53"/>
    </row>
    <row r="23" spans="1:11" s="41" customFormat="1" ht="15.75" x14ac:dyDescent="0.25">
      <c r="A23" s="46"/>
      <c r="B23" s="50" t="str">
        <f>Estimate!B68</f>
        <v>-13% VAT for materials</v>
      </c>
      <c r="C23" s="47"/>
      <c r="D23" s="47"/>
      <c r="E23" s="47"/>
      <c r="F23" s="47">
        <f>Estimate!J68</f>
        <v>958.68604416000016</v>
      </c>
      <c r="G23" s="47"/>
      <c r="H23" s="47"/>
      <c r="I23" s="47">
        <f>Valuation!J68</f>
        <v>958.68604416000016</v>
      </c>
      <c r="J23" s="57">
        <f>I23-F23</f>
        <v>0</v>
      </c>
      <c r="K23" s="49"/>
    </row>
    <row r="24" spans="1:11" s="41" customFormat="1" x14ac:dyDescent="0.25">
      <c r="A24" s="51"/>
      <c r="B24" s="51"/>
      <c r="C24" s="47"/>
      <c r="D24" s="47"/>
      <c r="E24" s="47"/>
      <c r="F24" s="47"/>
      <c r="G24" s="47"/>
      <c r="H24" s="47"/>
      <c r="I24" s="47"/>
      <c r="J24" s="48"/>
      <c r="K24" s="49"/>
    </row>
    <row r="25" spans="1:11" s="41" customFormat="1" x14ac:dyDescent="0.25">
      <c r="A25" s="46">
        <f>Estimate!A70</f>
        <v>5</v>
      </c>
      <c r="B25" s="52" t="str">
        <f>Estimate!B70</f>
        <v>Information board (सुचना पाटि)</v>
      </c>
      <c r="C25" s="47" t="str">
        <f>Estimate!H70</f>
        <v>no.</v>
      </c>
      <c r="D25" s="47">
        <f>Estimate!G70</f>
        <v>1</v>
      </c>
      <c r="E25" s="47">
        <f>Estimate!I70</f>
        <v>500</v>
      </c>
      <c r="F25" s="47">
        <f>D25*E25</f>
        <v>500</v>
      </c>
      <c r="G25" s="47">
        <f>Valuation!G70</f>
        <v>0</v>
      </c>
      <c r="H25" s="47">
        <f>Valuation!I70</f>
        <v>500</v>
      </c>
      <c r="I25" s="47">
        <f>G25*H25</f>
        <v>0</v>
      </c>
      <c r="J25" s="57">
        <f>I25-F25</f>
        <v>-500</v>
      </c>
      <c r="K25" s="49"/>
    </row>
    <row r="26" spans="1:11" s="41" customFormat="1" x14ac:dyDescent="0.25">
      <c r="A26" s="51"/>
      <c r="B26" s="51"/>
      <c r="C26" s="47"/>
      <c r="D26" s="47"/>
      <c r="E26" s="47"/>
      <c r="F26" s="47"/>
      <c r="G26" s="47"/>
      <c r="H26" s="47"/>
      <c r="I26" s="47"/>
      <c r="J26" s="48"/>
      <c r="K26" s="49"/>
    </row>
    <row r="27" spans="1:11" x14ac:dyDescent="0.25">
      <c r="A27" s="53"/>
      <c r="B27" s="54" t="s">
        <v>50</v>
      </c>
      <c r="C27" s="54"/>
      <c r="D27" s="55"/>
      <c r="E27" s="55"/>
      <c r="F27" s="55">
        <f>SUM(F13:F25)</f>
        <v>479103.56052055996</v>
      </c>
      <c r="G27" s="55"/>
      <c r="H27" s="55"/>
      <c r="I27" s="55">
        <f>SUM(I13:I25)</f>
        <v>478603.56052055996</v>
      </c>
      <c r="J27" s="57">
        <f>I27-F27</f>
        <v>-500</v>
      </c>
      <c r="K27" s="53"/>
    </row>
  </sheetData>
  <mergeCells count="20">
    <mergeCell ref="K11:K12"/>
    <mergeCell ref="A11:A12"/>
    <mergeCell ref="B11:B12"/>
    <mergeCell ref="C11:C12"/>
    <mergeCell ref="D11:F11"/>
    <mergeCell ref="G11:I11"/>
    <mergeCell ref="J11:J12"/>
    <mergeCell ref="F7:G7"/>
    <mergeCell ref="I7:K7"/>
    <mergeCell ref="A8:F8"/>
    <mergeCell ref="I8:K8"/>
    <mergeCell ref="A9:F9"/>
    <mergeCell ref="I9:K9"/>
    <mergeCell ref="C6:D6"/>
    <mergeCell ref="J6:K6"/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scale="90" orientation="landscape" verticalDpi="0" r:id="rId1"/>
  <headerFooter>
    <oddFooter>&amp;LPrepared By:&amp;CChecked By:&amp;RApproved By: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32C5-AC51-41F6-9C0F-74392BD8B2B5}">
  <dimension ref="A1:S79"/>
  <sheetViews>
    <sheetView tabSelected="1" view="pageBreakPreview" topLeftCell="A44" zoomScaleNormal="100" zoomScaleSheetLayoutView="100" workbookViewId="0">
      <selection activeCell="F69" sqref="F69"/>
    </sheetView>
  </sheetViews>
  <sheetFormatPr defaultColWidth="9.140625" defaultRowHeight="15" x14ac:dyDescent="0.25"/>
  <cols>
    <col min="1" max="1" width="4.7109375" customWidth="1"/>
    <col min="2" max="2" width="30.85546875" customWidth="1"/>
    <col min="3" max="3" width="4.42578125" bestFit="1" customWidth="1"/>
    <col min="4" max="4" width="8.42578125" customWidth="1"/>
    <col min="5" max="5" width="8.5703125" customWidth="1"/>
    <col min="6" max="6" width="7.28515625" customWidth="1"/>
    <col min="8" max="8" width="5" bestFit="1" customWidth="1"/>
    <col min="9" max="9" width="9.5703125" hidden="1" customWidth="1"/>
    <col min="10" max="10" width="11.85546875" hidden="1" customWidth="1"/>
    <col min="13" max="16" width="0" hidden="1" customWidth="1"/>
  </cols>
  <sheetData>
    <row r="1" spans="1:13" s="1" customForma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3" s="1" customFormat="1" ht="22.5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3" s="1" customFormat="1" x14ac:dyDescent="0.25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3" s="1" customFormat="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3" s="1" customFormat="1" ht="18.75" x14ac:dyDescent="0.3">
      <c r="A5" s="65" t="s">
        <v>75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3" s="1" customFormat="1" ht="15.75" x14ac:dyDescent="0.25">
      <c r="A6" s="60" t="s">
        <v>5</v>
      </c>
      <c r="B6" s="60"/>
      <c r="C6" s="60"/>
      <c r="D6" s="60"/>
      <c r="E6" s="60"/>
      <c r="F6" s="60"/>
      <c r="G6" s="2"/>
      <c r="I6" s="59"/>
      <c r="J6" s="59"/>
      <c r="K6" s="3" t="s">
        <v>6</v>
      </c>
    </row>
    <row r="7" spans="1:13" s="1" customFormat="1" ht="15.75" x14ac:dyDescent="0.25">
      <c r="A7" s="68" t="s">
        <v>7</v>
      </c>
      <c r="B7" s="68"/>
      <c r="C7" s="68"/>
      <c r="D7" s="68"/>
      <c r="E7" s="68"/>
      <c r="F7" s="68"/>
      <c r="G7" s="4"/>
      <c r="I7" s="58"/>
      <c r="J7" s="58"/>
      <c r="K7" s="5" t="s">
        <v>74</v>
      </c>
    </row>
    <row r="8" spans="1:13" s="1" customFormat="1" ht="15.75" x14ac:dyDescent="0.25">
      <c r="A8" s="6" t="s">
        <v>8</v>
      </c>
      <c r="B8" s="7" t="s">
        <v>9</v>
      </c>
      <c r="C8" s="6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6" t="s">
        <v>15</v>
      </c>
      <c r="I8" s="8" t="s">
        <v>16</v>
      </c>
      <c r="J8" s="8" t="s">
        <v>17</v>
      </c>
      <c r="K8" s="9" t="s">
        <v>18</v>
      </c>
    </row>
    <row r="9" spans="1:13" s="1" customFormat="1" ht="51.75" x14ac:dyDescent="0.25">
      <c r="A9" s="10">
        <v>1</v>
      </c>
      <c r="B9" s="11" t="s">
        <v>19</v>
      </c>
      <c r="C9" s="12"/>
      <c r="D9" s="12"/>
      <c r="E9" s="12"/>
      <c r="F9" s="12"/>
      <c r="G9" s="12"/>
      <c r="H9" s="12"/>
      <c r="I9" s="12"/>
      <c r="J9" s="12"/>
      <c r="K9" s="12"/>
      <c r="M9" s="13"/>
    </row>
    <row r="10" spans="1:13" s="1" customFormat="1" x14ac:dyDescent="0.25">
      <c r="A10" s="10"/>
      <c r="B10" s="14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3" s="1" customFormat="1" x14ac:dyDescent="0.25">
      <c r="A11" s="10"/>
      <c r="B11" s="15" t="s">
        <v>21</v>
      </c>
      <c r="C11" s="12">
        <v>1</v>
      </c>
      <c r="D11" s="16">
        <v>1.81</v>
      </c>
      <c r="E11" s="16">
        <v>1.33</v>
      </c>
      <c r="F11" s="16"/>
      <c r="G11" s="16">
        <f t="shared" ref="G11:G28" si="0">PRODUCT(C11:F11)</f>
        <v>2.4073000000000002</v>
      </c>
      <c r="H11" s="12"/>
      <c r="I11" s="12"/>
      <c r="J11" s="12"/>
      <c r="K11" s="12"/>
    </row>
    <row r="12" spans="1:13" s="1" customFormat="1" x14ac:dyDescent="0.25">
      <c r="A12" s="10"/>
      <c r="B12" s="15" t="s">
        <v>22</v>
      </c>
      <c r="C12" s="12">
        <v>2</v>
      </c>
      <c r="D12" s="16">
        <v>0.67</v>
      </c>
      <c r="E12" s="16">
        <v>2.04</v>
      </c>
      <c r="F12" s="16"/>
      <c r="G12" s="16">
        <f t="shared" si="0"/>
        <v>2.7336</v>
      </c>
      <c r="H12" s="12"/>
      <c r="I12" s="12"/>
      <c r="J12" s="12"/>
      <c r="K12" s="12"/>
    </row>
    <row r="13" spans="1:13" s="1" customFormat="1" x14ac:dyDescent="0.25">
      <c r="A13" s="10"/>
      <c r="B13" s="15" t="s">
        <v>23</v>
      </c>
      <c r="C13" s="12">
        <v>1</v>
      </c>
      <c r="D13" s="16">
        <v>1.2</v>
      </c>
      <c r="E13" s="16">
        <v>1.32</v>
      </c>
      <c r="F13" s="16"/>
      <c r="G13" s="16">
        <f t="shared" si="0"/>
        <v>1.5840000000000001</v>
      </c>
      <c r="H13" s="12"/>
      <c r="I13" s="12"/>
      <c r="J13" s="12"/>
      <c r="K13" s="12"/>
    </row>
    <row r="14" spans="1:13" s="1" customFormat="1" x14ac:dyDescent="0.25">
      <c r="A14" s="10"/>
      <c r="B14" s="15" t="s">
        <v>24</v>
      </c>
      <c r="C14" s="12">
        <v>3</v>
      </c>
      <c r="D14" s="16">
        <v>0.62</v>
      </c>
      <c r="E14" s="16">
        <v>1.22</v>
      </c>
      <c r="F14" s="16"/>
      <c r="G14" s="16">
        <f t="shared" si="0"/>
        <v>2.2691999999999997</v>
      </c>
      <c r="H14" s="12"/>
      <c r="I14" s="12"/>
      <c r="J14" s="12"/>
      <c r="K14" s="12"/>
    </row>
    <row r="15" spans="1:13" s="1" customFormat="1" x14ac:dyDescent="0.25">
      <c r="A15" s="10"/>
      <c r="B15" s="15" t="s">
        <v>25</v>
      </c>
      <c r="C15" s="12">
        <v>1</v>
      </c>
      <c r="D15" s="16">
        <v>0.62</v>
      </c>
      <c r="E15" s="16">
        <v>1.22</v>
      </c>
      <c r="F15" s="16"/>
      <c r="G15" s="16">
        <f t="shared" si="0"/>
        <v>0.75639999999999996</v>
      </c>
      <c r="H15" s="12"/>
      <c r="I15" s="12"/>
      <c r="J15" s="12"/>
      <c r="K15" s="12"/>
    </row>
    <row r="16" spans="1:13" s="1" customFormat="1" x14ac:dyDescent="0.25">
      <c r="A16" s="10"/>
      <c r="B16" s="15" t="s">
        <v>26</v>
      </c>
      <c r="C16" s="12">
        <v>1</v>
      </c>
      <c r="D16" s="16">
        <v>1.81</v>
      </c>
      <c r="E16" s="16">
        <v>1.32</v>
      </c>
      <c r="F16" s="16"/>
      <c r="G16" s="16">
        <f>PRODUCT(C16:F16)</f>
        <v>2.3892000000000002</v>
      </c>
      <c r="H16" s="12"/>
      <c r="I16" s="12"/>
      <c r="J16" s="12"/>
      <c r="K16" s="12"/>
    </row>
    <row r="17" spans="1:11" s="1" customFormat="1" x14ac:dyDescent="0.25">
      <c r="A17" s="10"/>
      <c r="B17" s="15" t="s">
        <v>27</v>
      </c>
      <c r="C17" s="12">
        <v>2</v>
      </c>
      <c r="D17" s="16">
        <v>0.9</v>
      </c>
      <c r="E17" s="16">
        <v>0.55000000000000004</v>
      </c>
      <c r="F17" s="16"/>
      <c r="G17" s="16">
        <f t="shared" si="0"/>
        <v>0.9900000000000001</v>
      </c>
      <c r="H17" s="12"/>
      <c r="I17" s="12"/>
      <c r="J17" s="12"/>
      <c r="K17" s="12"/>
    </row>
    <row r="18" spans="1:11" s="1" customFormat="1" x14ac:dyDescent="0.25">
      <c r="A18" s="10"/>
      <c r="B18" s="14" t="s">
        <v>28</v>
      </c>
      <c r="C18" s="12"/>
      <c r="D18" s="16"/>
      <c r="E18" s="16"/>
      <c r="F18" s="16"/>
      <c r="G18" s="16"/>
      <c r="H18" s="12"/>
      <c r="I18" s="12"/>
      <c r="J18" s="12"/>
      <c r="K18" s="12"/>
    </row>
    <row r="19" spans="1:11" s="1" customFormat="1" x14ac:dyDescent="0.25">
      <c r="A19" s="10"/>
      <c r="B19" s="15" t="s">
        <v>29</v>
      </c>
      <c r="C19" s="12">
        <v>1</v>
      </c>
      <c r="D19" s="16">
        <v>0.62</v>
      </c>
      <c r="E19" s="16">
        <v>1.2</v>
      </c>
      <c r="F19" s="16"/>
      <c r="G19" s="16">
        <f>PRODUCT(C19:F19)</f>
        <v>0.74399999999999999</v>
      </c>
      <c r="H19" s="12"/>
      <c r="I19" s="12"/>
      <c r="J19" s="12"/>
      <c r="K19" s="12"/>
    </row>
    <row r="20" spans="1:11" s="1" customFormat="1" x14ac:dyDescent="0.25">
      <c r="A20" s="10"/>
      <c r="B20" s="15" t="s">
        <v>30</v>
      </c>
      <c r="C20" s="12">
        <v>1</v>
      </c>
      <c r="D20" s="16">
        <v>0.45</v>
      </c>
      <c r="E20" s="16">
        <v>1.27</v>
      </c>
      <c r="F20" s="16"/>
      <c r="G20" s="16">
        <f t="shared" si="0"/>
        <v>0.57150000000000001</v>
      </c>
      <c r="H20" s="12"/>
      <c r="I20" s="12"/>
      <c r="J20" s="12"/>
      <c r="K20" s="12"/>
    </row>
    <row r="21" spans="1:11" s="1" customFormat="1" x14ac:dyDescent="0.25">
      <c r="A21" s="10"/>
      <c r="B21" s="15" t="s">
        <v>31</v>
      </c>
      <c r="C21" s="12">
        <v>2</v>
      </c>
      <c r="D21" s="16">
        <v>1.8</v>
      </c>
      <c r="E21" s="16">
        <v>1.32</v>
      </c>
      <c r="F21" s="16"/>
      <c r="G21" s="16">
        <f t="shared" si="0"/>
        <v>4.7520000000000007</v>
      </c>
      <c r="H21" s="12"/>
      <c r="I21" s="12"/>
      <c r="J21" s="12"/>
      <c r="K21" s="12"/>
    </row>
    <row r="22" spans="1:11" s="1" customFormat="1" x14ac:dyDescent="0.25">
      <c r="A22" s="10"/>
      <c r="B22" s="15"/>
      <c r="C22" s="12">
        <v>3</v>
      </c>
      <c r="D22" s="16">
        <v>0.6</v>
      </c>
      <c r="E22" s="16">
        <v>1.22</v>
      </c>
      <c r="F22" s="16"/>
      <c r="G22" s="16">
        <f t="shared" si="0"/>
        <v>2.1959999999999997</v>
      </c>
      <c r="H22" s="12"/>
      <c r="I22" s="12"/>
      <c r="J22" s="12"/>
      <c r="K22" s="12"/>
    </row>
    <row r="23" spans="1:11" s="1" customFormat="1" x14ac:dyDescent="0.25">
      <c r="A23" s="10"/>
      <c r="B23" s="14" t="s">
        <v>32</v>
      </c>
      <c r="C23" s="12"/>
      <c r="D23" s="16"/>
      <c r="E23" s="16"/>
      <c r="F23" s="16"/>
      <c r="G23" s="16"/>
      <c r="H23" s="12"/>
      <c r="I23" s="12"/>
      <c r="J23" s="12"/>
      <c r="K23" s="12"/>
    </row>
    <row r="24" spans="1:11" s="1" customFormat="1" x14ac:dyDescent="0.25">
      <c r="A24" s="10"/>
      <c r="B24" s="15" t="s">
        <v>33</v>
      </c>
      <c r="C24" s="12">
        <v>1</v>
      </c>
      <c r="D24" s="16">
        <v>0.71499999999999997</v>
      </c>
      <c r="E24" s="16">
        <v>1.38</v>
      </c>
      <c r="F24" s="16"/>
      <c r="G24" s="16">
        <f t="shared" si="0"/>
        <v>0.98669999999999991</v>
      </c>
      <c r="H24" s="12"/>
      <c r="I24" s="12"/>
      <c r="J24" s="12"/>
      <c r="K24" s="12"/>
    </row>
    <row r="25" spans="1:11" s="1" customFormat="1" x14ac:dyDescent="0.25">
      <c r="A25" s="10"/>
      <c r="B25" s="15"/>
      <c r="C25" s="12">
        <v>1</v>
      </c>
      <c r="D25" s="16">
        <v>0.71499999999999997</v>
      </c>
      <c r="E25" s="16">
        <v>0.52</v>
      </c>
      <c r="F25" s="16"/>
      <c r="G25" s="16">
        <f t="shared" si="0"/>
        <v>0.37180000000000002</v>
      </c>
      <c r="H25" s="12"/>
      <c r="I25" s="12"/>
      <c r="J25" s="12"/>
      <c r="K25" s="12"/>
    </row>
    <row r="26" spans="1:11" s="1" customFormat="1" x14ac:dyDescent="0.25">
      <c r="A26" s="10"/>
      <c r="B26" s="15"/>
      <c r="C26" s="12">
        <v>1</v>
      </c>
      <c r="D26" s="16">
        <v>0.79</v>
      </c>
      <c r="E26" s="16">
        <v>2.0299999999999998</v>
      </c>
      <c r="F26" s="16"/>
      <c r="G26" s="16">
        <f t="shared" si="0"/>
        <v>1.6036999999999999</v>
      </c>
      <c r="H26" s="12"/>
      <c r="I26" s="12"/>
      <c r="J26" s="12"/>
      <c r="K26" s="12"/>
    </row>
    <row r="27" spans="1:11" s="1" customFormat="1" x14ac:dyDescent="0.25">
      <c r="A27" s="10"/>
      <c r="B27" s="15" t="s">
        <v>34</v>
      </c>
      <c r="C27" s="12">
        <v>1</v>
      </c>
      <c r="D27" s="16">
        <v>1.8</v>
      </c>
      <c r="E27" s="16">
        <v>1.32</v>
      </c>
      <c r="F27" s="16"/>
      <c r="G27" s="16">
        <f t="shared" si="0"/>
        <v>2.3760000000000003</v>
      </c>
      <c r="H27" s="12"/>
      <c r="I27" s="12"/>
      <c r="J27" s="12"/>
      <c r="K27" s="12"/>
    </row>
    <row r="28" spans="1:11" s="1" customFormat="1" x14ac:dyDescent="0.25">
      <c r="A28" s="10"/>
      <c r="B28" s="15"/>
      <c r="C28" s="12">
        <v>1</v>
      </c>
      <c r="D28" s="16">
        <v>1.8</v>
      </c>
      <c r="E28" s="16">
        <v>1.32</v>
      </c>
      <c r="F28" s="16"/>
      <c r="G28" s="16">
        <f t="shared" si="0"/>
        <v>2.3760000000000003</v>
      </c>
      <c r="H28" s="12"/>
      <c r="I28" s="12"/>
      <c r="J28" s="12"/>
      <c r="K28" s="12"/>
    </row>
    <row r="29" spans="1:11" s="1" customFormat="1" ht="15" customHeight="1" x14ac:dyDescent="0.25">
      <c r="A29" s="17"/>
      <c r="B29" s="18" t="s">
        <v>35</v>
      </c>
      <c r="C29" s="19"/>
      <c r="D29" s="20"/>
      <c r="E29" s="21"/>
      <c r="F29" s="21"/>
      <c r="G29" s="22">
        <f>SUM(G11:G28)</f>
        <v>29.107400000000002</v>
      </c>
      <c r="H29" s="23" t="s">
        <v>36</v>
      </c>
      <c r="I29" s="22">
        <f>6997-850.04+742.44</f>
        <v>6889.4</v>
      </c>
      <c r="J29" s="24">
        <f>G29*I29</f>
        <v>200532.52155999999</v>
      </c>
      <c r="K29" s="21"/>
    </row>
    <row r="30" spans="1:11" s="1" customFormat="1" hidden="1" x14ac:dyDescent="0.25">
      <c r="A30" s="10"/>
      <c r="B30" s="15" t="s">
        <v>37</v>
      </c>
      <c r="C30" s="12"/>
      <c r="D30" s="12"/>
      <c r="E30" s="12"/>
      <c r="F30" s="12"/>
      <c r="G30" s="12"/>
      <c r="H30" s="12"/>
      <c r="I30" s="12"/>
      <c r="J30" s="24">
        <f>0.13*J29</f>
        <v>26069.2278028</v>
      </c>
      <c r="K30" s="12"/>
    </row>
    <row r="31" spans="1:11" s="1" customFormat="1" x14ac:dyDescent="0.25">
      <c r="A31" s="10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s="27" customFormat="1" ht="54.75" customHeight="1" x14ac:dyDescent="0.25">
      <c r="A32" s="10">
        <v>2</v>
      </c>
      <c r="B32" s="25" t="s">
        <v>38</v>
      </c>
      <c r="C32" s="26"/>
      <c r="D32" s="26"/>
      <c r="E32" s="26"/>
      <c r="F32" s="26"/>
      <c r="G32" s="26"/>
      <c r="H32" s="26"/>
      <c r="I32" s="26"/>
      <c r="J32" s="26"/>
      <c r="K32" s="26"/>
    </row>
    <row r="33" spans="1:11" s="1" customFormat="1" x14ac:dyDescent="0.25">
      <c r="A33" s="10"/>
      <c r="B33" s="14" t="s">
        <v>20</v>
      </c>
      <c r="C33" s="12"/>
      <c r="D33" s="12"/>
      <c r="E33" s="12"/>
      <c r="F33" s="12"/>
      <c r="G33" s="12"/>
      <c r="H33" s="12"/>
      <c r="I33" s="12"/>
      <c r="J33" s="12"/>
      <c r="K33" s="12"/>
    </row>
    <row r="34" spans="1:11" s="1" customFormat="1" x14ac:dyDescent="0.25">
      <c r="A34" s="10"/>
      <c r="B34" s="15" t="s">
        <v>39</v>
      </c>
      <c r="C34" s="12">
        <v>2</v>
      </c>
      <c r="D34" s="16">
        <v>0.74</v>
      </c>
      <c r="E34" s="16">
        <v>1.89</v>
      </c>
      <c r="F34" s="16"/>
      <c r="G34" s="16">
        <f t="shared" ref="G34:G42" si="1">PRODUCT(C34:F34)</f>
        <v>2.7971999999999997</v>
      </c>
      <c r="H34" s="12"/>
      <c r="I34" s="12"/>
      <c r="J34" s="12"/>
      <c r="K34" s="12"/>
    </row>
    <row r="35" spans="1:11" s="1" customFormat="1" x14ac:dyDescent="0.25">
      <c r="A35" s="10"/>
      <c r="B35" s="15" t="s">
        <v>24</v>
      </c>
      <c r="C35" s="12">
        <v>1</v>
      </c>
      <c r="D35" s="16">
        <v>0.98</v>
      </c>
      <c r="E35" s="16">
        <v>2.02</v>
      </c>
      <c r="F35" s="16"/>
      <c r="G35" s="16">
        <f t="shared" si="1"/>
        <v>1.9796</v>
      </c>
      <c r="H35" s="12"/>
      <c r="I35" s="12"/>
      <c r="J35" s="12"/>
      <c r="K35" s="12"/>
    </row>
    <row r="36" spans="1:11" s="1" customFormat="1" x14ac:dyDescent="0.25">
      <c r="A36" s="10"/>
      <c r="B36" s="15" t="s">
        <v>40</v>
      </c>
      <c r="C36" s="12">
        <v>1</v>
      </c>
      <c r="D36" s="16">
        <v>0.97</v>
      </c>
      <c r="E36" s="16">
        <v>2.0499999999999998</v>
      </c>
      <c r="F36" s="16"/>
      <c r="G36" s="16">
        <f t="shared" si="1"/>
        <v>1.9884999999999997</v>
      </c>
      <c r="H36" s="12"/>
      <c r="I36" s="12"/>
      <c r="J36" s="12"/>
      <c r="K36" s="12"/>
    </row>
    <row r="37" spans="1:11" s="1" customFormat="1" x14ac:dyDescent="0.25">
      <c r="A37" s="10"/>
      <c r="B37" s="15" t="s">
        <v>41</v>
      </c>
      <c r="C37" s="12">
        <v>1</v>
      </c>
      <c r="D37" s="16">
        <v>0.98</v>
      </c>
      <c r="E37" s="16">
        <v>2.0499999999999998</v>
      </c>
      <c r="F37" s="16"/>
      <c r="G37" s="16">
        <f t="shared" si="1"/>
        <v>2.0089999999999999</v>
      </c>
      <c r="H37" s="12"/>
      <c r="I37" s="12"/>
      <c r="J37" s="12"/>
      <c r="K37" s="12"/>
    </row>
    <row r="38" spans="1:11" s="1" customFormat="1" x14ac:dyDescent="0.25">
      <c r="A38" s="10"/>
      <c r="B38" s="15" t="s">
        <v>42</v>
      </c>
      <c r="C38" s="12">
        <v>1</v>
      </c>
      <c r="D38" s="16">
        <v>0.91</v>
      </c>
      <c r="E38" s="16">
        <v>1.96</v>
      </c>
      <c r="F38" s="16"/>
      <c r="G38" s="16">
        <f t="shared" si="1"/>
        <v>1.7836000000000001</v>
      </c>
      <c r="H38" s="12"/>
      <c r="I38" s="12"/>
      <c r="J38" s="12"/>
      <c r="K38" s="12"/>
    </row>
    <row r="39" spans="1:11" s="1" customFormat="1" x14ac:dyDescent="0.25">
      <c r="A39" s="10"/>
      <c r="B39" s="14" t="s">
        <v>28</v>
      </c>
      <c r="C39" s="12"/>
      <c r="D39" s="16"/>
      <c r="E39" s="16"/>
      <c r="F39" s="16"/>
      <c r="G39" s="16"/>
      <c r="H39" s="12"/>
      <c r="I39" s="12"/>
      <c r="J39" s="12"/>
      <c r="K39" s="12"/>
    </row>
    <row r="40" spans="1:11" s="1" customFormat="1" x14ac:dyDescent="0.25">
      <c r="A40" s="10"/>
      <c r="B40" s="15" t="s">
        <v>29</v>
      </c>
      <c r="C40" s="12">
        <v>1</v>
      </c>
      <c r="D40" s="16">
        <v>0.93</v>
      </c>
      <c r="E40" s="16">
        <v>2</v>
      </c>
      <c r="F40" s="16"/>
      <c r="G40" s="16">
        <f t="shared" si="1"/>
        <v>1.86</v>
      </c>
      <c r="H40" s="12"/>
      <c r="I40" s="12"/>
      <c r="J40" s="12"/>
      <c r="K40" s="12"/>
    </row>
    <row r="41" spans="1:11" s="1" customFormat="1" x14ac:dyDescent="0.25">
      <c r="A41" s="10"/>
      <c r="B41" s="15" t="s">
        <v>31</v>
      </c>
      <c r="C41" s="12">
        <v>1</v>
      </c>
      <c r="D41" s="16">
        <v>0.95</v>
      </c>
      <c r="E41" s="16">
        <v>2.06</v>
      </c>
      <c r="F41" s="16"/>
      <c r="G41" s="16">
        <f t="shared" si="1"/>
        <v>1.9569999999999999</v>
      </c>
      <c r="H41" s="12"/>
      <c r="I41" s="12"/>
      <c r="J41" s="12"/>
      <c r="K41" s="12"/>
    </row>
    <row r="42" spans="1:11" s="1" customFormat="1" x14ac:dyDescent="0.25">
      <c r="A42" s="10"/>
      <c r="B42" s="15" t="s">
        <v>43</v>
      </c>
      <c r="C42" s="12">
        <v>1</v>
      </c>
      <c r="D42" s="16">
        <v>0.94</v>
      </c>
      <c r="E42" s="16">
        <v>1.98</v>
      </c>
      <c r="F42" s="16"/>
      <c r="G42" s="16">
        <f t="shared" si="1"/>
        <v>1.8612</v>
      </c>
      <c r="H42" s="12"/>
      <c r="I42" s="12"/>
      <c r="J42" s="12"/>
      <c r="K42" s="12"/>
    </row>
    <row r="43" spans="1:11" s="1" customFormat="1" x14ac:dyDescent="0.25">
      <c r="A43" s="10"/>
      <c r="B43" s="14" t="s">
        <v>32</v>
      </c>
      <c r="C43" s="12"/>
      <c r="D43" s="16"/>
      <c r="E43" s="16"/>
      <c r="F43" s="16"/>
      <c r="G43" s="16"/>
      <c r="H43" s="12"/>
      <c r="I43" s="12"/>
      <c r="J43" s="12"/>
      <c r="K43" s="12"/>
    </row>
    <row r="44" spans="1:11" s="1" customFormat="1" x14ac:dyDescent="0.25">
      <c r="A44" s="10"/>
      <c r="B44" s="15" t="s">
        <v>43</v>
      </c>
      <c r="C44" s="12">
        <v>1</v>
      </c>
      <c r="D44" s="16">
        <v>0.98499999999999999</v>
      </c>
      <c r="E44" s="16">
        <f>2.67-0.52</f>
        <v>2.15</v>
      </c>
      <c r="F44" s="16"/>
      <c r="G44" s="16">
        <f t="shared" ref="G44" si="2">PRODUCT(C44:F44)</f>
        <v>2.11775</v>
      </c>
      <c r="H44" s="12"/>
      <c r="I44" s="12"/>
      <c r="J44" s="12"/>
      <c r="K44" s="12"/>
    </row>
    <row r="45" spans="1:11" s="1" customFormat="1" x14ac:dyDescent="0.25">
      <c r="A45" s="10"/>
      <c r="B45" s="15" t="s">
        <v>34</v>
      </c>
      <c r="C45" s="12">
        <v>1</v>
      </c>
      <c r="D45" s="16">
        <v>0.94499999999999995</v>
      </c>
      <c r="E45" s="16">
        <v>2.0699999999999998</v>
      </c>
      <c r="F45" s="16"/>
      <c r="G45" s="16">
        <f>PRODUCT(C45:F45)</f>
        <v>1.9561499999999998</v>
      </c>
      <c r="H45" s="12"/>
      <c r="I45" s="12"/>
      <c r="J45" s="12"/>
      <c r="K45" s="12"/>
    </row>
    <row r="46" spans="1:11" s="1" customFormat="1" x14ac:dyDescent="0.25">
      <c r="A46" s="10"/>
      <c r="B46" s="15" t="s">
        <v>44</v>
      </c>
      <c r="C46" s="12">
        <v>1</v>
      </c>
      <c r="D46" s="16">
        <v>0.94</v>
      </c>
      <c r="E46" s="16">
        <v>2.0499999999999998</v>
      </c>
      <c r="F46" s="16"/>
      <c r="G46" s="16">
        <f t="shared" ref="G46" si="3">PRODUCT(C46:F46)</f>
        <v>1.9269999999999998</v>
      </c>
      <c r="H46" s="12"/>
      <c r="I46" s="12"/>
      <c r="J46" s="12"/>
      <c r="K46" s="12"/>
    </row>
    <row r="47" spans="1:11" s="1" customFormat="1" ht="15" customHeight="1" x14ac:dyDescent="0.25">
      <c r="A47" s="17"/>
      <c r="B47" s="18" t="s">
        <v>35</v>
      </c>
      <c r="C47" s="19"/>
      <c r="D47" s="20"/>
      <c r="E47" s="21"/>
      <c r="F47" s="21"/>
      <c r="G47" s="22">
        <f>SUM(G34:G46)</f>
        <v>22.237000000000002</v>
      </c>
      <c r="H47" s="23" t="s">
        <v>36</v>
      </c>
      <c r="I47" s="22">
        <v>8744</v>
      </c>
      <c r="J47" s="24">
        <f>G47*I47</f>
        <v>194440.32800000001</v>
      </c>
      <c r="K47" s="21"/>
    </row>
    <row r="48" spans="1:11" s="1" customFormat="1" hidden="1" x14ac:dyDescent="0.25">
      <c r="A48" s="10"/>
      <c r="B48" s="15" t="s">
        <v>37</v>
      </c>
      <c r="C48" s="12"/>
      <c r="D48" s="12"/>
      <c r="E48" s="12"/>
      <c r="F48" s="12"/>
      <c r="G48" s="12"/>
      <c r="H48" s="12"/>
      <c r="I48" s="12"/>
      <c r="J48" s="24">
        <f>0.13*J47</f>
        <v>25277.24264</v>
      </c>
      <c r="K48" s="12"/>
    </row>
    <row r="49" spans="1:11" s="1" customFormat="1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s="27" customFormat="1" ht="54.75" customHeight="1" x14ac:dyDescent="0.25">
      <c r="A50" s="10">
        <v>3</v>
      </c>
      <c r="B50" s="25" t="s">
        <v>45</v>
      </c>
      <c r="C50" s="26"/>
      <c r="D50" s="26"/>
      <c r="E50" s="26"/>
      <c r="F50" s="26"/>
      <c r="G50" s="26"/>
      <c r="H50" s="26"/>
      <c r="I50" s="26"/>
      <c r="J50" s="26"/>
      <c r="K50" s="26"/>
    </row>
    <row r="51" spans="1:11" s="1" customFormat="1" x14ac:dyDescent="0.25">
      <c r="A51" s="10"/>
      <c r="B51" s="14" t="s">
        <v>20</v>
      </c>
      <c r="C51" s="12"/>
      <c r="D51" s="12"/>
      <c r="E51" s="12"/>
      <c r="F51" s="12"/>
      <c r="G51" s="12"/>
      <c r="H51" s="12"/>
      <c r="I51" s="12"/>
      <c r="J51" s="12"/>
      <c r="K51" s="12"/>
    </row>
    <row r="52" spans="1:11" s="1" customFormat="1" x14ac:dyDescent="0.25">
      <c r="A52" s="10"/>
      <c r="B52" s="15" t="s">
        <v>46</v>
      </c>
      <c r="C52" s="12">
        <v>1</v>
      </c>
      <c r="D52" s="16">
        <v>1.22</v>
      </c>
      <c r="E52" s="16">
        <v>2.04</v>
      </c>
      <c r="F52" s="16"/>
      <c r="G52" s="16">
        <f t="shared" ref="G52" si="4">PRODUCT(C52:F52)</f>
        <v>2.4887999999999999</v>
      </c>
      <c r="H52" s="12"/>
      <c r="I52" s="12"/>
      <c r="J52" s="12"/>
      <c r="K52" s="12"/>
    </row>
    <row r="53" spans="1:11" s="1" customFormat="1" ht="15" customHeight="1" x14ac:dyDescent="0.25">
      <c r="A53" s="17"/>
      <c r="B53" s="18" t="s">
        <v>35</v>
      </c>
      <c r="C53" s="19"/>
      <c r="D53" s="20"/>
      <c r="E53" s="21"/>
      <c r="F53" s="21"/>
      <c r="G53" s="22">
        <f>SUM(G52:G52)</f>
        <v>2.4887999999999999</v>
      </c>
      <c r="H53" s="23" t="s">
        <v>36</v>
      </c>
      <c r="I53" s="22">
        <f>8624-850.04+742.44</f>
        <v>8516.4</v>
      </c>
      <c r="J53" s="24">
        <f>G53*I53</f>
        <v>21195.616319999997</v>
      </c>
      <c r="K53" s="21"/>
    </row>
    <row r="54" spans="1:11" s="1" customFormat="1" x14ac:dyDescent="0.25">
      <c r="A54" s="10"/>
      <c r="B54" s="15" t="s">
        <v>37</v>
      </c>
      <c r="C54" s="12"/>
      <c r="D54" s="12"/>
      <c r="E54" s="12"/>
      <c r="F54" s="12"/>
      <c r="G54" s="12"/>
      <c r="H54" s="12"/>
      <c r="I54" s="12"/>
      <c r="J54" s="24">
        <f>0.13*J53</f>
        <v>2755.4301215999999</v>
      </c>
      <c r="K54" s="12"/>
    </row>
    <row r="55" spans="1:11" s="1" customFormat="1" x14ac:dyDescent="0.25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s="1" customFormat="1" x14ac:dyDescent="0.25">
      <c r="A56" s="10">
        <v>4</v>
      </c>
      <c r="B56" s="28" t="s">
        <v>71</v>
      </c>
      <c r="C56" s="12"/>
      <c r="D56" s="12"/>
      <c r="E56" s="12"/>
      <c r="F56" s="12"/>
      <c r="G56" s="12"/>
      <c r="H56" s="12"/>
      <c r="I56" s="12"/>
      <c r="J56" s="12"/>
      <c r="K56" s="12"/>
    </row>
    <row r="57" spans="1:11" s="1" customFormat="1" x14ac:dyDescent="0.25">
      <c r="A57" s="10"/>
      <c r="B57" s="14" t="s">
        <v>20</v>
      </c>
      <c r="C57" s="12"/>
      <c r="D57" s="12"/>
      <c r="E57" s="12"/>
      <c r="F57" s="12"/>
      <c r="G57" s="12"/>
      <c r="H57" s="12"/>
      <c r="I57" s="12"/>
      <c r="J57" s="12"/>
      <c r="K57" s="12"/>
    </row>
    <row r="58" spans="1:11" s="1" customFormat="1" x14ac:dyDescent="0.25">
      <c r="A58" s="10"/>
      <c r="B58" s="15" t="s">
        <v>24</v>
      </c>
      <c r="C58" s="12">
        <v>3</v>
      </c>
      <c r="D58" s="16">
        <v>0.51</v>
      </c>
      <c r="E58" s="16">
        <v>1.1200000000000001</v>
      </c>
      <c r="F58" s="16"/>
      <c r="G58" s="16">
        <f>PRODUCT(C58:F58)</f>
        <v>1.7136000000000002</v>
      </c>
      <c r="H58" s="12"/>
      <c r="I58" s="12"/>
      <c r="J58" s="12"/>
      <c r="K58" s="12"/>
    </row>
    <row r="59" spans="1:11" s="1" customFormat="1" x14ac:dyDescent="0.25">
      <c r="A59" s="10"/>
      <c r="B59" s="14" t="s">
        <v>28</v>
      </c>
      <c r="C59" s="12"/>
      <c r="D59" s="16"/>
      <c r="E59" s="16"/>
      <c r="F59" s="16"/>
      <c r="G59" s="16"/>
      <c r="H59" s="12"/>
      <c r="I59" s="12"/>
      <c r="J59" s="12"/>
      <c r="K59" s="12"/>
    </row>
    <row r="60" spans="1:11" s="1" customFormat="1" x14ac:dyDescent="0.25">
      <c r="A60" s="10"/>
      <c r="B60" s="15" t="s">
        <v>29</v>
      </c>
      <c r="C60" s="12">
        <v>3</v>
      </c>
      <c r="D60" s="16">
        <v>0.5</v>
      </c>
      <c r="E60" s="16">
        <v>1.1000000000000001</v>
      </c>
      <c r="F60" s="16"/>
      <c r="G60" s="16">
        <f t="shared" ref="G60:G63" si="5">PRODUCT(C60:F60)</f>
        <v>1.6500000000000001</v>
      </c>
      <c r="H60" s="12"/>
      <c r="I60" s="12"/>
      <c r="J60" s="12"/>
      <c r="K60" s="12"/>
    </row>
    <row r="61" spans="1:11" s="1" customFormat="1" x14ac:dyDescent="0.25">
      <c r="A61" s="10"/>
      <c r="B61" s="15"/>
      <c r="C61" s="12">
        <v>3</v>
      </c>
      <c r="D61" s="16">
        <v>0.5</v>
      </c>
      <c r="E61" s="16">
        <v>1.1000000000000001</v>
      </c>
      <c r="F61" s="16"/>
      <c r="G61" s="16">
        <f t="shared" si="5"/>
        <v>1.6500000000000001</v>
      </c>
      <c r="H61" s="12"/>
      <c r="I61" s="12"/>
      <c r="J61" s="12"/>
      <c r="K61" s="12"/>
    </row>
    <row r="62" spans="1:11" s="1" customFormat="1" x14ac:dyDescent="0.25">
      <c r="A62" s="10"/>
      <c r="B62" s="15"/>
      <c r="C62" s="12">
        <v>3</v>
      </c>
      <c r="D62" s="16">
        <v>0.5</v>
      </c>
      <c r="E62" s="16">
        <v>1.1000000000000001</v>
      </c>
      <c r="F62" s="16"/>
      <c r="G62" s="16">
        <f t="shared" si="5"/>
        <v>1.6500000000000001</v>
      </c>
      <c r="H62" s="12"/>
      <c r="I62" s="12"/>
      <c r="J62" s="12"/>
      <c r="K62" s="12"/>
    </row>
    <row r="63" spans="1:11" s="1" customFormat="1" x14ac:dyDescent="0.25">
      <c r="A63" s="10"/>
      <c r="B63" s="15"/>
      <c r="C63" s="12">
        <v>1</v>
      </c>
      <c r="D63" s="16">
        <v>0.5</v>
      </c>
      <c r="E63" s="16">
        <v>1.1000000000000001</v>
      </c>
      <c r="F63" s="16"/>
      <c r="G63" s="16">
        <f t="shared" si="5"/>
        <v>0.55000000000000004</v>
      </c>
      <c r="H63" s="12"/>
      <c r="I63" s="12"/>
      <c r="J63" s="12"/>
      <c r="K63" s="12"/>
    </row>
    <row r="64" spans="1:11" s="1" customFormat="1" x14ac:dyDescent="0.25">
      <c r="A64" s="10"/>
      <c r="B64" s="14" t="s">
        <v>32</v>
      </c>
      <c r="C64" s="12"/>
      <c r="D64" s="16"/>
      <c r="E64" s="16"/>
      <c r="F64" s="16"/>
      <c r="G64" s="16"/>
      <c r="H64" s="12"/>
      <c r="I64" s="12"/>
      <c r="J64" s="12"/>
      <c r="K64" s="12"/>
    </row>
    <row r="65" spans="1:19" s="1" customFormat="1" x14ac:dyDescent="0.25">
      <c r="A65" s="10"/>
      <c r="B65" s="15" t="s">
        <v>47</v>
      </c>
      <c r="C65" s="12">
        <v>2</v>
      </c>
      <c r="D65" s="16">
        <v>0.47</v>
      </c>
      <c r="E65" s="16">
        <v>1.1100000000000001</v>
      </c>
      <c r="F65" s="16"/>
      <c r="G65" s="16">
        <f t="shared" ref="G65:G66" si="6">PRODUCT(C65:F65)</f>
        <v>1.0434000000000001</v>
      </c>
      <c r="H65" s="12"/>
      <c r="I65" s="12"/>
      <c r="J65" s="12"/>
      <c r="K65" s="12"/>
    </row>
    <row r="66" spans="1:19" s="1" customFormat="1" x14ac:dyDescent="0.25">
      <c r="A66" s="10"/>
      <c r="B66" s="15"/>
      <c r="C66" s="12">
        <v>3</v>
      </c>
      <c r="D66" s="16">
        <v>0.49</v>
      </c>
      <c r="E66" s="16">
        <v>1.1399999999999999</v>
      </c>
      <c r="F66" s="16"/>
      <c r="G66" s="16">
        <f t="shared" si="6"/>
        <v>1.6757999999999997</v>
      </c>
      <c r="H66" s="12"/>
      <c r="I66" s="12"/>
      <c r="J66" s="12"/>
      <c r="K66" s="12"/>
    </row>
    <row r="67" spans="1:19" s="1" customFormat="1" ht="15.75" customHeight="1" x14ac:dyDescent="0.25">
      <c r="A67" s="17"/>
      <c r="B67" s="18" t="s">
        <v>35</v>
      </c>
      <c r="C67" s="19"/>
      <c r="D67" s="20"/>
      <c r="E67" s="21"/>
      <c r="F67" s="21"/>
      <c r="G67" s="22">
        <f>SUM(G58:G66)</f>
        <v>9.9328000000000003</v>
      </c>
      <c r="H67" s="23" t="s">
        <v>36</v>
      </c>
      <c r="I67" s="22">
        <v>742.44</v>
      </c>
      <c r="J67" s="24">
        <f>G67*I67</f>
        <v>7374.5080320000006</v>
      </c>
      <c r="K67" s="21"/>
    </row>
    <row r="68" spans="1:19" s="1" customFormat="1" hidden="1" x14ac:dyDescent="0.25">
      <c r="A68" s="10"/>
      <c r="B68" s="15" t="s">
        <v>37</v>
      </c>
      <c r="C68" s="12"/>
      <c r="D68" s="12"/>
      <c r="E68" s="12"/>
      <c r="F68" s="12"/>
      <c r="G68" s="12"/>
      <c r="H68" s="12"/>
      <c r="I68" s="12"/>
      <c r="J68" s="24">
        <f>0.13*J67</f>
        <v>958.68604416000016</v>
      </c>
      <c r="K68" s="12"/>
    </row>
    <row r="69" spans="1:19" s="1" customFormat="1" x14ac:dyDescent="0.25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9" s="1" customFormat="1" ht="15" customHeight="1" x14ac:dyDescent="0.25">
      <c r="A70" s="17">
        <v>5</v>
      </c>
      <c r="B70" s="28" t="s">
        <v>48</v>
      </c>
      <c r="C70" s="12">
        <v>0</v>
      </c>
      <c r="D70" s="20"/>
      <c r="E70" s="21"/>
      <c r="F70" s="21"/>
      <c r="G70" s="23">
        <f t="shared" ref="G70" si="7">PRODUCT(C70:F70)</f>
        <v>0</v>
      </c>
      <c r="H70" s="23" t="s">
        <v>49</v>
      </c>
      <c r="I70" s="22">
        <v>500</v>
      </c>
      <c r="J70" s="23">
        <f>G70*I70</f>
        <v>0</v>
      </c>
      <c r="K70" s="21"/>
    </row>
    <row r="71" spans="1:19" s="1" customFormat="1" ht="11.25" customHeight="1" x14ac:dyDescent="0.25">
      <c r="A71" s="17"/>
      <c r="B71" s="29"/>
      <c r="C71" s="19"/>
      <c r="D71" s="20"/>
      <c r="E71" s="21"/>
      <c r="F71" s="21"/>
      <c r="G71" s="22"/>
      <c r="H71" s="23"/>
      <c r="I71" s="22"/>
      <c r="J71" s="24"/>
      <c r="K71" s="21"/>
    </row>
    <row r="72" spans="1:19" s="1" customFormat="1" x14ac:dyDescent="0.25">
      <c r="A72" s="30"/>
      <c r="B72" s="31" t="s">
        <v>50</v>
      </c>
      <c r="C72" s="32"/>
      <c r="D72" s="33"/>
      <c r="E72" s="33"/>
      <c r="F72" s="33"/>
      <c r="G72" s="24"/>
      <c r="H72" s="24"/>
      <c r="I72" s="24"/>
      <c r="J72" s="24">
        <f>SUM(J29:J70)</f>
        <v>478603.56052055996</v>
      </c>
      <c r="K72" s="34"/>
    </row>
    <row r="73" spans="1:19" s="1" customFormat="1" x14ac:dyDescent="0.25">
      <c r="M73" s="27"/>
      <c r="N73" s="27"/>
      <c r="O73" s="27"/>
      <c r="P73" s="27"/>
      <c r="Q73" s="27"/>
      <c r="R73" s="27"/>
      <c r="S73" s="27"/>
    </row>
    <row r="74" spans="1:19" s="27" customFormat="1" hidden="1" x14ac:dyDescent="0.25">
      <c r="A74" s="35"/>
      <c r="B74" s="26" t="s">
        <v>57</v>
      </c>
      <c r="C74" s="66">
        <f>J72</f>
        <v>478603.56052055996</v>
      </c>
      <c r="D74" s="67"/>
      <c r="E74" s="36">
        <v>100</v>
      </c>
      <c r="F74" s="35"/>
      <c r="G74" s="37"/>
      <c r="H74" s="35"/>
      <c r="I74" s="38"/>
      <c r="J74" s="39"/>
      <c r="K74" s="40"/>
      <c r="M74" s="1"/>
      <c r="N74" s="1"/>
      <c r="O74" s="1"/>
      <c r="P74" s="1"/>
      <c r="Q74" s="1"/>
      <c r="R74" s="1"/>
      <c r="S74" s="1"/>
    </row>
    <row r="75" spans="1:19" s="1" customFormat="1" hidden="1" x14ac:dyDescent="0.25">
      <c r="B75" s="26" t="s">
        <v>52</v>
      </c>
      <c r="C75" s="70">
        <v>200000</v>
      </c>
      <c r="D75" s="71"/>
      <c r="E75" s="36"/>
    </row>
    <row r="76" spans="1:19" s="1" customFormat="1" hidden="1" x14ac:dyDescent="0.25">
      <c r="B76" s="26" t="s">
        <v>53</v>
      </c>
      <c r="C76" s="70">
        <f>Estimate!E76%*Measure!C74</f>
        <v>189801.71301608198</v>
      </c>
      <c r="D76" s="71"/>
      <c r="E76" s="36">
        <f>C76/C74*100</f>
        <v>39.657396783601328</v>
      </c>
    </row>
    <row r="77" spans="1:19" s="1" customFormat="1" hidden="1" x14ac:dyDescent="0.25">
      <c r="B77" s="26" t="s">
        <v>54</v>
      </c>
      <c r="C77" s="72">
        <f>C74-C76</f>
        <v>288801.84750447795</v>
      </c>
      <c r="D77" s="72"/>
      <c r="E77" s="36">
        <f>100-E76</f>
        <v>60.342603216398672</v>
      </c>
    </row>
    <row r="78" spans="1:19" s="1" customFormat="1" hidden="1" x14ac:dyDescent="0.25">
      <c r="B78" s="26" t="s">
        <v>55</v>
      </c>
      <c r="C78" s="66">
        <f>C75*0.03</f>
        <v>6000</v>
      </c>
      <c r="D78" s="67"/>
      <c r="E78" s="36">
        <v>3</v>
      </c>
    </row>
    <row r="79" spans="1:19" s="1" customFormat="1" hidden="1" x14ac:dyDescent="0.25">
      <c r="B79" s="26" t="s">
        <v>56</v>
      </c>
      <c r="C79" s="66">
        <f>C75*0.02</f>
        <v>4000</v>
      </c>
      <c r="D79" s="67"/>
      <c r="E79" s="36">
        <v>2</v>
      </c>
    </row>
  </sheetData>
  <mergeCells count="13">
    <mergeCell ref="A6:F6"/>
    <mergeCell ref="A1:K1"/>
    <mergeCell ref="A2:K2"/>
    <mergeCell ref="A3:K3"/>
    <mergeCell ref="A4:K4"/>
    <mergeCell ref="A5:K5"/>
    <mergeCell ref="C78:D78"/>
    <mergeCell ref="C79:D79"/>
    <mergeCell ref="A7:F7"/>
    <mergeCell ref="C74:D74"/>
    <mergeCell ref="C75:D75"/>
    <mergeCell ref="C76:D76"/>
    <mergeCell ref="C77:D77"/>
  </mergeCells>
  <pageMargins left="0.7" right="0.7" top="0.75" bottom="0.75" header="0.3" footer="0.3"/>
  <pageSetup paperSize="9" scale="95" orientation="portrait" verticalDpi="0" r:id="rId1"/>
  <headerFooter>
    <oddFooter>&amp;LPrepared By:&amp;CChecked By:&amp;RApproved By: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Estimate</vt:lpstr>
      <vt:lpstr>Valuation</vt:lpstr>
      <vt:lpstr>WCR</vt:lpstr>
      <vt:lpstr>Measure</vt:lpstr>
      <vt:lpstr>Estimate!Print_Titles</vt:lpstr>
      <vt:lpstr>Measure!Print_Titles</vt:lpstr>
      <vt:lpstr>Valuation!Print_Titles</vt:lpstr>
      <vt:lpstr>WCR!Print_Titles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2025-10-12T06:48:31Z</dcterms:modified>
</cp:coreProperties>
</file>