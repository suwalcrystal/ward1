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Estimate" sheetId="1" r:id="rId1"/>
    <sheet name="Valuation" sheetId="2" r:id="rId2"/>
    <sheet name="Sheet2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3" l="1"/>
  <c r="J23" i="3"/>
  <c r="J22" i="3"/>
  <c r="J20" i="3"/>
  <c r="J19" i="3"/>
  <c r="J17" i="3"/>
  <c r="J16" i="3"/>
  <c r="J14" i="3"/>
  <c r="J13" i="3"/>
  <c r="J25" i="3"/>
  <c r="I27" i="3"/>
  <c r="F27" i="3"/>
  <c r="H25" i="3"/>
  <c r="I25" i="3" s="1"/>
  <c r="G25" i="3"/>
  <c r="E25" i="3"/>
  <c r="F25" i="3" s="1"/>
  <c r="D25" i="3"/>
  <c r="C25" i="3"/>
  <c r="B25" i="3"/>
  <c r="A25" i="3"/>
  <c r="I23" i="3"/>
  <c r="H22" i="3"/>
  <c r="G22" i="3"/>
  <c r="I22" i="3" s="1"/>
  <c r="F23" i="3"/>
  <c r="E22" i="3"/>
  <c r="D22" i="3"/>
  <c r="C22" i="3"/>
  <c r="B23" i="3"/>
  <c r="B22" i="3"/>
  <c r="A22" i="3"/>
  <c r="I20" i="3"/>
  <c r="H19" i="3"/>
  <c r="G19" i="3"/>
  <c r="F20" i="3"/>
  <c r="E19" i="3"/>
  <c r="D19" i="3"/>
  <c r="C19" i="3"/>
  <c r="B20" i="3"/>
  <c r="B19" i="3"/>
  <c r="A19" i="3"/>
  <c r="I17" i="3"/>
  <c r="H16" i="3"/>
  <c r="G16" i="3"/>
  <c r="F14" i="3"/>
  <c r="F17" i="3"/>
  <c r="E16" i="3"/>
  <c r="D16" i="3"/>
  <c r="C16" i="3"/>
  <c r="B17" i="3"/>
  <c r="B16" i="3"/>
  <c r="A16" i="3"/>
  <c r="I14" i="3"/>
  <c r="G13" i="3"/>
  <c r="H13" i="3"/>
  <c r="E13" i="3"/>
  <c r="D13" i="3"/>
  <c r="C13" i="3"/>
  <c r="B14" i="3"/>
  <c r="B13" i="3"/>
  <c r="A13" i="3"/>
  <c r="A9" i="3"/>
  <c r="A8" i="3"/>
  <c r="J6" i="3"/>
  <c r="C6" i="3"/>
  <c r="F22" i="3" l="1"/>
  <c r="I19" i="3"/>
  <c r="F19" i="3"/>
  <c r="F16" i="3"/>
  <c r="I13" i="3"/>
  <c r="F13" i="3"/>
  <c r="I16" i="3"/>
  <c r="C79" i="2" l="1"/>
  <c r="C82" i="2"/>
  <c r="C81" i="2"/>
  <c r="J73" i="2"/>
  <c r="G73" i="2"/>
  <c r="G69" i="2"/>
  <c r="G68" i="2"/>
  <c r="G66" i="2"/>
  <c r="G65" i="2"/>
  <c r="G64" i="2"/>
  <c r="G63" i="2"/>
  <c r="G70" i="2" s="1"/>
  <c r="J70" i="2" s="1"/>
  <c r="J71" i="2" s="1"/>
  <c r="G61" i="2"/>
  <c r="G55" i="2"/>
  <c r="G56" i="2" s="1"/>
  <c r="J56" i="2" s="1"/>
  <c r="J57" i="2" s="1"/>
  <c r="G49" i="2"/>
  <c r="G48" i="2"/>
  <c r="E47" i="2"/>
  <c r="G47" i="2" s="1"/>
  <c r="G45" i="2"/>
  <c r="G44" i="2"/>
  <c r="G43" i="2"/>
  <c r="G41" i="2"/>
  <c r="G40" i="2"/>
  <c r="G39" i="2"/>
  <c r="G38" i="2"/>
  <c r="G37" i="2"/>
  <c r="G31" i="2"/>
  <c r="G30" i="2"/>
  <c r="G29" i="2"/>
  <c r="G28" i="2"/>
  <c r="G27" i="2"/>
  <c r="G26" i="2"/>
  <c r="G24" i="2"/>
  <c r="G23" i="2"/>
  <c r="G22" i="2"/>
  <c r="G21" i="2"/>
  <c r="G20" i="2"/>
  <c r="G18" i="2"/>
  <c r="G17" i="2"/>
  <c r="G16" i="2"/>
  <c r="G15" i="2"/>
  <c r="G14" i="2"/>
  <c r="G13" i="2"/>
  <c r="G12" i="2"/>
  <c r="G11" i="2"/>
  <c r="G32" i="2" s="1"/>
  <c r="J32" i="2" s="1"/>
  <c r="C82" i="1"/>
  <c r="C81" i="1"/>
  <c r="C79" i="1" s="1"/>
  <c r="J73" i="1"/>
  <c r="G73" i="1"/>
  <c r="G69" i="1"/>
  <c r="G68" i="1"/>
  <c r="G66" i="1"/>
  <c r="G65" i="1"/>
  <c r="G64" i="1"/>
  <c r="G63" i="1"/>
  <c r="G61" i="1"/>
  <c r="G70" i="1" s="1"/>
  <c r="J70" i="1" s="1"/>
  <c r="J71" i="1" s="1"/>
  <c r="G55" i="1"/>
  <c r="G56" i="1" s="1"/>
  <c r="J56" i="1" s="1"/>
  <c r="J57" i="1" s="1"/>
  <c r="G49" i="1"/>
  <c r="G48" i="1"/>
  <c r="E47" i="1"/>
  <c r="G47" i="1" s="1"/>
  <c r="G45" i="1"/>
  <c r="G44" i="1"/>
  <c r="G43" i="1"/>
  <c r="G41" i="1"/>
  <c r="G40" i="1"/>
  <c r="G39" i="1"/>
  <c r="G38" i="1"/>
  <c r="G37" i="1"/>
  <c r="G31" i="1"/>
  <c r="G30" i="1"/>
  <c r="G29" i="1"/>
  <c r="G28" i="1"/>
  <c r="G27" i="1"/>
  <c r="G26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32" i="1" s="1"/>
  <c r="J32" i="1" s="1"/>
  <c r="G50" i="2" l="1"/>
  <c r="J50" i="2" s="1"/>
  <c r="J51" i="2" s="1"/>
  <c r="J33" i="2"/>
  <c r="G50" i="1"/>
  <c r="J50" i="1" s="1"/>
  <c r="J51" i="1" s="1"/>
  <c r="J33" i="1"/>
  <c r="J75" i="2" l="1"/>
  <c r="C77" i="2" s="1"/>
  <c r="J75" i="1"/>
  <c r="C77" i="1" s="1"/>
  <c r="C80" i="2" l="1"/>
  <c r="E79" i="2"/>
  <c r="E80" i="2" s="1"/>
  <c r="C80" i="1"/>
  <c r="E79" i="1"/>
  <c r="E80" i="1" s="1"/>
</calcChain>
</file>

<file path=xl/comments1.xml><?xml version="1.0" encoding="utf-8"?>
<comments xmlns="http://schemas.openxmlformats.org/spreadsheetml/2006/main">
  <authors>
    <author>Author</author>
  </authors>
  <commentList>
    <comment ref="B24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sliding panel only ie; window without frame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khapa only</t>
        </r>
      </text>
    </comment>
    <comment ref="B53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24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sliding panel only ie; window without frame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khapa only</t>
        </r>
      </text>
    </comment>
    <comment ref="B53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only 4mm thick glass used</t>
        </r>
      </text>
    </comment>
  </commentList>
</comments>
</file>

<file path=xl/sharedStrings.xml><?xml version="1.0" encoding="utf-8"?>
<sst xmlns="http://schemas.openxmlformats.org/spreadsheetml/2006/main" count="189" uniqueCount="75">
  <si>
    <t>Government of Nepal</t>
  </si>
  <si>
    <t>Shankharapur Municipality Office</t>
  </si>
  <si>
    <t>Bagmati Province</t>
  </si>
  <si>
    <t>Sankhu, Kathmandu</t>
  </si>
  <si>
    <t>Detail Estimated Sheet</t>
  </si>
  <si>
    <t>Project:-Nanglebhare Police Chauki Marmat</t>
  </si>
  <si>
    <t>F.Y.: 2082/2083</t>
  </si>
  <si>
    <t>Location:- Shankharapur Municipality 9</t>
  </si>
  <si>
    <t xml:space="preserve">Date:                </t>
  </si>
  <si>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</si>
  <si>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</si>
  <si>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</si>
  <si>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</si>
  <si>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</si>
  <si>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</si>
  <si>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</si>
  <si>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</si>
  <si>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</si>
  <si>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</si>
  <si>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</t>
  </si>
  <si>
    <t>UPVC sliding window without net (frame 60 X 60mm sash 66 X 42mm white colour with 5mm Glass)</t>
  </si>
  <si>
    <t>Ground Floor</t>
  </si>
  <si>
    <t>-Lobby</t>
  </si>
  <si>
    <t>-main door attached window</t>
  </si>
  <si>
    <t>-traffic room</t>
  </si>
  <si>
    <t>-store room</t>
  </si>
  <si>
    <t>-Rooms</t>
  </si>
  <si>
    <t>-room near staircase</t>
  </si>
  <si>
    <t>-toilet</t>
  </si>
  <si>
    <t>First Floor</t>
  </si>
  <si>
    <t>-Civil barrack room</t>
  </si>
  <si>
    <t>-balcony passage</t>
  </si>
  <si>
    <t>-Civil barrack 2nd room</t>
  </si>
  <si>
    <t>Second Floor</t>
  </si>
  <si>
    <t>-attched window to door at balcony</t>
  </si>
  <si>
    <t>-Head room</t>
  </si>
  <si>
    <t>Sub-total</t>
  </si>
  <si>
    <t>m2</t>
  </si>
  <si>
    <t>-13% VAT for materials</t>
  </si>
  <si>
    <t>UPVC Single Door with full pannel (frame 60*60mm sash 60X100mm White Colour With  Panel)</t>
  </si>
  <si>
    <t>-Jail toilet door</t>
  </si>
  <si>
    <t>-Staircase area</t>
  </si>
  <si>
    <t>-Room near staircase</t>
  </si>
  <si>
    <t>-at staircase landing</t>
  </si>
  <si>
    <t>-Balcony on Passage</t>
  </si>
  <si>
    <t>-door to kitchen room</t>
  </si>
  <si>
    <t>UPVC Door with half  pannel half glass (frame 60*60mm sash 60X104mm White Colour With  5mm glass)</t>
  </si>
  <si>
    <t>-Main door</t>
  </si>
  <si>
    <t>5mm glass for affected openings</t>
  </si>
  <si>
    <t>-room along kitchen</t>
  </si>
  <si>
    <t>Information board (सुचना पाटि)</t>
  </si>
  <si>
    <t>no.</t>
  </si>
  <si>
    <t>Total</t>
  </si>
  <si>
    <t>Total Estimated</t>
  </si>
  <si>
    <t>Budget allocated</t>
  </si>
  <si>
    <t>Municipal payment</t>
  </si>
  <si>
    <t>Police sector contribution</t>
  </si>
  <si>
    <t xml:space="preserve">Contingencies </t>
  </si>
  <si>
    <t xml:space="preserve">Maintanince </t>
  </si>
  <si>
    <t>Total Valuated</t>
  </si>
  <si>
    <t>Detail Valuated Sheet</t>
  </si>
  <si>
    <t>Work Completion Report</t>
  </si>
  <si>
    <t>Total Estimated Amount:</t>
  </si>
  <si>
    <t>Total Valuated Amount :</t>
  </si>
  <si>
    <t xml:space="preserve">Work Started : </t>
  </si>
  <si>
    <t xml:space="preserve">Work Finished:            </t>
  </si>
  <si>
    <t xml:space="preserve">F.Y:2081/2082            </t>
  </si>
  <si>
    <t xml:space="preserve">Date:2081/08/10       </t>
  </si>
  <si>
    <t>S.No.</t>
  </si>
  <si>
    <t>Description</t>
  </si>
  <si>
    <t>Estimated</t>
  </si>
  <si>
    <t>Valuated</t>
  </si>
  <si>
    <t>Difference</t>
  </si>
  <si>
    <t>Remarks</t>
  </si>
  <si>
    <t xml:space="preserve">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</si>
</sst>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8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1" xfId="0" applyFont="1" applyBorder="1"/>
    <xf numFmtId="43" fontId="9" fillId="0" borderId="0" xfId="1" applyFont="1"/>
    <xf numFmtId="0" fontId="8" fillId="0" borderId="1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43" fontId="9" fillId="0" borderId="2" xfId="1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6" fillId="0" borderId="2" xfId="0" applyFont="1" applyBorder="1" applyAlignment="1">
      <alignment vertical="center"/>
    </xf>
    <xf numFmtId="0" fontId="10" fillId="2" borderId="2" xfId="2" applyFont="1" applyFill="1" applyBorder="1" applyAlignment="1">
      <alignment wrapText="1"/>
    </xf>
    <xf numFmtId="0" fontId="4" fillId="0" borderId="2" xfId="0" applyFont="1" applyBorder="1"/>
    <xf numFmtId="0" fontId="11" fillId="0" borderId="0" xfId="2" applyFont="1" applyAlignment="1">
      <alignment horizontal="center" wrapText="1"/>
    </xf>
    <xf numFmtId="0" fontId="10" fillId="2" borderId="2" xfId="2" applyFont="1" applyFill="1" applyBorder="1" applyAlignment="1">
      <alignment horizontal="center" wrapText="1"/>
    </xf>
    <xf numFmtId="0" fontId="4" fillId="0" borderId="2" xfId="0" quotePrefix="1" applyFont="1" applyBorder="1" applyAlignment="1">
      <alignment horizontal="right"/>
    </xf>
    <xf numFmtId="2" fontId="4" fillId="0" borderId="2" xfId="0" applyNumberFormat="1" applyFont="1" applyBorder="1"/>
    <xf numFmtId="1" fontId="3" fillId="0" borderId="2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right" wrapText="1"/>
    </xf>
    <xf numFmtId="165" fontId="12" fillId="0" borderId="2" xfId="0" applyNumberFormat="1" applyFont="1" applyBorder="1" applyAlignment="1">
      <alignment vertical="center"/>
    </xf>
    <xf numFmtId="2" fontId="12" fillId="0" borderId="2" xfId="1" applyNumberFormat="1" applyFont="1" applyFill="1" applyBorder="1" applyAlignment="1">
      <alignment vertical="center"/>
    </xf>
    <xf numFmtId="2" fontId="12" fillId="0" borderId="2" xfId="0" applyNumberFormat="1" applyFont="1" applyBorder="1" applyAlignment="1">
      <alignment vertical="center"/>
    </xf>
    <xf numFmtId="2" fontId="3" fillId="0" borderId="2" xfId="1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/>
    <xf numFmtId="0" fontId="10" fillId="2" borderId="2" xfId="2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12" fillId="0" borderId="2" xfId="0" applyNumberFormat="1" applyFont="1" applyBorder="1" applyAlignment="1">
      <alignment vertical="center" wrapText="1"/>
    </xf>
    <xf numFmtId="1" fontId="12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right" wrapText="1"/>
    </xf>
    <xf numFmtId="165" fontId="12" fillId="0" borderId="2" xfId="0" applyNumberFormat="1" applyFont="1" applyBorder="1"/>
    <xf numFmtId="2" fontId="12" fillId="0" borderId="2" xfId="0" applyNumberFormat="1" applyFont="1" applyBorder="1"/>
    <xf numFmtId="0" fontId="12" fillId="0" borderId="2" xfId="0" applyFont="1" applyBorder="1"/>
    <xf numFmtId="0" fontId="12" fillId="0" borderId="0" xfId="0" applyFont="1" applyAlignment="1">
      <alignment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3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2" fontId="4" fillId="0" borderId="3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/>
    </xf>
    <xf numFmtId="0" fontId="18" fillId="0" borderId="0" xfId="0" applyFont="1"/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/>
    <xf numFmtId="1" fontId="21" fillId="0" borderId="2" xfId="0" applyNumberFormat="1" applyFont="1" applyBorder="1" applyAlignment="1">
      <alignment vertical="center"/>
    </xf>
    <xf numFmtId="2" fontId="0" fillId="0" borderId="2" xfId="0" applyNumberFormat="1" applyBorder="1" applyAlignment="1">
      <alignment vertical="center"/>
    </xf>
    <xf numFmtId="43" fontId="2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" fontId="20" fillId="0" borderId="2" xfId="0" applyNumberFormat="1" applyFont="1" applyFill="1" applyBorder="1" applyAlignment="1">
      <alignment horizontal="left" vertical="center" wrapText="1"/>
    </xf>
    <xf numFmtId="0" fontId="21" fillId="0" borderId="2" xfId="0" applyFont="1" applyBorder="1" applyAlignment="1">
      <alignment vertical="center"/>
    </xf>
    <xf numFmtId="1" fontId="21" fillId="0" borderId="2" xfId="0" applyNumberFormat="1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 applyAlignment="1">
      <alignment horizontal="right"/>
    </xf>
    <xf numFmtId="2" fontId="2" fillId="0" borderId="2" xfId="0" applyNumberFormat="1" applyFont="1" applyBorder="1"/>
    <xf numFmtId="1" fontId="0" fillId="0" borderId="2" xfId="0" applyNumberFormat="1" applyBorder="1"/>
    <xf numFmtId="164" fontId="2" fillId="0" borderId="2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81_082\ofc\ofc\estimates\Finalized%20valuations\kalimasta%20mandir\valuation%20kalima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imasta mandir final"/>
      <sheetName val="kalimasta mandir final (2)"/>
      <sheetName val="WCR"/>
      <sheetName val="valuated"/>
      <sheetName val="M"/>
    </sheetNames>
    <sheetDataSet>
      <sheetData sheetId="0" refreshError="1"/>
      <sheetData sheetId="1">
        <row r="6">
          <cell r="A6" t="str">
            <v>Project:- कालीमस्ट मन्दिर निर्माण</v>
          </cell>
        </row>
        <row r="7">
          <cell r="A7" t="str">
            <v>Location:- Shankharapur Municipality 9</v>
          </cell>
        </row>
      </sheetData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2"/>
  <sheetViews>
    <sheetView topLeftCell="A55" workbookViewId="0">
      <selection activeCell="H71" sqref="H71"/>
    </sheetView>
  </sheetViews>
  <sheetFormatPr defaultColWidth="9.109375" defaultRowHeight="14.4" x14ac:dyDescent="0.3"/>
  <cols>
    <col min="1" max="1" width="4.6640625" customWidth="1"/>
    <col min="2" max="2" width="30.88671875" customWidth="1"/>
    <col min="3" max="3" width="4.44140625" bestFit="1" customWidth="1"/>
    <col min="4" max="4" width="8.44140625" customWidth="1"/>
    <col min="5" max="5" width="8.5546875" customWidth="1"/>
    <col min="6" max="6" width="7.33203125" customWidth="1"/>
    <col min="8" max="8" width="5" bestFit="1" customWidth="1"/>
    <col min="9" max="9" width="9.5546875" bestFit="1" customWidth="1"/>
    <col min="10" max="10" width="11.88671875" bestFit="1" customWidth="1"/>
    <col min="13" max="16" width="0" hidden="1" customWidth="1"/>
  </cols>
  <sheetData>
    <row r="1" spans="1:13" s="2" customForma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s="2" customFormat="1" ht="22.8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s="2" customFormat="1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s="2" customForma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s="2" customFormat="1" ht="17.399999999999999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3" s="2" customFormat="1" ht="15.6" x14ac:dyDescent="0.3">
      <c r="A6" s="6" t="s">
        <v>5</v>
      </c>
      <c r="B6" s="6"/>
      <c r="C6" s="6"/>
      <c r="D6" s="6"/>
      <c r="E6" s="6"/>
      <c r="F6" s="6"/>
      <c r="G6" s="7"/>
      <c r="H6" s="8" t="s">
        <v>6</v>
      </c>
      <c r="I6" s="8"/>
      <c r="J6" s="8"/>
      <c r="K6" s="8"/>
    </row>
    <row r="7" spans="1:13" s="2" customFormat="1" ht="15.6" x14ac:dyDescent="0.3">
      <c r="A7" s="9" t="s">
        <v>7</v>
      </c>
      <c r="B7" s="9"/>
      <c r="C7" s="9"/>
      <c r="D7" s="9"/>
      <c r="E7" s="9"/>
      <c r="F7" s="9"/>
      <c r="G7" s="10"/>
      <c r="H7" s="11" t="s">
        <v>8</v>
      </c>
      <c r="I7" s="11"/>
      <c r="J7" s="11"/>
      <c r="K7" s="11"/>
    </row>
    <row r="8" spans="1:13" s="2" customFormat="1" ht="15.6" x14ac:dyDescent="0.3">
      <c r="A8" s="12" t="s">
        <v>9</v>
      </c>
      <c r="B8" s="13" t="s">
        <v>10</v>
      </c>
      <c r="C8" s="12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2" t="s">
        <v>16</v>
      </c>
      <c r="I8" s="14" t="s">
        <v>17</v>
      </c>
      <c r="J8" s="14" t="s">
        <v>18</v>
      </c>
      <c r="K8" s="15" t="s">
        <v>19</v>
      </c>
    </row>
    <row r="9" spans="1:13" s="2" customFormat="1" ht="40.200000000000003" x14ac:dyDescent="0.3">
      <c r="A9" s="16">
        <v>1</v>
      </c>
      <c r="B9" s="17" t="s">
        <v>20</v>
      </c>
      <c r="C9" s="18"/>
      <c r="D9" s="18"/>
      <c r="E9" s="18"/>
      <c r="F9" s="18"/>
      <c r="G9" s="18"/>
      <c r="H9" s="18"/>
      <c r="I9" s="18"/>
      <c r="J9" s="18"/>
      <c r="K9" s="18"/>
      <c r="M9" s="19"/>
    </row>
    <row r="10" spans="1:13" s="2" customFormat="1" x14ac:dyDescent="0.3">
      <c r="A10" s="16"/>
      <c r="B10" s="20" t="s">
        <v>21</v>
      </c>
      <c r="C10" s="18"/>
      <c r="D10" s="18"/>
      <c r="E10" s="18"/>
      <c r="F10" s="18"/>
      <c r="G10" s="18"/>
      <c r="H10" s="18"/>
      <c r="I10" s="18"/>
      <c r="J10" s="18"/>
      <c r="K10" s="18"/>
    </row>
    <row r="11" spans="1:13" s="2" customFormat="1" x14ac:dyDescent="0.3">
      <c r="A11" s="16"/>
      <c r="B11" s="21" t="s">
        <v>22</v>
      </c>
      <c r="C11" s="18">
        <v>1</v>
      </c>
      <c r="D11" s="22">
        <v>1.81</v>
      </c>
      <c r="E11" s="22">
        <v>1.33</v>
      </c>
      <c r="F11" s="22"/>
      <c r="G11" s="22">
        <f t="shared" ref="G11:G31" si="0">PRODUCT(C11:F11)</f>
        <v>2.4073000000000002</v>
      </c>
      <c r="H11" s="18"/>
      <c r="I11" s="18"/>
      <c r="J11" s="18"/>
      <c r="K11" s="18"/>
    </row>
    <row r="12" spans="1:13" s="2" customFormat="1" x14ac:dyDescent="0.3">
      <c r="A12" s="16"/>
      <c r="B12" s="21" t="s">
        <v>23</v>
      </c>
      <c r="C12" s="18">
        <v>2</v>
      </c>
      <c r="D12" s="22">
        <v>0.67</v>
      </c>
      <c r="E12" s="22">
        <v>2.04</v>
      </c>
      <c r="F12" s="22"/>
      <c r="G12" s="22">
        <f t="shared" si="0"/>
        <v>2.7336</v>
      </c>
      <c r="H12" s="18"/>
      <c r="I12" s="18"/>
      <c r="J12" s="18"/>
      <c r="K12" s="18"/>
    </row>
    <row r="13" spans="1:13" s="2" customFormat="1" x14ac:dyDescent="0.3">
      <c r="A13" s="16"/>
      <c r="B13" s="21" t="s">
        <v>24</v>
      </c>
      <c r="C13" s="18">
        <v>1</v>
      </c>
      <c r="D13" s="22">
        <v>1.2</v>
      </c>
      <c r="E13" s="22">
        <v>1.32</v>
      </c>
      <c r="F13" s="22"/>
      <c r="G13" s="22">
        <f t="shared" si="0"/>
        <v>1.5840000000000001</v>
      </c>
      <c r="H13" s="18"/>
      <c r="I13" s="18"/>
      <c r="J13" s="18"/>
      <c r="K13" s="18"/>
    </row>
    <row r="14" spans="1:13" s="2" customFormat="1" x14ac:dyDescent="0.3">
      <c r="A14" s="16"/>
      <c r="B14" s="21" t="s">
        <v>25</v>
      </c>
      <c r="C14" s="18">
        <v>3</v>
      </c>
      <c r="D14" s="22">
        <v>0.62</v>
      </c>
      <c r="E14" s="22">
        <v>1.22</v>
      </c>
      <c r="F14" s="22"/>
      <c r="G14" s="22">
        <f t="shared" si="0"/>
        <v>2.2691999999999997</v>
      </c>
      <c r="H14" s="18"/>
      <c r="I14" s="18"/>
      <c r="J14" s="18"/>
      <c r="K14" s="18"/>
    </row>
    <row r="15" spans="1:13" s="2" customFormat="1" x14ac:dyDescent="0.3">
      <c r="A15" s="16"/>
      <c r="B15" s="21" t="s">
        <v>26</v>
      </c>
      <c r="C15" s="18">
        <v>1</v>
      </c>
      <c r="D15" s="22">
        <v>0.62</v>
      </c>
      <c r="E15" s="22">
        <v>1.22</v>
      </c>
      <c r="F15" s="22"/>
      <c r="G15" s="22">
        <f t="shared" si="0"/>
        <v>0.75639999999999996</v>
      </c>
      <c r="H15" s="18"/>
      <c r="I15" s="18"/>
      <c r="J15" s="18"/>
      <c r="K15" s="18"/>
    </row>
    <row r="16" spans="1:13" s="2" customFormat="1" x14ac:dyDescent="0.3">
      <c r="A16" s="16"/>
      <c r="B16" s="21"/>
      <c r="C16" s="18">
        <v>1</v>
      </c>
      <c r="D16" s="22">
        <v>1.81</v>
      </c>
      <c r="E16" s="22">
        <v>1.32</v>
      </c>
      <c r="F16" s="22"/>
      <c r="G16" s="22">
        <f t="shared" si="0"/>
        <v>2.3892000000000002</v>
      </c>
      <c r="H16" s="18"/>
      <c r="I16" s="18"/>
      <c r="J16" s="18"/>
      <c r="K16" s="18"/>
    </row>
    <row r="17" spans="1:11" s="2" customFormat="1" x14ac:dyDescent="0.3">
      <c r="A17" s="16"/>
      <c r="B17" s="21" t="s">
        <v>27</v>
      </c>
      <c r="C17" s="18">
        <v>1</v>
      </c>
      <c r="D17" s="22">
        <v>1.81</v>
      </c>
      <c r="E17" s="22">
        <v>1.32</v>
      </c>
      <c r="F17" s="22"/>
      <c r="G17" s="22">
        <f>PRODUCT(C17:F17)</f>
        <v>2.3892000000000002</v>
      </c>
      <c r="H17" s="18"/>
      <c r="I17" s="18"/>
      <c r="J17" s="18"/>
      <c r="K17" s="18"/>
    </row>
    <row r="18" spans="1:11" s="2" customFormat="1" x14ac:dyDescent="0.3">
      <c r="A18" s="16"/>
      <c r="B18" s="21" t="s">
        <v>28</v>
      </c>
      <c r="C18" s="18">
        <v>2</v>
      </c>
      <c r="D18" s="22">
        <v>0.9</v>
      </c>
      <c r="E18" s="22">
        <v>0.55000000000000004</v>
      </c>
      <c r="F18" s="22"/>
      <c r="G18" s="22">
        <f t="shared" si="0"/>
        <v>0.9900000000000001</v>
      </c>
      <c r="H18" s="18"/>
      <c r="I18" s="18"/>
      <c r="J18" s="18"/>
      <c r="K18" s="18"/>
    </row>
    <row r="19" spans="1:11" s="2" customFormat="1" x14ac:dyDescent="0.3">
      <c r="A19" s="16"/>
      <c r="B19" s="20" t="s">
        <v>29</v>
      </c>
      <c r="C19" s="18"/>
      <c r="D19" s="22"/>
      <c r="E19" s="22"/>
      <c r="F19" s="22"/>
      <c r="G19" s="22"/>
      <c r="H19" s="18"/>
      <c r="I19" s="18"/>
      <c r="J19" s="18"/>
      <c r="K19" s="18"/>
    </row>
    <row r="20" spans="1:11" s="2" customFormat="1" x14ac:dyDescent="0.3">
      <c r="A20" s="16"/>
      <c r="B20" s="21" t="s">
        <v>30</v>
      </c>
      <c r="C20" s="18">
        <v>1</v>
      </c>
      <c r="D20" s="22">
        <v>0.62</v>
      </c>
      <c r="E20" s="22">
        <v>1.2</v>
      </c>
      <c r="F20" s="22"/>
      <c r="G20" s="22">
        <f>PRODUCT(C20:F20)</f>
        <v>0.74399999999999999</v>
      </c>
      <c r="H20" s="18"/>
      <c r="I20" s="18"/>
      <c r="J20" s="18"/>
      <c r="K20" s="18"/>
    </row>
    <row r="21" spans="1:11" s="2" customFormat="1" x14ac:dyDescent="0.3">
      <c r="A21" s="16"/>
      <c r="B21" s="21"/>
      <c r="C21" s="18">
        <v>1</v>
      </c>
      <c r="D21" s="22">
        <v>1.8</v>
      </c>
      <c r="E21" s="22">
        <v>1.31</v>
      </c>
      <c r="F21" s="22"/>
      <c r="G21" s="22">
        <f>PRODUCT(C21:F21)</f>
        <v>2.3580000000000001</v>
      </c>
      <c r="H21" s="18"/>
      <c r="I21" s="18"/>
      <c r="J21" s="18"/>
      <c r="K21" s="18"/>
    </row>
    <row r="22" spans="1:11" s="2" customFormat="1" x14ac:dyDescent="0.3">
      <c r="A22" s="16"/>
      <c r="B22" s="21" t="s">
        <v>31</v>
      </c>
      <c r="C22" s="18">
        <v>1</v>
      </c>
      <c r="D22" s="22">
        <v>0.45</v>
      </c>
      <c r="E22" s="22">
        <v>1.27</v>
      </c>
      <c r="F22" s="22"/>
      <c r="G22" s="22">
        <f t="shared" si="0"/>
        <v>0.57150000000000001</v>
      </c>
      <c r="H22" s="18"/>
      <c r="I22" s="18"/>
      <c r="J22" s="18"/>
      <c r="K22" s="18"/>
    </row>
    <row r="23" spans="1:11" s="2" customFormat="1" x14ac:dyDescent="0.3">
      <c r="A23" s="16"/>
      <c r="B23" s="21" t="s">
        <v>32</v>
      </c>
      <c r="C23" s="18">
        <v>2</v>
      </c>
      <c r="D23" s="22">
        <v>1.8</v>
      </c>
      <c r="E23" s="22">
        <v>1.32</v>
      </c>
      <c r="F23" s="22"/>
      <c r="G23" s="22">
        <f t="shared" si="0"/>
        <v>4.7520000000000007</v>
      </c>
      <c r="H23" s="18"/>
      <c r="I23" s="18"/>
      <c r="J23" s="18"/>
      <c r="K23" s="18"/>
    </row>
    <row r="24" spans="1:11" s="2" customFormat="1" x14ac:dyDescent="0.3">
      <c r="A24" s="16"/>
      <c r="B24" s="21"/>
      <c r="C24" s="18">
        <v>3</v>
      </c>
      <c r="D24" s="22">
        <v>0.6</v>
      </c>
      <c r="E24" s="22">
        <v>1.22</v>
      </c>
      <c r="F24" s="22"/>
      <c r="G24" s="22">
        <f t="shared" si="0"/>
        <v>2.1959999999999997</v>
      </c>
      <c r="H24" s="18"/>
      <c r="I24" s="18"/>
      <c r="J24" s="18"/>
      <c r="K24" s="18"/>
    </row>
    <row r="25" spans="1:11" s="2" customFormat="1" x14ac:dyDescent="0.3">
      <c r="A25" s="16"/>
      <c r="B25" s="20" t="s">
        <v>33</v>
      </c>
      <c r="C25" s="18"/>
      <c r="D25" s="22"/>
      <c r="E25" s="22"/>
      <c r="F25" s="22"/>
      <c r="G25" s="22"/>
      <c r="H25" s="18"/>
      <c r="I25" s="18"/>
      <c r="J25" s="18"/>
      <c r="K25" s="18"/>
    </row>
    <row r="26" spans="1:11" s="2" customFormat="1" x14ac:dyDescent="0.3">
      <c r="A26" s="16"/>
      <c r="B26" s="21" t="s">
        <v>34</v>
      </c>
      <c r="C26" s="18">
        <v>1</v>
      </c>
      <c r="D26" s="22">
        <v>0.71499999999999997</v>
      </c>
      <c r="E26" s="22">
        <v>1.38</v>
      </c>
      <c r="F26" s="22"/>
      <c r="G26" s="22">
        <f t="shared" si="0"/>
        <v>0.98669999999999991</v>
      </c>
      <c r="H26" s="18"/>
      <c r="I26" s="18"/>
      <c r="J26" s="18"/>
      <c r="K26" s="18"/>
    </row>
    <row r="27" spans="1:11" s="2" customFormat="1" x14ac:dyDescent="0.3">
      <c r="A27" s="16"/>
      <c r="B27" s="21"/>
      <c r="C27" s="18">
        <v>1</v>
      </c>
      <c r="D27" s="22">
        <v>0.71499999999999997</v>
      </c>
      <c r="E27" s="22">
        <v>0.52</v>
      </c>
      <c r="F27" s="22"/>
      <c r="G27" s="22">
        <f t="shared" si="0"/>
        <v>0.37180000000000002</v>
      </c>
      <c r="H27" s="18"/>
      <c r="I27" s="18"/>
      <c r="J27" s="18"/>
      <c r="K27" s="18"/>
    </row>
    <row r="28" spans="1:11" s="2" customFormat="1" x14ac:dyDescent="0.3">
      <c r="A28" s="16"/>
      <c r="B28" s="21"/>
      <c r="C28" s="18">
        <v>1</v>
      </c>
      <c r="D28" s="22">
        <v>0.79</v>
      </c>
      <c r="E28" s="22">
        <v>2.0299999999999998</v>
      </c>
      <c r="F28" s="22"/>
      <c r="G28" s="22">
        <f t="shared" si="0"/>
        <v>1.6036999999999999</v>
      </c>
      <c r="H28" s="18"/>
      <c r="I28" s="18"/>
      <c r="J28" s="18"/>
      <c r="K28" s="18"/>
    </row>
    <row r="29" spans="1:11" s="2" customFormat="1" x14ac:dyDescent="0.3">
      <c r="A29" s="16"/>
      <c r="B29" s="21" t="s">
        <v>35</v>
      </c>
      <c r="C29" s="18">
        <v>1</v>
      </c>
      <c r="D29" s="22">
        <v>1.8</v>
      </c>
      <c r="E29" s="22">
        <v>1.32</v>
      </c>
      <c r="F29" s="22"/>
      <c r="G29" s="22">
        <f t="shared" si="0"/>
        <v>2.3760000000000003</v>
      </c>
      <c r="H29" s="18"/>
      <c r="I29" s="18"/>
      <c r="J29" s="18"/>
      <c r="K29" s="18"/>
    </row>
    <row r="30" spans="1:11" s="2" customFormat="1" x14ac:dyDescent="0.3">
      <c r="A30" s="18"/>
      <c r="B30" s="21"/>
      <c r="C30" s="18">
        <v>1</v>
      </c>
      <c r="D30" s="22">
        <v>1.8</v>
      </c>
      <c r="E30" s="22">
        <v>1.32</v>
      </c>
      <c r="F30" s="22"/>
      <c r="G30" s="22">
        <f t="shared" si="0"/>
        <v>2.3760000000000003</v>
      </c>
      <c r="H30" s="18"/>
      <c r="I30" s="18"/>
      <c r="J30" s="18"/>
      <c r="K30" s="18"/>
    </row>
    <row r="31" spans="1:11" s="2" customFormat="1" x14ac:dyDescent="0.3">
      <c r="A31" s="16"/>
      <c r="B31" s="21"/>
      <c r="C31" s="18">
        <v>1</v>
      </c>
      <c r="D31" s="22">
        <v>1.8</v>
      </c>
      <c r="E31" s="22">
        <v>1.32</v>
      </c>
      <c r="F31" s="22"/>
      <c r="G31" s="22">
        <f t="shared" si="0"/>
        <v>2.3760000000000003</v>
      </c>
      <c r="H31" s="18"/>
      <c r="I31" s="18"/>
      <c r="J31" s="18"/>
      <c r="K31" s="18"/>
    </row>
    <row r="32" spans="1:11" s="2" customFormat="1" ht="15" customHeight="1" x14ac:dyDescent="0.3">
      <c r="A32" s="23"/>
      <c r="B32" s="24" t="s">
        <v>36</v>
      </c>
      <c r="C32" s="25"/>
      <c r="D32" s="26"/>
      <c r="E32" s="27"/>
      <c r="F32" s="27"/>
      <c r="G32" s="28">
        <f>SUM(G11:G31)</f>
        <v>36.230599999999995</v>
      </c>
      <c r="H32" s="29" t="s">
        <v>37</v>
      </c>
      <c r="I32" s="28">
        <v>6997</v>
      </c>
      <c r="J32" s="30">
        <f>G32*I32</f>
        <v>253505.50819999998</v>
      </c>
      <c r="K32" s="27"/>
    </row>
    <row r="33" spans="1:11" s="2" customFormat="1" x14ac:dyDescent="0.3">
      <c r="A33" s="16"/>
      <c r="B33" s="21" t="s">
        <v>38</v>
      </c>
      <c r="C33" s="18"/>
      <c r="D33" s="18"/>
      <c r="E33" s="18"/>
      <c r="F33" s="18"/>
      <c r="G33" s="18"/>
      <c r="H33" s="18"/>
      <c r="I33" s="18"/>
      <c r="J33" s="30">
        <f>0.13*J32</f>
        <v>32955.716066000001</v>
      </c>
      <c r="K33" s="18"/>
    </row>
    <row r="34" spans="1:11" s="2" customFormat="1" x14ac:dyDescent="0.3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s="33" customFormat="1" ht="54.75" customHeight="1" x14ac:dyDescent="0.3">
      <c r="A35" s="16">
        <v>2</v>
      </c>
      <c r="B35" s="31" t="s">
        <v>39</v>
      </c>
      <c r="C35" s="32"/>
      <c r="D35" s="32"/>
      <c r="E35" s="32"/>
      <c r="F35" s="32"/>
      <c r="G35" s="32"/>
      <c r="H35" s="32"/>
      <c r="I35" s="32"/>
      <c r="J35" s="32"/>
      <c r="K35" s="32"/>
    </row>
    <row r="36" spans="1:11" s="2" customFormat="1" x14ac:dyDescent="0.3">
      <c r="A36" s="16"/>
      <c r="B36" s="20" t="s">
        <v>21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1:11" s="2" customFormat="1" x14ac:dyDescent="0.3">
      <c r="A37" s="16"/>
      <c r="B37" s="21" t="s">
        <v>40</v>
      </c>
      <c r="C37" s="18">
        <v>2</v>
      </c>
      <c r="D37" s="22">
        <v>0.74</v>
      </c>
      <c r="E37" s="22">
        <v>1.89</v>
      </c>
      <c r="F37" s="22"/>
      <c r="G37" s="22">
        <f t="shared" ref="G37:G45" si="1">PRODUCT(C37:F37)</f>
        <v>2.7971999999999997</v>
      </c>
      <c r="H37" s="18"/>
      <c r="I37" s="18"/>
      <c r="J37" s="18"/>
      <c r="K37" s="18"/>
    </row>
    <row r="38" spans="1:11" s="2" customFormat="1" x14ac:dyDescent="0.3">
      <c r="A38" s="16"/>
      <c r="B38" s="21" t="s">
        <v>25</v>
      </c>
      <c r="C38" s="18">
        <v>1</v>
      </c>
      <c r="D38" s="22">
        <v>0.98</v>
      </c>
      <c r="E38" s="22">
        <v>2.02</v>
      </c>
      <c r="F38" s="22"/>
      <c r="G38" s="22">
        <f t="shared" si="1"/>
        <v>1.9796</v>
      </c>
      <c r="H38" s="18"/>
      <c r="I38" s="18"/>
      <c r="J38" s="18"/>
      <c r="K38" s="18"/>
    </row>
    <row r="39" spans="1:11" s="2" customFormat="1" x14ac:dyDescent="0.3">
      <c r="A39" s="16"/>
      <c r="B39" s="21" t="s">
        <v>41</v>
      </c>
      <c r="C39" s="18">
        <v>1</v>
      </c>
      <c r="D39" s="22">
        <v>0.97</v>
      </c>
      <c r="E39" s="22">
        <v>2.0499999999999998</v>
      </c>
      <c r="F39" s="22"/>
      <c r="G39" s="22">
        <f t="shared" si="1"/>
        <v>1.9884999999999997</v>
      </c>
      <c r="H39" s="18"/>
      <c r="I39" s="18"/>
      <c r="J39" s="18"/>
      <c r="K39" s="18"/>
    </row>
    <row r="40" spans="1:11" s="2" customFormat="1" x14ac:dyDescent="0.3">
      <c r="A40" s="16"/>
      <c r="B40" s="21" t="s">
        <v>42</v>
      </c>
      <c r="C40" s="18">
        <v>1</v>
      </c>
      <c r="D40" s="22">
        <v>0.98</v>
      </c>
      <c r="E40" s="22">
        <v>2.0499999999999998</v>
      </c>
      <c r="F40" s="22"/>
      <c r="G40" s="22">
        <f t="shared" si="1"/>
        <v>2.0089999999999999</v>
      </c>
      <c r="H40" s="18"/>
      <c r="I40" s="18"/>
      <c r="J40" s="18"/>
      <c r="K40" s="18"/>
    </row>
    <row r="41" spans="1:11" s="2" customFormat="1" x14ac:dyDescent="0.3">
      <c r="A41" s="16"/>
      <c r="B41" s="21" t="s">
        <v>43</v>
      </c>
      <c r="C41" s="18">
        <v>1</v>
      </c>
      <c r="D41" s="22">
        <v>0.91</v>
      </c>
      <c r="E41" s="22">
        <v>1.96</v>
      </c>
      <c r="F41" s="22"/>
      <c r="G41" s="22">
        <f t="shared" si="1"/>
        <v>1.7836000000000001</v>
      </c>
      <c r="H41" s="18"/>
      <c r="I41" s="18"/>
      <c r="J41" s="18"/>
      <c r="K41" s="18"/>
    </row>
    <row r="42" spans="1:11" s="2" customFormat="1" x14ac:dyDescent="0.3">
      <c r="A42" s="16"/>
      <c r="B42" s="20" t="s">
        <v>29</v>
      </c>
      <c r="C42" s="18"/>
      <c r="D42" s="22"/>
      <c r="E42" s="22"/>
      <c r="F42" s="22"/>
      <c r="G42" s="22"/>
      <c r="H42" s="18"/>
      <c r="I42" s="18"/>
      <c r="J42" s="18"/>
      <c r="K42" s="18"/>
    </row>
    <row r="43" spans="1:11" s="2" customFormat="1" x14ac:dyDescent="0.3">
      <c r="A43" s="16"/>
      <c r="B43" s="21" t="s">
        <v>30</v>
      </c>
      <c r="C43" s="18">
        <v>1</v>
      </c>
      <c r="D43" s="22">
        <v>0.93</v>
      </c>
      <c r="E43" s="22">
        <v>2</v>
      </c>
      <c r="F43" s="22"/>
      <c r="G43" s="22">
        <f t="shared" si="1"/>
        <v>1.86</v>
      </c>
      <c r="H43" s="18"/>
      <c r="I43" s="18"/>
      <c r="J43" s="18"/>
      <c r="K43" s="18"/>
    </row>
    <row r="44" spans="1:11" s="2" customFormat="1" x14ac:dyDescent="0.3">
      <c r="A44" s="16"/>
      <c r="B44" s="21" t="s">
        <v>32</v>
      </c>
      <c r="C44" s="18">
        <v>1</v>
      </c>
      <c r="D44" s="22">
        <v>0.95</v>
      </c>
      <c r="E44" s="22">
        <v>2.06</v>
      </c>
      <c r="F44" s="22"/>
      <c r="G44" s="22">
        <f t="shared" si="1"/>
        <v>1.9569999999999999</v>
      </c>
      <c r="H44" s="18"/>
      <c r="I44" s="18"/>
      <c r="J44" s="18"/>
      <c r="K44" s="18"/>
    </row>
    <row r="45" spans="1:11" s="2" customFormat="1" x14ac:dyDescent="0.3">
      <c r="A45" s="16"/>
      <c r="B45" s="21" t="s">
        <v>44</v>
      </c>
      <c r="C45" s="18">
        <v>1</v>
      </c>
      <c r="D45" s="22">
        <v>0.94</v>
      </c>
      <c r="E45" s="22">
        <v>1.98</v>
      </c>
      <c r="F45" s="22"/>
      <c r="G45" s="22">
        <f t="shared" si="1"/>
        <v>1.8612</v>
      </c>
      <c r="H45" s="18"/>
      <c r="I45" s="18"/>
      <c r="J45" s="18"/>
      <c r="K45" s="18"/>
    </row>
    <row r="46" spans="1:11" s="2" customFormat="1" x14ac:dyDescent="0.3">
      <c r="A46" s="16"/>
      <c r="B46" s="20" t="s">
        <v>33</v>
      </c>
      <c r="C46" s="18"/>
      <c r="D46" s="22"/>
      <c r="E46" s="22"/>
      <c r="F46" s="22"/>
      <c r="G46" s="22"/>
      <c r="H46" s="18"/>
      <c r="I46" s="18"/>
      <c r="J46" s="18"/>
      <c r="K46" s="18"/>
    </row>
    <row r="47" spans="1:11" s="2" customFormat="1" x14ac:dyDescent="0.3">
      <c r="A47" s="16"/>
      <c r="B47" s="21" t="s">
        <v>44</v>
      </c>
      <c r="C47" s="18">
        <v>1</v>
      </c>
      <c r="D47" s="22">
        <v>0.98499999999999999</v>
      </c>
      <c r="E47" s="22">
        <f>2.67-0.52</f>
        <v>2.15</v>
      </c>
      <c r="F47" s="22"/>
      <c r="G47" s="22">
        <f t="shared" ref="G47" si="2">PRODUCT(C47:F47)</f>
        <v>2.11775</v>
      </c>
      <c r="H47" s="18"/>
      <c r="I47" s="18"/>
      <c r="J47" s="18"/>
      <c r="K47" s="18"/>
    </row>
    <row r="48" spans="1:11" s="2" customFormat="1" x14ac:dyDescent="0.3">
      <c r="A48" s="16"/>
      <c r="B48" s="21" t="s">
        <v>35</v>
      </c>
      <c r="C48" s="18">
        <v>1</v>
      </c>
      <c r="D48" s="22">
        <v>0.94499999999999995</v>
      </c>
      <c r="E48" s="22">
        <v>2.0699999999999998</v>
      </c>
      <c r="F48" s="22"/>
      <c r="G48" s="22">
        <f>PRODUCT(C48:F48)</f>
        <v>1.9561499999999998</v>
      </c>
      <c r="H48" s="18"/>
      <c r="I48" s="18"/>
      <c r="J48" s="18"/>
      <c r="K48" s="18"/>
    </row>
    <row r="49" spans="1:11" s="2" customFormat="1" x14ac:dyDescent="0.3">
      <c r="A49" s="16"/>
      <c r="B49" s="21" t="s">
        <v>45</v>
      </c>
      <c r="C49" s="18">
        <v>1</v>
      </c>
      <c r="D49" s="22">
        <v>0.94</v>
      </c>
      <c r="E49" s="22">
        <v>2.0499999999999998</v>
      </c>
      <c r="F49" s="22"/>
      <c r="G49" s="22">
        <f t="shared" ref="G49" si="3">PRODUCT(C49:F49)</f>
        <v>1.9269999999999998</v>
      </c>
      <c r="H49" s="18"/>
      <c r="I49" s="18"/>
      <c r="J49" s="18"/>
      <c r="K49" s="18"/>
    </row>
    <row r="50" spans="1:11" s="2" customFormat="1" ht="15" customHeight="1" x14ac:dyDescent="0.3">
      <c r="A50" s="23"/>
      <c r="B50" s="24" t="s">
        <v>36</v>
      </c>
      <c r="C50" s="25"/>
      <c r="D50" s="26"/>
      <c r="E50" s="27"/>
      <c r="F50" s="27"/>
      <c r="G50" s="28">
        <f>SUM(G37:G49)</f>
        <v>22.237000000000002</v>
      </c>
      <c r="H50" s="29" t="s">
        <v>37</v>
      </c>
      <c r="I50" s="28">
        <v>8744</v>
      </c>
      <c r="J50" s="30">
        <f>G50*I50</f>
        <v>194440.32800000001</v>
      </c>
      <c r="K50" s="27"/>
    </row>
    <row r="51" spans="1:11" s="2" customFormat="1" x14ac:dyDescent="0.3">
      <c r="A51" s="16"/>
      <c r="B51" s="21" t="s">
        <v>38</v>
      </c>
      <c r="C51" s="18"/>
      <c r="D51" s="18"/>
      <c r="E51" s="18"/>
      <c r="F51" s="18"/>
      <c r="G51" s="18"/>
      <c r="H51" s="18"/>
      <c r="I51" s="18"/>
      <c r="J51" s="30">
        <f>0.13*J50</f>
        <v>25277.24264</v>
      </c>
      <c r="K51" s="18"/>
    </row>
    <row r="52" spans="1:11" s="2" customFormat="1" x14ac:dyDescent="0.3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s="33" customFormat="1" ht="54.75" customHeight="1" x14ac:dyDescent="0.3">
      <c r="A53" s="16">
        <v>3</v>
      </c>
      <c r="B53" s="31" t="s">
        <v>46</v>
      </c>
      <c r="C53" s="32"/>
      <c r="D53" s="32"/>
      <c r="E53" s="32"/>
      <c r="F53" s="32"/>
      <c r="G53" s="32"/>
      <c r="H53" s="32"/>
      <c r="I53" s="32"/>
      <c r="J53" s="32"/>
      <c r="K53" s="32"/>
    </row>
    <row r="54" spans="1:11" s="2" customFormat="1" x14ac:dyDescent="0.3">
      <c r="A54" s="16"/>
      <c r="B54" s="20" t="s">
        <v>21</v>
      </c>
      <c r="C54" s="18"/>
      <c r="D54" s="18"/>
      <c r="E54" s="18"/>
      <c r="F54" s="18"/>
      <c r="G54" s="18"/>
      <c r="H54" s="18"/>
      <c r="I54" s="18"/>
      <c r="J54" s="18"/>
      <c r="K54" s="18"/>
    </row>
    <row r="55" spans="1:11" s="2" customFormat="1" x14ac:dyDescent="0.3">
      <c r="A55" s="16"/>
      <c r="B55" s="21" t="s">
        <v>47</v>
      </c>
      <c r="C55" s="18">
        <v>1</v>
      </c>
      <c r="D55" s="22">
        <v>1.22</v>
      </c>
      <c r="E55" s="22">
        <v>2.04</v>
      </c>
      <c r="F55" s="22"/>
      <c r="G55" s="22">
        <f t="shared" ref="G55" si="4">PRODUCT(C55:F55)</f>
        <v>2.4887999999999999</v>
      </c>
      <c r="H55" s="18"/>
      <c r="I55" s="18"/>
      <c r="J55" s="18"/>
      <c r="K55" s="18"/>
    </row>
    <row r="56" spans="1:11" s="2" customFormat="1" ht="15" customHeight="1" x14ac:dyDescent="0.3">
      <c r="A56" s="23"/>
      <c r="B56" s="24" t="s">
        <v>36</v>
      </c>
      <c r="C56" s="25"/>
      <c r="D56" s="26"/>
      <c r="E56" s="27"/>
      <c r="F56" s="27"/>
      <c r="G56" s="28">
        <f>SUM(G55:G55)</f>
        <v>2.4887999999999999</v>
      </c>
      <c r="H56" s="29" t="s">
        <v>37</v>
      </c>
      <c r="I56" s="28">
        <v>8624</v>
      </c>
      <c r="J56" s="30">
        <f>G56*I56</f>
        <v>21463.411199999999</v>
      </c>
      <c r="K56" s="27"/>
    </row>
    <row r="57" spans="1:11" s="2" customFormat="1" x14ac:dyDescent="0.3">
      <c r="A57" s="16"/>
      <c r="B57" s="21" t="s">
        <v>38</v>
      </c>
      <c r="C57" s="18"/>
      <c r="D57" s="18"/>
      <c r="E57" s="18"/>
      <c r="F57" s="18"/>
      <c r="G57" s="18"/>
      <c r="H57" s="18"/>
      <c r="I57" s="18"/>
      <c r="J57" s="30">
        <f>0.13*J56</f>
        <v>2790.2434559999997</v>
      </c>
      <c r="K57" s="18"/>
    </row>
    <row r="58" spans="1:11" s="2" customFormat="1" x14ac:dyDescent="0.3">
      <c r="A58" s="16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s="2" customFormat="1" x14ac:dyDescent="0.3">
      <c r="A59" s="16">
        <v>4</v>
      </c>
      <c r="B59" s="34" t="s">
        <v>48</v>
      </c>
      <c r="C59" s="18"/>
      <c r="D59" s="18"/>
      <c r="E59" s="18"/>
      <c r="F59" s="18"/>
      <c r="G59" s="18"/>
      <c r="H59" s="18"/>
      <c r="I59" s="18"/>
      <c r="J59" s="18"/>
      <c r="K59" s="18"/>
    </row>
    <row r="60" spans="1:11" s="2" customFormat="1" x14ac:dyDescent="0.3">
      <c r="A60" s="16"/>
      <c r="B60" s="20" t="s">
        <v>21</v>
      </c>
      <c r="C60" s="18"/>
      <c r="D60" s="18"/>
      <c r="E60" s="18"/>
      <c r="F60" s="18"/>
      <c r="G60" s="18"/>
      <c r="H60" s="18"/>
      <c r="I60" s="18"/>
      <c r="J60" s="18"/>
      <c r="K60" s="18"/>
    </row>
    <row r="61" spans="1:11" s="2" customFormat="1" x14ac:dyDescent="0.3">
      <c r="A61" s="16"/>
      <c r="B61" s="21" t="s">
        <v>25</v>
      </c>
      <c r="C61" s="18">
        <v>3</v>
      </c>
      <c r="D61" s="22">
        <v>0.51</v>
      </c>
      <c r="E61" s="22">
        <v>1.1200000000000001</v>
      </c>
      <c r="F61" s="22"/>
      <c r="G61" s="22">
        <f>PRODUCT(C61:F61)</f>
        <v>1.7136000000000002</v>
      </c>
      <c r="H61" s="18"/>
      <c r="I61" s="18"/>
      <c r="J61" s="18"/>
      <c r="K61" s="18"/>
    </row>
    <row r="62" spans="1:11" s="2" customFormat="1" x14ac:dyDescent="0.3">
      <c r="A62" s="16"/>
      <c r="B62" s="20" t="s">
        <v>29</v>
      </c>
      <c r="C62" s="18"/>
      <c r="D62" s="22"/>
      <c r="E62" s="22"/>
      <c r="F62" s="22"/>
      <c r="G62" s="22"/>
      <c r="H62" s="18"/>
      <c r="I62" s="18"/>
      <c r="J62" s="18"/>
      <c r="K62" s="18"/>
    </row>
    <row r="63" spans="1:11" s="2" customFormat="1" x14ac:dyDescent="0.3">
      <c r="A63" s="16"/>
      <c r="B63" s="21" t="s">
        <v>30</v>
      </c>
      <c r="C63" s="18">
        <v>3</v>
      </c>
      <c r="D63" s="22">
        <v>0.5</v>
      </c>
      <c r="E63" s="22">
        <v>1.1000000000000001</v>
      </c>
      <c r="F63" s="22"/>
      <c r="G63" s="22">
        <f t="shared" ref="G63:G66" si="5">PRODUCT(C63:F63)</f>
        <v>1.6500000000000001</v>
      </c>
      <c r="H63" s="18"/>
      <c r="I63" s="18"/>
      <c r="J63" s="18"/>
      <c r="K63" s="18"/>
    </row>
    <row r="64" spans="1:11" s="2" customFormat="1" x14ac:dyDescent="0.3">
      <c r="A64" s="16"/>
      <c r="B64" s="21"/>
      <c r="C64" s="18">
        <v>3</v>
      </c>
      <c r="D64" s="22">
        <v>0.5</v>
      </c>
      <c r="E64" s="22">
        <v>1.1000000000000001</v>
      </c>
      <c r="F64" s="22"/>
      <c r="G64" s="22">
        <f t="shared" si="5"/>
        <v>1.6500000000000001</v>
      </c>
      <c r="H64" s="18"/>
      <c r="I64" s="18"/>
      <c r="J64" s="18"/>
      <c r="K64" s="18"/>
    </row>
    <row r="65" spans="1:19" s="2" customFormat="1" x14ac:dyDescent="0.3">
      <c r="A65" s="16"/>
      <c r="B65" s="21"/>
      <c r="C65" s="18">
        <v>3</v>
      </c>
      <c r="D65" s="22">
        <v>0.5</v>
      </c>
      <c r="E65" s="22">
        <v>1.1000000000000001</v>
      </c>
      <c r="F65" s="22"/>
      <c r="G65" s="22">
        <f t="shared" si="5"/>
        <v>1.6500000000000001</v>
      </c>
      <c r="H65" s="18"/>
      <c r="I65" s="18"/>
      <c r="J65" s="18"/>
      <c r="K65" s="18"/>
    </row>
    <row r="66" spans="1:19" s="2" customFormat="1" x14ac:dyDescent="0.3">
      <c r="A66" s="16"/>
      <c r="B66" s="21"/>
      <c r="C66" s="18">
        <v>1</v>
      </c>
      <c r="D66" s="22">
        <v>0.5</v>
      </c>
      <c r="E66" s="22">
        <v>1.1000000000000001</v>
      </c>
      <c r="F66" s="22"/>
      <c r="G66" s="22">
        <f t="shared" si="5"/>
        <v>0.55000000000000004</v>
      </c>
      <c r="H66" s="18"/>
      <c r="I66" s="18"/>
      <c r="J66" s="18"/>
      <c r="K66" s="18"/>
    </row>
    <row r="67" spans="1:19" s="2" customFormat="1" x14ac:dyDescent="0.3">
      <c r="A67" s="16"/>
      <c r="B67" s="20" t="s">
        <v>33</v>
      </c>
      <c r="C67" s="18"/>
      <c r="D67" s="22"/>
      <c r="E67" s="22"/>
      <c r="F67" s="22"/>
      <c r="G67" s="22"/>
      <c r="H67" s="18"/>
      <c r="I67" s="18"/>
      <c r="J67" s="18"/>
      <c r="K67" s="18"/>
    </row>
    <row r="68" spans="1:19" s="2" customFormat="1" x14ac:dyDescent="0.3">
      <c r="A68" s="16"/>
      <c r="B68" s="21" t="s">
        <v>49</v>
      </c>
      <c r="C68" s="18">
        <v>2</v>
      </c>
      <c r="D68" s="22">
        <v>0.47</v>
      </c>
      <c r="E68" s="22">
        <v>1.1100000000000001</v>
      </c>
      <c r="F68" s="22"/>
      <c r="G68" s="22">
        <f t="shared" ref="G68:G69" si="6">PRODUCT(C68:F68)</f>
        <v>1.0434000000000001</v>
      </c>
      <c r="H68" s="18"/>
      <c r="I68" s="18"/>
      <c r="J68" s="18"/>
      <c r="K68" s="18"/>
    </row>
    <row r="69" spans="1:19" s="2" customFormat="1" x14ac:dyDescent="0.3">
      <c r="A69" s="16"/>
      <c r="B69" s="21"/>
      <c r="C69" s="18">
        <v>3</v>
      </c>
      <c r="D69" s="22">
        <v>0.49</v>
      </c>
      <c r="E69" s="22">
        <v>1.1399999999999999</v>
      </c>
      <c r="F69" s="22"/>
      <c r="G69" s="22">
        <f t="shared" si="6"/>
        <v>1.6757999999999997</v>
      </c>
      <c r="H69" s="18"/>
      <c r="I69" s="18"/>
      <c r="J69" s="18"/>
      <c r="K69" s="18"/>
    </row>
    <row r="70" spans="1:19" s="2" customFormat="1" ht="15" customHeight="1" x14ac:dyDescent="0.3">
      <c r="A70" s="23"/>
      <c r="B70" s="24" t="s">
        <v>36</v>
      </c>
      <c r="C70" s="25"/>
      <c r="D70" s="26"/>
      <c r="E70" s="27"/>
      <c r="F70" s="27"/>
      <c r="G70" s="28">
        <f>SUM(G61:G69)</f>
        <v>9.9328000000000003</v>
      </c>
      <c r="H70" s="29" t="s">
        <v>37</v>
      </c>
      <c r="I70" s="28">
        <v>742.44</v>
      </c>
      <c r="J70" s="30">
        <f>G70*I70</f>
        <v>7374.5080320000006</v>
      </c>
      <c r="K70" s="27"/>
    </row>
    <row r="71" spans="1:19" s="2" customFormat="1" x14ac:dyDescent="0.3">
      <c r="A71" s="16"/>
      <c r="B71" s="21" t="s">
        <v>38</v>
      </c>
      <c r="C71" s="18"/>
      <c r="D71" s="18"/>
      <c r="E71" s="18"/>
      <c r="F71" s="18"/>
      <c r="G71" s="18"/>
      <c r="H71" s="18"/>
      <c r="I71" s="18"/>
      <c r="J71" s="30">
        <f>0.13*J70</f>
        <v>958.68604416000016</v>
      </c>
      <c r="K71" s="18"/>
    </row>
    <row r="72" spans="1:19" s="2" customFormat="1" x14ac:dyDescent="0.3">
      <c r="A72" s="16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9" s="2" customFormat="1" ht="15" customHeight="1" x14ac:dyDescent="0.3">
      <c r="A73" s="23">
        <v>5</v>
      </c>
      <c r="B73" s="34" t="s">
        <v>50</v>
      </c>
      <c r="C73" s="18">
        <v>1</v>
      </c>
      <c r="D73" s="26"/>
      <c r="E73" s="27"/>
      <c r="F73" s="27"/>
      <c r="G73" s="29">
        <f t="shared" ref="G73" si="7">PRODUCT(C73:F73)</f>
        <v>1</v>
      </c>
      <c r="H73" s="29" t="s">
        <v>51</v>
      </c>
      <c r="I73" s="28">
        <v>500</v>
      </c>
      <c r="J73" s="29">
        <f>G73*I73</f>
        <v>500</v>
      </c>
      <c r="K73" s="27"/>
    </row>
    <row r="74" spans="1:19" s="2" customFormat="1" ht="11.25" customHeight="1" x14ac:dyDescent="0.3">
      <c r="A74" s="23"/>
      <c r="B74" s="35"/>
      <c r="C74" s="25"/>
      <c r="D74" s="26"/>
      <c r="E74" s="27"/>
      <c r="F74" s="27"/>
      <c r="G74" s="28"/>
      <c r="H74" s="29"/>
      <c r="I74" s="28"/>
      <c r="J74" s="30"/>
      <c r="K74" s="27"/>
    </row>
    <row r="75" spans="1:19" s="2" customFormat="1" x14ac:dyDescent="0.3">
      <c r="A75" s="36"/>
      <c r="B75" s="37" t="s">
        <v>52</v>
      </c>
      <c r="C75" s="38"/>
      <c r="D75" s="39"/>
      <c r="E75" s="39"/>
      <c r="F75" s="39"/>
      <c r="G75" s="30"/>
      <c r="H75" s="30"/>
      <c r="I75" s="30"/>
      <c r="J75" s="30">
        <f>SUM(J32:J73)</f>
        <v>539265.64363816008</v>
      </c>
      <c r="K75" s="40"/>
    </row>
    <row r="76" spans="1:19" s="2" customFormat="1" x14ac:dyDescent="0.3">
      <c r="M76" s="33"/>
      <c r="N76" s="33"/>
      <c r="O76" s="33"/>
      <c r="P76" s="33"/>
      <c r="Q76" s="33"/>
      <c r="R76" s="33"/>
      <c r="S76" s="33"/>
    </row>
    <row r="77" spans="1:19" s="33" customFormat="1" x14ac:dyDescent="0.3">
      <c r="A77" s="41"/>
      <c r="B77" s="32" t="s">
        <v>53</v>
      </c>
      <c r="C77" s="42">
        <f>J75</f>
        <v>539265.64363816008</v>
      </c>
      <c r="D77" s="43"/>
      <c r="E77" s="44">
        <v>100</v>
      </c>
      <c r="F77" s="41"/>
      <c r="G77" s="45"/>
      <c r="H77" s="41"/>
      <c r="I77" s="46"/>
      <c r="J77" s="47"/>
      <c r="K77" s="48"/>
      <c r="M77" s="2"/>
      <c r="N77" s="2"/>
      <c r="O77" s="2"/>
      <c r="P77" s="2"/>
      <c r="Q77" s="2"/>
      <c r="R77" s="2"/>
      <c r="S77" s="2"/>
    </row>
    <row r="78" spans="1:19" s="2" customFormat="1" x14ac:dyDescent="0.3">
      <c r="B78" s="32" t="s">
        <v>54</v>
      </c>
      <c r="C78" s="49">
        <v>110000</v>
      </c>
      <c r="D78" s="50"/>
      <c r="E78" s="44"/>
    </row>
    <row r="79" spans="1:19" s="2" customFormat="1" x14ac:dyDescent="0.3">
      <c r="B79" s="32" t="s">
        <v>55</v>
      </c>
      <c r="C79" s="49">
        <f>C78-C81-C82</f>
        <v>104500</v>
      </c>
      <c r="D79" s="50"/>
      <c r="E79" s="44">
        <f>C79/C77*100</f>
        <v>19.378204644187953</v>
      </c>
    </row>
    <row r="80" spans="1:19" s="2" customFormat="1" x14ac:dyDescent="0.3">
      <c r="B80" s="32" t="s">
        <v>56</v>
      </c>
      <c r="C80" s="51">
        <f>C77-C79</f>
        <v>434765.64363816008</v>
      </c>
      <c r="D80" s="51"/>
      <c r="E80" s="44">
        <f>100-E79</f>
        <v>80.621795355812054</v>
      </c>
    </row>
    <row r="81" spans="2:5" s="2" customFormat="1" x14ac:dyDescent="0.3">
      <c r="B81" s="32" t="s">
        <v>57</v>
      </c>
      <c r="C81" s="42">
        <f>C78*0.03</f>
        <v>3300</v>
      </c>
      <c r="D81" s="43"/>
      <c r="E81" s="44">
        <v>3</v>
      </c>
    </row>
    <row r="82" spans="2:5" s="2" customFormat="1" x14ac:dyDescent="0.3">
      <c r="B82" s="32" t="s">
        <v>58</v>
      </c>
      <c r="C82" s="42">
        <f>C78*0.02</f>
        <v>2200</v>
      </c>
      <c r="D82" s="43"/>
      <c r="E82" s="44">
        <v>2</v>
      </c>
    </row>
  </sheetData>
  <mergeCells count="15">
    <mergeCell ref="C81:D81"/>
    <mergeCell ref="C82:D82"/>
    <mergeCell ref="A7:F7"/>
    <mergeCell ref="H7:K7"/>
    <mergeCell ref="C77:D77"/>
    <mergeCell ref="C78:D78"/>
    <mergeCell ref="C79:D79"/>
    <mergeCell ref="C80:D80"/>
    <mergeCell ref="A1:K1"/>
    <mergeCell ref="A2:K2"/>
    <mergeCell ref="A3:K3"/>
    <mergeCell ref="A4:K4"/>
    <mergeCell ref="A5:K5"/>
    <mergeCell ref="A6:F6"/>
    <mergeCell ref="H6:K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2"/>
  <sheetViews>
    <sheetView topLeftCell="A54" workbookViewId="0">
      <selection activeCell="H71" sqref="H71"/>
    </sheetView>
  </sheetViews>
  <sheetFormatPr defaultColWidth="9.109375" defaultRowHeight="14.4" x14ac:dyDescent="0.3"/>
  <cols>
    <col min="1" max="1" width="4.6640625" customWidth="1"/>
    <col min="2" max="2" width="30.88671875" customWidth="1"/>
    <col min="3" max="3" width="4.44140625" bestFit="1" customWidth="1"/>
    <col min="4" max="4" width="8.44140625" customWidth="1"/>
    <col min="5" max="5" width="8.5546875" customWidth="1"/>
    <col min="6" max="6" width="7.33203125" customWidth="1"/>
    <col min="8" max="8" width="5" bestFit="1" customWidth="1"/>
    <col min="9" max="9" width="9.5546875" bestFit="1" customWidth="1"/>
    <col min="10" max="10" width="11.88671875" bestFit="1" customWidth="1"/>
    <col min="13" max="16" width="0" hidden="1" customWidth="1"/>
  </cols>
  <sheetData>
    <row r="1" spans="1:13" s="2" customForma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s="2" customFormat="1" ht="22.8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3" s="2" customFormat="1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s="2" customForma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s="2" customFormat="1" ht="17.399999999999999" x14ac:dyDescent="0.3">
      <c r="A5" s="5" t="s">
        <v>60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3" s="2" customFormat="1" ht="15.6" x14ac:dyDescent="0.3">
      <c r="A6" s="6" t="s">
        <v>5</v>
      </c>
      <c r="B6" s="6"/>
      <c r="C6" s="6"/>
      <c r="D6" s="6"/>
      <c r="E6" s="6"/>
      <c r="F6" s="6"/>
      <c r="G6" s="7"/>
      <c r="H6" s="8" t="s">
        <v>6</v>
      </c>
      <c r="I6" s="8"/>
      <c r="J6" s="8"/>
      <c r="K6" s="8"/>
    </row>
    <row r="7" spans="1:13" s="2" customFormat="1" ht="15.6" x14ac:dyDescent="0.3">
      <c r="A7" s="9" t="s">
        <v>7</v>
      </c>
      <c r="B7" s="9"/>
      <c r="C7" s="9"/>
      <c r="D7" s="9"/>
      <c r="E7" s="9"/>
      <c r="F7" s="9"/>
      <c r="G7" s="10"/>
      <c r="H7" s="11" t="s">
        <v>8</v>
      </c>
      <c r="I7" s="11"/>
      <c r="J7" s="11"/>
      <c r="K7" s="11"/>
    </row>
    <row r="8" spans="1:13" s="2" customFormat="1" ht="15.6" x14ac:dyDescent="0.3">
      <c r="A8" s="12" t="s">
        <v>9</v>
      </c>
      <c r="B8" s="13" t="s">
        <v>10</v>
      </c>
      <c r="C8" s="12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2" t="s">
        <v>16</v>
      </c>
      <c r="I8" s="14" t="s">
        <v>17</v>
      </c>
      <c r="J8" s="14" t="s">
        <v>18</v>
      </c>
      <c r="K8" s="15" t="s">
        <v>19</v>
      </c>
    </row>
    <row r="9" spans="1:13" s="2" customFormat="1" ht="40.200000000000003" x14ac:dyDescent="0.3">
      <c r="A9" s="16">
        <v>1</v>
      </c>
      <c r="B9" s="17" t="s">
        <v>20</v>
      </c>
      <c r="C9" s="18"/>
      <c r="D9" s="18"/>
      <c r="E9" s="18"/>
      <c r="F9" s="18"/>
      <c r="G9" s="18"/>
      <c r="H9" s="18"/>
      <c r="I9" s="18"/>
      <c r="J9" s="18"/>
      <c r="K9" s="18"/>
      <c r="M9" s="19"/>
    </row>
    <row r="10" spans="1:13" s="2" customFormat="1" x14ac:dyDescent="0.3">
      <c r="A10" s="16"/>
      <c r="B10" s="20" t="s">
        <v>21</v>
      </c>
      <c r="C10" s="18"/>
      <c r="D10" s="18"/>
      <c r="E10" s="18"/>
      <c r="F10" s="18"/>
      <c r="G10" s="18"/>
      <c r="H10" s="18"/>
      <c r="I10" s="18"/>
      <c r="J10" s="18"/>
      <c r="K10" s="18"/>
    </row>
    <row r="11" spans="1:13" s="2" customFormat="1" x14ac:dyDescent="0.3">
      <c r="A11" s="16"/>
      <c r="B11" s="21" t="s">
        <v>22</v>
      </c>
      <c r="C11" s="18">
        <v>1</v>
      </c>
      <c r="D11" s="22">
        <v>1.81</v>
      </c>
      <c r="E11" s="22">
        <v>1.33</v>
      </c>
      <c r="F11" s="22"/>
      <c r="G11" s="22">
        <f t="shared" ref="G11:G31" si="0">PRODUCT(C11:F11)</f>
        <v>2.4073000000000002</v>
      </c>
      <c r="H11" s="18"/>
      <c r="I11" s="18"/>
      <c r="J11" s="18"/>
      <c r="K11" s="18"/>
    </row>
    <row r="12" spans="1:13" s="2" customFormat="1" x14ac:dyDescent="0.3">
      <c r="A12" s="16"/>
      <c r="B12" s="21" t="s">
        <v>23</v>
      </c>
      <c r="C12" s="18">
        <v>2</v>
      </c>
      <c r="D12" s="22">
        <v>0.67</v>
      </c>
      <c r="E12" s="22">
        <v>2.04</v>
      </c>
      <c r="F12" s="22"/>
      <c r="G12" s="22">
        <f t="shared" si="0"/>
        <v>2.7336</v>
      </c>
      <c r="H12" s="18"/>
      <c r="I12" s="18"/>
      <c r="J12" s="18"/>
      <c r="K12" s="18"/>
    </row>
    <row r="13" spans="1:13" s="2" customFormat="1" x14ac:dyDescent="0.3">
      <c r="A13" s="16"/>
      <c r="B13" s="21" t="s">
        <v>24</v>
      </c>
      <c r="C13" s="18">
        <v>1</v>
      </c>
      <c r="D13" s="22">
        <v>1.2</v>
      </c>
      <c r="E13" s="22">
        <v>1.32</v>
      </c>
      <c r="F13" s="22"/>
      <c r="G13" s="22">
        <f t="shared" si="0"/>
        <v>1.5840000000000001</v>
      </c>
      <c r="H13" s="18"/>
      <c r="I13" s="18"/>
      <c r="J13" s="18"/>
      <c r="K13" s="18"/>
    </row>
    <row r="14" spans="1:13" s="2" customFormat="1" x14ac:dyDescent="0.3">
      <c r="A14" s="16"/>
      <c r="B14" s="21" t="s">
        <v>25</v>
      </c>
      <c r="C14" s="18">
        <v>3</v>
      </c>
      <c r="D14" s="22">
        <v>0.62</v>
      </c>
      <c r="E14" s="22">
        <v>1.22</v>
      </c>
      <c r="F14" s="22"/>
      <c r="G14" s="22">
        <f t="shared" si="0"/>
        <v>2.2691999999999997</v>
      </c>
      <c r="H14" s="18"/>
      <c r="I14" s="18"/>
      <c r="J14" s="18"/>
      <c r="K14" s="18"/>
    </row>
    <row r="15" spans="1:13" s="2" customFormat="1" x14ac:dyDescent="0.3">
      <c r="A15" s="16"/>
      <c r="B15" s="21" t="s">
        <v>26</v>
      </c>
      <c r="C15" s="18">
        <v>1</v>
      </c>
      <c r="D15" s="22">
        <v>0.62</v>
      </c>
      <c r="E15" s="22">
        <v>1.22</v>
      </c>
      <c r="F15" s="22"/>
      <c r="G15" s="22">
        <f t="shared" si="0"/>
        <v>0.75639999999999996</v>
      </c>
      <c r="H15" s="18"/>
      <c r="I15" s="18"/>
      <c r="J15" s="18"/>
      <c r="K15" s="18"/>
    </row>
    <row r="16" spans="1:13" s="2" customFormat="1" x14ac:dyDescent="0.3">
      <c r="A16" s="16"/>
      <c r="B16" s="21"/>
      <c r="C16" s="18">
        <v>1</v>
      </c>
      <c r="D16" s="22">
        <v>1.81</v>
      </c>
      <c r="E16" s="22">
        <v>1.32</v>
      </c>
      <c r="F16" s="22"/>
      <c r="G16" s="22">
        <f t="shared" si="0"/>
        <v>2.3892000000000002</v>
      </c>
      <c r="H16" s="18"/>
      <c r="I16" s="18"/>
      <c r="J16" s="18"/>
      <c r="K16" s="18"/>
    </row>
    <row r="17" spans="1:11" s="2" customFormat="1" x14ac:dyDescent="0.3">
      <c r="A17" s="16"/>
      <c r="B17" s="21" t="s">
        <v>27</v>
      </c>
      <c r="C17" s="18">
        <v>1</v>
      </c>
      <c r="D17" s="22">
        <v>1.81</v>
      </c>
      <c r="E17" s="22">
        <v>1.32</v>
      </c>
      <c r="F17" s="22"/>
      <c r="G17" s="22">
        <f>PRODUCT(C17:F17)</f>
        <v>2.3892000000000002</v>
      </c>
      <c r="H17" s="18"/>
      <c r="I17" s="18"/>
      <c r="J17" s="18"/>
      <c r="K17" s="18"/>
    </row>
    <row r="18" spans="1:11" s="2" customFormat="1" x14ac:dyDescent="0.3">
      <c r="A18" s="16"/>
      <c r="B18" s="21" t="s">
        <v>28</v>
      </c>
      <c r="C18" s="18">
        <v>2</v>
      </c>
      <c r="D18" s="22">
        <v>0.9</v>
      </c>
      <c r="E18" s="22">
        <v>0.55000000000000004</v>
      </c>
      <c r="F18" s="22"/>
      <c r="G18" s="22">
        <f t="shared" si="0"/>
        <v>0.9900000000000001</v>
      </c>
      <c r="H18" s="18"/>
      <c r="I18" s="18"/>
      <c r="J18" s="18"/>
      <c r="K18" s="18"/>
    </row>
    <row r="19" spans="1:11" s="2" customFormat="1" x14ac:dyDescent="0.3">
      <c r="A19" s="16"/>
      <c r="B19" s="20" t="s">
        <v>29</v>
      </c>
      <c r="C19" s="18"/>
      <c r="D19" s="22"/>
      <c r="E19" s="22"/>
      <c r="F19" s="22"/>
      <c r="G19" s="22"/>
      <c r="H19" s="18"/>
      <c r="I19" s="18"/>
      <c r="J19" s="18"/>
      <c r="K19" s="18"/>
    </row>
    <row r="20" spans="1:11" s="2" customFormat="1" x14ac:dyDescent="0.3">
      <c r="A20" s="16"/>
      <c r="B20" s="21" t="s">
        <v>30</v>
      </c>
      <c r="C20" s="18">
        <v>1</v>
      </c>
      <c r="D20" s="22">
        <v>0.62</v>
      </c>
      <c r="E20" s="22">
        <v>1.2</v>
      </c>
      <c r="F20" s="22"/>
      <c r="G20" s="22">
        <f>PRODUCT(C20:F20)</f>
        <v>0.74399999999999999</v>
      </c>
      <c r="H20" s="18"/>
      <c r="I20" s="18"/>
      <c r="J20" s="18"/>
      <c r="K20" s="18"/>
    </row>
    <row r="21" spans="1:11" s="2" customFormat="1" x14ac:dyDescent="0.3">
      <c r="A21" s="16"/>
      <c r="B21" s="21"/>
      <c r="C21" s="18">
        <v>1</v>
      </c>
      <c r="D21" s="22">
        <v>1.8</v>
      </c>
      <c r="E21" s="22">
        <v>1.31</v>
      </c>
      <c r="F21" s="22"/>
      <c r="G21" s="22">
        <f>PRODUCT(C21:F21)</f>
        <v>2.3580000000000001</v>
      </c>
      <c r="H21" s="18"/>
      <c r="I21" s="18"/>
      <c r="J21" s="18"/>
      <c r="K21" s="18"/>
    </row>
    <row r="22" spans="1:11" s="2" customFormat="1" x14ac:dyDescent="0.3">
      <c r="A22" s="16"/>
      <c r="B22" s="21" t="s">
        <v>31</v>
      </c>
      <c r="C22" s="18">
        <v>1</v>
      </c>
      <c r="D22" s="22">
        <v>0.45</v>
      </c>
      <c r="E22" s="22">
        <v>1.27</v>
      </c>
      <c r="F22" s="22"/>
      <c r="G22" s="22">
        <f t="shared" si="0"/>
        <v>0.57150000000000001</v>
      </c>
      <c r="H22" s="18"/>
      <c r="I22" s="18"/>
      <c r="J22" s="18"/>
      <c r="K22" s="18"/>
    </row>
    <row r="23" spans="1:11" s="2" customFormat="1" x14ac:dyDescent="0.3">
      <c r="A23" s="16"/>
      <c r="B23" s="21" t="s">
        <v>32</v>
      </c>
      <c r="C23" s="18">
        <v>2</v>
      </c>
      <c r="D23" s="22">
        <v>1.8</v>
      </c>
      <c r="E23" s="22">
        <v>1.32</v>
      </c>
      <c r="F23" s="22"/>
      <c r="G23" s="22">
        <f t="shared" si="0"/>
        <v>4.7520000000000007</v>
      </c>
      <c r="H23" s="18"/>
      <c r="I23" s="18"/>
      <c r="J23" s="18"/>
      <c r="K23" s="18"/>
    </row>
    <row r="24" spans="1:11" s="2" customFormat="1" x14ac:dyDescent="0.3">
      <c r="A24" s="16"/>
      <c r="B24" s="21"/>
      <c r="C24" s="18">
        <v>3</v>
      </c>
      <c r="D24" s="22">
        <v>0.6</v>
      </c>
      <c r="E24" s="22">
        <v>1.22</v>
      </c>
      <c r="F24" s="22"/>
      <c r="G24" s="22">
        <f t="shared" si="0"/>
        <v>2.1959999999999997</v>
      </c>
      <c r="H24" s="18"/>
      <c r="I24" s="18"/>
      <c r="J24" s="18"/>
      <c r="K24" s="18"/>
    </row>
    <row r="25" spans="1:11" s="2" customFormat="1" x14ac:dyDescent="0.3">
      <c r="A25" s="16"/>
      <c r="B25" s="20" t="s">
        <v>33</v>
      </c>
      <c r="C25" s="18"/>
      <c r="D25" s="22"/>
      <c r="E25" s="22"/>
      <c r="F25" s="22"/>
      <c r="G25" s="22"/>
      <c r="H25" s="18"/>
      <c r="I25" s="18"/>
      <c r="J25" s="18"/>
      <c r="K25" s="18"/>
    </row>
    <row r="26" spans="1:11" s="2" customFormat="1" x14ac:dyDescent="0.3">
      <c r="A26" s="16"/>
      <c r="B26" s="21" t="s">
        <v>34</v>
      </c>
      <c r="C26" s="18">
        <v>1</v>
      </c>
      <c r="D26" s="22">
        <v>0.71499999999999997</v>
      </c>
      <c r="E26" s="22">
        <v>1.38</v>
      </c>
      <c r="F26" s="22"/>
      <c r="G26" s="22">
        <f t="shared" si="0"/>
        <v>0.98669999999999991</v>
      </c>
      <c r="H26" s="18"/>
      <c r="I26" s="18"/>
      <c r="J26" s="18"/>
      <c r="K26" s="18"/>
    </row>
    <row r="27" spans="1:11" s="2" customFormat="1" x14ac:dyDescent="0.3">
      <c r="A27" s="16"/>
      <c r="B27" s="21"/>
      <c r="C27" s="18">
        <v>1</v>
      </c>
      <c r="D27" s="22">
        <v>0.71499999999999997</v>
      </c>
      <c r="E27" s="22">
        <v>0.52</v>
      </c>
      <c r="F27" s="22"/>
      <c r="G27" s="22">
        <f t="shared" si="0"/>
        <v>0.37180000000000002</v>
      </c>
      <c r="H27" s="18"/>
      <c r="I27" s="18"/>
      <c r="J27" s="18"/>
      <c r="K27" s="18"/>
    </row>
    <row r="28" spans="1:11" s="2" customFormat="1" x14ac:dyDescent="0.3">
      <c r="A28" s="16"/>
      <c r="B28" s="21"/>
      <c r="C28" s="18">
        <v>1</v>
      </c>
      <c r="D28" s="22">
        <v>0.79</v>
      </c>
      <c r="E28" s="22">
        <v>2.0299999999999998</v>
      </c>
      <c r="F28" s="22"/>
      <c r="G28" s="22">
        <f t="shared" si="0"/>
        <v>1.6036999999999999</v>
      </c>
      <c r="H28" s="18"/>
      <c r="I28" s="18"/>
      <c r="J28" s="18"/>
      <c r="K28" s="18"/>
    </row>
    <row r="29" spans="1:11" s="2" customFormat="1" x14ac:dyDescent="0.3">
      <c r="A29" s="16"/>
      <c r="B29" s="21" t="s">
        <v>35</v>
      </c>
      <c r="C29" s="18">
        <v>1</v>
      </c>
      <c r="D29" s="22">
        <v>1.8</v>
      </c>
      <c r="E29" s="22">
        <v>1.32</v>
      </c>
      <c r="F29" s="22"/>
      <c r="G29" s="22">
        <f t="shared" si="0"/>
        <v>2.3760000000000003</v>
      </c>
      <c r="H29" s="18"/>
      <c r="I29" s="18"/>
      <c r="J29" s="18"/>
      <c r="K29" s="18"/>
    </row>
    <row r="30" spans="1:11" s="2" customFormat="1" x14ac:dyDescent="0.3">
      <c r="A30" s="18"/>
      <c r="B30" s="21"/>
      <c r="C30" s="18">
        <v>1</v>
      </c>
      <c r="D30" s="22">
        <v>1.8</v>
      </c>
      <c r="E30" s="22">
        <v>1.32</v>
      </c>
      <c r="F30" s="22"/>
      <c r="G30" s="22">
        <f t="shared" si="0"/>
        <v>2.3760000000000003</v>
      </c>
      <c r="H30" s="18"/>
      <c r="I30" s="18"/>
      <c r="J30" s="18"/>
      <c r="K30" s="18"/>
    </row>
    <row r="31" spans="1:11" s="2" customFormat="1" x14ac:dyDescent="0.3">
      <c r="A31" s="16"/>
      <c r="B31" s="21"/>
      <c r="C31" s="18">
        <v>1</v>
      </c>
      <c r="D31" s="22">
        <v>1.8</v>
      </c>
      <c r="E31" s="22">
        <v>1.32</v>
      </c>
      <c r="F31" s="22"/>
      <c r="G31" s="22">
        <f t="shared" si="0"/>
        <v>2.3760000000000003</v>
      </c>
      <c r="H31" s="18"/>
      <c r="I31" s="18"/>
      <c r="J31" s="18"/>
      <c r="K31" s="18"/>
    </row>
    <row r="32" spans="1:11" s="2" customFormat="1" ht="15" customHeight="1" x14ac:dyDescent="0.3">
      <c r="A32" s="23"/>
      <c r="B32" s="24" t="s">
        <v>36</v>
      </c>
      <c r="C32" s="25"/>
      <c r="D32" s="26"/>
      <c r="E32" s="27"/>
      <c r="F32" s="27"/>
      <c r="G32" s="28">
        <f>SUM(G11:G31)</f>
        <v>36.230599999999995</v>
      </c>
      <c r="H32" s="29" t="s">
        <v>37</v>
      </c>
      <c r="I32" s="28">
        <v>6997</v>
      </c>
      <c r="J32" s="30">
        <f>G32*I32</f>
        <v>253505.50819999998</v>
      </c>
      <c r="K32" s="27"/>
    </row>
    <row r="33" spans="1:11" s="2" customFormat="1" x14ac:dyDescent="0.3">
      <c r="A33" s="16"/>
      <c r="B33" s="21" t="s">
        <v>38</v>
      </c>
      <c r="C33" s="18"/>
      <c r="D33" s="18"/>
      <c r="E33" s="18"/>
      <c r="F33" s="18"/>
      <c r="G33" s="18"/>
      <c r="H33" s="18"/>
      <c r="I33" s="18"/>
      <c r="J33" s="30">
        <f>0.13*J32</f>
        <v>32955.716066000001</v>
      </c>
      <c r="K33" s="18"/>
    </row>
    <row r="34" spans="1:11" s="2" customFormat="1" x14ac:dyDescent="0.3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s="33" customFormat="1" ht="54.75" customHeight="1" x14ac:dyDescent="0.3">
      <c r="A35" s="16">
        <v>2</v>
      </c>
      <c r="B35" s="31" t="s">
        <v>39</v>
      </c>
      <c r="C35" s="32"/>
      <c r="D35" s="32"/>
      <c r="E35" s="32"/>
      <c r="F35" s="32"/>
      <c r="G35" s="32"/>
      <c r="H35" s="32"/>
      <c r="I35" s="32"/>
      <c r="J35" s="32"/>
      <c r="K35" s="32"/>
    </row>
    <row r="36" spans="1:11" s="2" customFormat="1" x14ac:dyDescent="0.3">
      <c r="A36" s="16"/>
      <c r="B36" s="20" t="s">
        <v>21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1:11" s="2" customFormat="1" x14ac:dyDescent="0.3">
      <c r="A37" s="16"/>
      <c r="B37" s="21" t="s">
        <v>40</v>
      </c>
      <c r="C37" s="18">
        <v>2</v>
      </c>
      <c r="D37" s="22">
        <v>0.74</v>
      </c>
      <c r="E37" s="22">
        <v>1.89</v>
      </c>
      <c r="F37" s="22"/>
      <c r="G37" s="22">
        <f t="shared" ref="G37:G45" si="1">PRODUCT(C37:F37)</f>
        <v>2.7971999999999997</v>
      </c>
      <c r="H37" s="18"/>
      <c r="I37" s="18"/>
      <c r="J37" s="18"/>
      <c r="K37" s="18"/>
    </row>
    <row r="38" spans="1:11" s="2" customFormat="1" x14ac:dyDescent="0.3">
      <c r="A38" s="16"/>
      <c r="B38" s="21" t="s">
        <v>25</v>
      </c>
      <c r="C38" s="18">
        <v>1</v>
      </c>
      <c r="D38" s="22">
        <v>0.98</v>
      </c>
      <c r="E38" s="22">
        <v>2.02</v>
      </c>
      <c r="F38" s="22"/>
      <c r="G38" s="22">
        <f t="shared" si="1"/>
        <v>1.9796</v>
      </c>
      <c r="H38" s="18"/>
      <c r="I38" s="18"/>
      <c r="J38" s="18"/>
      <c r="K38" s="18"/>
    </row>
    <row r="39" spans="1:11" s="2" customFormat="1" x14ac:dyDescent="0.3">
      <c r="A39" s="16"/>
      <c r="B39" s="21" t="s">
        <v>41</v>
      </c>
      <c r="C39" s="18">
        <v>1</v>
      </c>
      <c r="D39" s="22">
        <v>0.97</v>
      </c>
      <c r="E39" s="22">
        <v>2.0499999999999998</v>
      </c>
      <c r="F39" s="22"/>
      <c r="G39" s="22">
        <f t="shared" si="1"/>
        <v>1.9884999999999997</v>
      </c>
      <c r="H39" s="18"/>
      <c r="I39" s="18"/>
      <c r="J39" s="18"/>
      <c r="K39" s="18"/>
    </row>
    <row r="40" spans="1:11" s="2" customFormat="1" x14ac:dyDescent="0.3">
      <c r="A40" s="16"/>
      <c r="B40" s="21" t="s">
        <v>42</v>
      </c>
      <c r="C40" s="18">
        <v>1</v>
      </c>
      <c r="D40" s="22">
        <v>0.98</v>
      </c>
      <c r="E40" s="22">
        <v>2.0499999999999998</v>
      </c>
      <c r="F40" s="22"/>
      <c r="G40" s="22">
        <f t="shared" si="1"/>
        <v>2.0089999999999999</v>
      </c>
      <c r="H40" s="18"/>
      <c r="I40" s="18"/>
      <c r="J40" s="18"/>
      <c r="K40" s="18"/>
    </row>
    <row r="41" spans="1:11" s="2" customFormat="1" x14ac:dyDescent="0.3">
      <c r="A41" s="16"/>
      <c r="B41" s="21" t="s">
        <v>43</v>
      </c>
      <c r="C41" s="18">
        <v>1</v>
      </c>
      <c r="D41" s="22">
        <v>0.91</v>
      </c>
      <c r="E41" s="22">
        <v>1.96</v>
      </c>
      <c r="F41" s="22"/>
      <c r="G41" s="22">
        <f t="shared" si="1"/>
        <v>1.7836000000000001</v>
      </c>
      <c r="H41" s="18"/>
      <c r="I41" s="18"/>
      <c r="J41" s="18"/>
      <c r="K41" s="18"/>
    </row>
    <row r="42" spans="1:11" s="2" customFormat="1" x14ac:dyDescent="0.3">
      <c r="A42" s="16"/>
      <c r="B42" s="20" t="s">
        <v>29</v>
      </c>
      <c r="C42" s="18"/>
      <c r="D42" s="22"/>
      <c r="E42" s="22"/>
      <c r="F42" s="22"/>
      <c r="G42" s="22"/>
      <c r="H42" s="18"/>
      <c r="I42" s="18"/>
      <c r="J42" s="18"/>
      <c r="K42" s="18"/>
    </row>
    <row r="43" spans="1:11" s="2" customFormat="1" x14ac:dyDescent="0.3">
      <c r="A43" s="16"/>
      <c r="B43" s="21" t="s">
        <v>30</v>
      </c>
      <c r="C43" s="18">
        <v>1</v>
      </c>
      <c r="D43" s="22">
        <v>0.93</v>
      </c>
      <c r="E43" s="22">
        <v>2</v>
      </c>
      <c r="F43" s="22"/>
      <c r="G43" s="22">
        <f t="shared" si="1"/>
        <v>1.86</v>
      </c>
      <c r="H43" s="18"/>
      <c r="I43" s="18"/>
      <c r="J43" s="18"/>
      <c r="K43" s="18"/>
    </row>
    <row r="44" spans="1:11" s="2" customFormat="1" x14ac:dyDescent="0.3">
      <c r="A44" s="16"/>
      <c r="B44" s="21" t="s">
        <v>32</v>
      </c>
      <c r="C44" s="18">
        <v>1</v>
      </c>
      <c r="D44" s="22">
        <v>0.95</v>
      </c>
      <c r="E44" s="22">
        <v>2.06</v>
      </c>
      <c r="F44" s="22"/>
      <c r="G44" s="22">
        <f t="shared" si="1"/>
        <v>1.9569999999999999</v>
      </c>
      <c r="H44" s="18"/>
      <c r="I44" s="18"/>
      <c r="J44" s="18"/>
      <c r="K44" s="18"/>
    </row>
    <row r="45" spans="1:11" s="2" customFormat="1" x14ac:dyDescent="0.3">
      <c r="A45" s="16"/>
      <c r="B45" s="21" t="s">
        <v>44</v>
      </c>
      <c r="C45" s="18">
        <v>1</v>
      </c>
      <c r="D45" s="22">
        <v>0.94</v>
      </c>
      <c r="E45" s="22">
        <v>1.98</v>
      </c>
      <c r="F45" s="22"/>
      <c r="G45" s="22">
        <f t="shared" si="1"/>
        <v>1.8612</v>
      </c>
      <c r="H45" s="18"/>
      <c r="I45" s="18"/>
      <c r="J45" s="18"/>
      <c r="K45" s="18"/>
    </row>
    <row r="46" spans="1:11" s="2" customFormat="1" x14ac:dyDescent="0.3">
      <c r="A46" s="16"/>
      <c r="B46" s="20" t="s">
        <v>33</v>
      </c>
      <c r="C46" s="18"/>
      <c r="D46" s="22"/>
      <c r="E46" s="22"/>
      <c r="F46" s="22"/>
      <c r="G46" s="22"/>
      <c r="H46" s="18"/>
      <c r="I46" s="18"/>
      <c r="J46" s="18"/>
      <c r="K46" s="18"/>
    </row>
    <row r="47" spans="1:11" s="2" customFormat="1" x14ac:dyDescent="0.3">
      <c r="A47" s="16"/>
      <c r="B47" s="21" t="s">
        <v>44</v>
      </c>
      <c r="C47" s="18">
        <v>1</v>
      </c>
      <c r="D47" s="22">
        <v>0.98499999999999999</v>
      </c>
      <c r="E47" s="22">
        <f>2.67-0.52</f>
        <v>2.15</v>
      </c>
      <c r="F47" s="22"/>
      <c r="G47" s="22">
        <f t="shared" ref="G47" si="2">PRODUCT(C47:F47)</f>
        <v>2.11775</v>
      </c>
      <c r="H47" s="18"/>
      <c r="I47" s="18"/>
      <c r="J47" s="18"/>
      <c r="K47" s="18"/>
    </row>
    <row r="48" spans="1:11" s="2" customFormat="1" x14ac:dyDescent="0.3">
      <c r="A48" s="16"/>
      <c r="B48" s="21" t="s">
        <v>35</v>
      </c>
      <c r="C48" s="18">
        <v>1</v>
      </c>
      <c r="D48" s="22">
        <v>0.94499999999999995</v>
      </c>
      <c r="E48" s="22">
        <v>2.0699999999999998</v>
      </c>
      <c r="F48" s="22"/>
      <c r="G48" s="22">
        <f>PRODUCT(C48:F48)</f>
        <v>1.9561499999999998</v>
      </c>
      <c r="H48" s="18"/>
      <c r="I48" s="18"/>
      <c r="J48" s="18"/>
      <c r="K48" s="18"/>
    </row>
    <row r="49" spans="1:11" s="2" customFormat="1" x14ac:dyDescent="0.3">
      <c r="A49" s="16"/>
      <c r="B49" s="21" t="s">
        <v>45</v>
      </c>
      <c r="C49" s="18">
        <v>1</v>
      </c>
      <c r="D49" s="22">
        <v>0.94</v>
      </c>
      <c r="E49" s="22">
        <v>2.0499999999999998</v>
      </c>
      <c r="F49" s="22"/>
      <c r="G49" s="22">
        <f t="shared" ref="G49" si="3">PRODUCT(C49:F49)</f>
        <v>1.9269999999999998</v>
      </c>
      <c r="H49" s="18"/>
      <c r="I49" s="18"/>
      <c r="J49" s="18"/>
      <c r="K49" s="18"/>
    </row>
    <row r="50" spans="1:11" s="2" customFormat="1" ht="15" customHeight="1" x14ac:dyDescent="0.3">
      <c r="A50" s="23"/>
      <c r="B50" s="24" t="s">
        <v>36</v>
      </c>
      <c r="C50" s="25"/>
      <c r="D50" s="26"/>
      <c r="E50" s="27"/>
      <c r="F50" s="27"/>
      <c r="G50" s="28">
        <f>SUM(G37:G49)</f>
        <v>22.237000000000002</v>
      </c>
      <c r="H50" s="29" t="s">
        <v>37</v>
      </c>
      <c r="I50" s="28">
        <v>8744</v>
      </c>
      <c r="J50" s="30">
        <f>G50*I50</f>
        <v>194440.32800000001</v>
      </c>
      <c r="K50" s="27"/>
    </row>
    <row r="51" spans="1:11" s="2" customFormat="1" x14ac:dyDescent="0.3">
      <c r="A51" s="16"/>
      <c r="B51" s="21" t="s">
        <v>38</v>
      </c>
      <c r="C51" s="18"/>
      <c r="D51" s="18"/>
      <c r="E51" s="18"/>
      <c r="F51" s="18"/>
      <c r="G51" s="18"/>
      <c r="H51" s="18"/>
      <c r="I51" s="18"/>
      <c r="J51" s="30">
        <f>0.13*J50</f>
        <v>25277.24264</v>
      </c>
      <c r="K51" s="18"/>
    </row>
    <row r="52" spans="1:11" s="2" customFormat="1" x14ac:dyDescent="0.3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s="33" customFormat="1" ht="54.75" customHeight="1" x14ac:dyDescent="0.3">
      <c r="A53" s="16">
        <v>3</v>
      </c>
      <c r="B53" s="31" t="s">
        <v>46</v>
      </c>
      <c r="C53" s="32"/>
      <c r="D53" s="32"/>
      <c r="E53" s="32"/>
      <c r="F53" s="32"/>
      <c r="G53" s="32"/>
      <c r="H53" s="32"/>
      <c r="I53" s="32"/>
      <c r="J53" s="32"/>
      <c r="K53" s="32"/>
    </row>
    <row r="54" spans="1:11" s="2" customFormat="1" x14ac:dyDescent="0.3">
      <c r="A54" s="16"/>
      <c r="B54" s="20" t="s">
        <v>21</v>
      </c>
      <c r="C54" s="18"/>
      <c r="D54" s="18"/>
      <c r="E54" s="18"/>
      <c r="F54" s="18"/>
      <c r="G54" s="18"/>
      <c r="H54" s="18"/>
      <c r="I54" s="18"/>
      <c r="J54" s="18"/>
      <c r="K54" s="18"/>
    </row>
    <row r="55" spans="1:11" s="2" customFormat="1" x14ac:dyDescent="0.3">
      <c r="A55" s="16"/>
      <c r="B55" s="21" t="s">
        <v>47</v>
      </c>
      <c r="C55" s="18">
        <v>1</v>
      </c>
      <c r="D55" s="22">
        <v>1.22</v>
      </c>
      <c r="E55" s="22">
        <v>2.04</v>
      </c>
      <c r="F55" s="22"/>
      <c r="G55" s="22">
        <f t="shared" ref="G55" si="4">PRODUCT(C55:F55)</f>
        <v>2.4887999999999999</v>
      </c>
      <c r="H55" s="18"/>
      <c r="I55" s="18"/>
      <c r="J55" s="18"/>
      <c r="K55" s="18"/>
    </row>
    <row r="56" spans="1:11" s="2" customFormat="1" ht="15" customHeight="1" x14ac:dyDescent="0.3">
      <c r="A56" s="23"/>
      <c r="B56" s="24" t="s">
        <v>36</v>
      </c>
      <c r="C56" s="25"/>
      <c r="D56" s="26"/>
      <c r="E56" s="27"/>
      <c r="F56" s="27"/>
      <c r="G56" s="28">
        <f>SUM(G55:G55)</f>
        <v>2.4887999999999999</v>
      </c>
      <c r="H56" s="29" t="s">
        <v>37</v>
      </c>
      <c r="I56" s="28">
        <v>8624</v>
      </c>
      <c r="J56" s="30">
        <f>G56*I56</f>
        <v>21463.411199999999</v>
      </c>
      <c r="K56" s="27"/>
    </row>
    <row r="57" spans="1:11" s="2" customFormat="1" x14ac:dyDescent="0.3">
      <c r="A57" s="16"/>
      <c r="B57" s="21" t="s">
        <v>38</v>
      </c>
      <c r="C57" s="18"/>
      <c r="D57" s="18"/>
      <c r="E57" s="18"/>
      <c r="F57" s="18"/>
      <c r="G57" s="18"/>
      <c r="H57" s="18"/>
      <c r="I57" s="18"/>
      <c r="J57" s="30">
        <f>0.13*J56</f>
        <v>2790.2434559999997</v>
      </c>
      <c r="K57" s="18"/>
    </row>
    <row r="58" spans="1:11" s="2" customFormat="1" x14ac:dyDescent="0.3">
      <c r="A58" s="16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s="2" customFormat="1" x14ac:dyDescent="0.3">
      <c r="A59" s="16">
        <v>4</v>
      </c>
      <c r="B59" s="34" t="s">
        <v>48</v>
      </c>
      <c r="C59" s="18"/>
      <c r="D59" s="18"/>
      <c r="E59" s="18"/>
      <c r="F59" s="18"/>
      <c r="G59" s="18"/>
      <c r="H59" s="18"/>
      <c r="I59" s="18"/>
      <c r="J59" s="18"/>
      <c r="K59" s="18"/>
    </row>
    <row r="60" spans="1:11" s="2" customFormat="1" x14ac:dyDescent="0.3">
      <c r="A60" s="16"/>
      <c r="B60" s="20" t="s">
        <v>21</v>
      </c>
      <c r="C60" s="18"/>
      <c r="D60" s="18"/>
      <c r="E60" s="18"/>
      <c r="F60" s="18"/>
      <c r="G60" s="18"/>
      <c r="H60" s="18"/>
      <c r="I60" s="18"/>
      <c r="J60" s="18"/>
      <c r="K60" s="18"/>
    </row>
    <row r="61" spans="1:11" s="2" customFormat="1" x14ac:dyDescent="0.3">
      <c r="A61" s="16"/>
      <c r="B61" s="21" t="s">
        <v>25</v>
      </c>
      <c r="C61" s="18">
        <v>3</v>
      </c>
      <c r="D61" s="22">
        <v>0.51</v>
      </c>
      <c r="E61" s="22">
        <v>1.1200000000000001</v>
      </c>
      <c r="F61" s="22"/>
      <c r="G61" s="22">
        <f>PRODUCT(C61:F61)</f>
        <v>1.7136000000000002</v>
      </c>
      <c r="H61" s="18"/>
      <c r="I61" s="18"/>
      <c r="J61" s="18"/>
      <c r="K61" s="18"/>
    </row>
    <row r="62" spans="1:11" s="2" customFormat="1" x14ac:dyDescent="0.3">
      <c r="A62" s="16"/>
      <c r="B62" s="20" t="s">
        <v>29</v>
      </c>
      <c r="C62" s="18"/>
      <c r="D62" s="22"/>
      <c r="E62" s="22"/>
      <c r="F62" s="22"/>
      <c r="G62" s="22"/>
      <c r="H62" s="18"/>
      <c r="I62" s="18"/>
      <c r="J62" s="18"/>
      <c r="K62" s="18"/>
    </row>
    <row r="63" spans="1:11" s="2" customFormat="1" x14ac:dyDescent="0.3">
      <c r="A63" s="16"/>
      <c r="B63" s="21" t="s">
        <v>30</v>
      </c>
      <c r="C63" s="18">
        <v>3</v>
      </c>
      <c r="D63" s="22">
        <v>0.5</v>
      </c>
      <c r="E63" s="22">
        <v>1.1000000000000001</v>
      </c>
      <c r="F63" s="22"/>
      <c r="G63" s="22">
        <f t="shared" ref="G63:G66" si="5">PRODUCT(C63:F63)</f>
        <v>1.6500000000000001</v>
      </c>
      <c r="H63" s="18"/>
      <c r="I63" s="18"/>
      <c r="J63" s="18"/>
      <c r="K63" s="18"/>
    </row>
    <row r="64" spans="1:11" s="2" customFormat="1" x14ac:dyDescent="0.3">
      <c r="A64" s="16"/>
      <c r="B64" s="21"/>
      <c r="C64" s="18">
        <v>3</v>
      </c>
      <c r="D64" s="22">
        <v>0.5</v>
      </c>
      <c r="E64" s="22">
        <v>1.1000000000000001</v>
      </c>
      <c r="F64" s="22"/>
      <c r="G64" s="22">
        <f t="shared" si="5"/>
        <v>1.6500000000000001</v>
      </c>
      <c r="H64" s="18"/>
      <c r="I64" s="18"/>
      <c r="J64" s="18"/>
      <c r="K64" s="18"/>
    </row>
    <row r="65" spans="1:19" s="2" customFormat="1" x14ac:dyDescent="0.3">
      <c r="A65" s="16"/>
      <c r="B65" s="21"/>
      <c r="C65" s="18">
        <v>3</v>
      </c>
      <c r="D65" s="22">
        <v>0.5</v>
      </c>
      <c r="E65" s="22">
        <v>1.1000000000000001</v>
      </c>
      <c r="F65" s="22"/>
      <c r="G65" s="22">
        <f t="shared" si="5"/>
        <v>1.6500000000000001</v>
      </c>
      <c r="H65" s="18"/>
      <c r="I65" s="18"/>
      <c r="J65" s="18"/>
      <c r="K65" s="18"/>
    </row>
    <row r="66" spans="1:19" s="2" customFormat="1" x14ac:dyDescent="0.3">
      <c r="A66" s="16"/>
      <c r="B66" s="21"/>
      <c r="C66" s="18">
        <v>1</v>
      </c>
      <c r="D66" s="22">
        <v>0.5</v>
      </c>
      <c r="E66" s="22">
        <v>1.1000000000000001</v>
      </c>
      <c r="F66" s="22"/>
      <c r="G66" s="22">
        <f t="shared" si="5"/>
        <v>0.55000000000000004</v>
      </c>
      <c r="H66" s="18"/>
      <c r="I66" s="18"/>
      <c r="J66" s="18"/>
      <c r="K66" s="18"/>
    </row>
    <row r="67" spans="1:19" s="2" customFormat="1" x14ac:dyDescent="0.3">
      <c r="A67" s="16"/>
      <c r="B67" s="20" t="s">
        <v>33</v>
      </c>
      <c r="C67" s="18"/>
      <c r="D67" s="22"/>
      <c r="E67" s="22"/>
      <c r="F67" s="22"/>
      <c r="G67" s="22"/>
      <c r="H67" s="18"/>
      <c r="I67" s="18"/>
      <c r="J67" s="18"/>
      <c r="K67" s="18"/>
    </row>
    <row r="68" spans="1:19" s="2" customFormat="1" x14ac:dyDescent="0.3">
      <c r="A68" s="16"/>
      <c r="B68" s="21" t="s">
        <v>49</v>
      </c>
      <c r="C68" s="18">
        <v>2</v>
      </c>
      <c r="D68" s="22">
        <v>0.47</v>
      </c>
      <c r="E68" s="22">
        <v>1.1100000000000001</v>
      </c>
      <c r="F68" s="22"/>
      <c r="G68" s="22">
        <f t="shared" ref="G68:G69" si="6">PRODUCT(C68:F68)</f>
        <v>1.0434000000000001</v>
      </c>
      <c r="H68" s="18"/>
      <c r="I68" s="18"/>
      <c r="J68" s="18"/>
      <c r="K68" s="18"/>
    </row>
    <row r="69" spans="1:19" s="2" customFormat="1" x14ac:dyDescent="0.3">
      <c r="A69" s="16"/>
      <c r="B69" s="21"/>
      <c r="C69" s="18">
        <v>3</v>
      </c>
      <c r="D69" s="22">
        <v>0.49</v>
      </c>
      <c r="E69" s="22">
        <v>1.1399999999999999</v>
      </c>
      <c r="F69" s="22"/>
      <c r="G69" s="22">
        <f t="shared" si="6"/>
        <v>1.6757999999999997</v>
      </c>
      <c r="H69" s="18"/>
      <c r="I69" s="18"/>
      <c r="J69" s="18"/>
      <c r="K69" s="18"/>
    </row>
    <row r="70" spans="1:19" s="2" customFormat="1" ht="15" customHeight="1" x14ac:dyDescent="0.3">
      <c r="A70" s="23"/>
      <c r="B70" s="24" t="s">
        <v>36</v>
      </c>
      <c r="C70" s="25"/>
      <c r="D70" s="26"/>
      <c r="E70" s="27"/>
      <c r="F70" s="27"/>
      <c r="G70" s="28">
        <f>SUM(G61:G69)</f>
        <v>9.9328000000000003</v>
      </c>
      <c r="H70" s="29" t="s">
        <v>37</v>
      </c>
      <c r="I70" s="28">
        <v>742.44</v>
      </c>
      <c r="J70" s="30">
        <f>G70*I70</f>
        <v>7374.5080320000006</v>
      </c>
      <c r="K70" s="27"/>
    </row>
    <row r="71" spans="1:19" s="2" customFormat="1" x14ac:dyDescent="0.3">
      <c r="A71" s="16"/>
      <c r="B71" s="21" t="s">
        <v>38</v>
      </c>
      <c r="C71" s="18"/>
      <c r="D71" s="18"/>
      <c r="E71" s="18"/>
      <c r="F71" s="18"/>
      <c r="G71" s="18"/>
      <c r="H71" s="18"/>
      <c r="I71" s="18"/>
      <c r="J71" s="30">
        <f>0.13*J70</f>
        <v>958.68604416000016</v>
      </c>
      <c r="K71" s="18"/>
    </row>
    <row r="72" spans="1:19" s="2" customFormat="1" x14ac:dyDescent="0.3">
      <c r="A72" s="16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9" s="2" customFormat="1" ht="15" customHeight="1" x14ac:dyDescent="0.3">
      <c r="A73" s="23">
        <v>5</v>
      </c>
      <c r="B73" s="34" t="s">
        <v>50</v>
      </c>
      <c r="C73" s="18">
        <v>0</v>
      </c>
      <c r="D73" s="26"/>
      <c r="E73" s="27"/>
      <c r="F73" s="27"/>
      <c r="G73" s="29">
        <f t="shared" ref="G73" si="7">PRODUCT(C73:F73)</f>
        <v>0</v>
      </c>
      <c r="H73" s="29" t="s">
        <v>51</v>
      </c>
      <c r="I73" s="28">
        <v>500</v>
      </c>
      <c r="J73" s="29">
        <f>G73*I73</f>
        <v>0</v>
      </c>
      <c r="K73" s="27"/>
    </row>
    <row r="74" spans="1:19" s="2" customFormat="1" ht="11.25" customHeight="1" x14ac:dyDescent="0.3">
      <c r="A74" s="23"/>
      <c r="B74" s="35"/>
      <c r="C74" s="25"/>
      <c r="D74" s="26"/>
      <c r="E74" s="27"/>
      <c r="F74" s="27"/>
      <c r="G74" s="28"/>
      <c r="H74" s="29"/>
      <c r="I74" s="28"/>
      <c r="J74" s="30"/>
      <c r="K74" s="27"/>
    </row>
    <row r="75" spans="1:19" s="2" customFormat="1" x14ac:dyDescent="0.3">
      <c r="A75" s="36"/>
      <c r="B75" s="37" t="s">
        <v>52</v>
      </c>
      <c r="C75" s="38"/>
      <c r="D75" s="39"/>
      <c r="E75" s="39"/>
      <c r="F75" s="39"/>
      <c r="G75" s="30"/>
      <c r="H75" s="30"/>
      <c r="I75" s="30"/>
      <c r="J75" s="30">
        <f>SUM(J32:J73)</f>
        <v>538765.64363816008</v>
      </c>
      <c r="K75" s="40"/>
    </row>
    <row r="76" spans="1:19" s="2" customFormat="1" x14ac:dyDescent="0.3">
      <c r="M76" s="33"/>
      <c r="N76" s="33"/>
      <c r="O76" s="33"/>
      <c r="P76" s="33"/>
      <c r="Q76" s="33"/>
      <c r="R76" s="33"/>
      <c r="S76" s="33"/>
    </row>
    <row r="77" spans="1:19" s="33" customFormat="1" x14ac:dyDescent="0.3">
      <c r="A77" s="41"/>
      <c r="B77" s="32" t="s">
        <v>59</v>
      </c>
      <c r="C77" s="42">
        <f>J75</f>
        <v>538765.64363816008</v>
      </c>
      <c r="D77" s="43"/>
      <c r="E77" s="44">
        <v>100</v>
      </c>
      <c r="F77" s="41"/>
      <c r="G77" s="45"/>
      <c r="H77" s="41"/>
      <c r="I77" s="46"/>
      <c r="J77" s="47"/>
      <c r="K77" s="48"/>
      <c r="M77" s="2"/>
      <c r="N77" s="2"/>
      <c r="O77" s="2"/>
      <c r="P77" s="2"/>
      <c r="Q77" s="2"/>
      <c r="R77" s="2"/>
      <c r="S77" s="2"/>
    </row>
    <row r="78" spans="1:19" s="2" customFormat="1" x14ac:dyDescent="0.3">
      <c r="B78" s="32" t="s">
        <v>54</v>
      </c>
      <c r="C78" s="49">
        <v>110000</v>
      </c>
      <c r="D78" s="50"/>
      <c r="E78" s="44"/>
    </row>
    <row r="79" spans="1:19" s="2" customFormat="1" x14ac:dyDescent="0.3">
      <c r="B79" s="32" t="s">
        <v>55</v>
      </c>
      <c r="C79" s="49">
        <f>Estimate!E79%*Valuation!C77</f>
        <v>104403.10897677904</v>
      </c>
      <c r="D79" s="50"/>
      <c r="E79" s="44">
        <f>C79/C77*100</f>
        <v>19.378204644187953</v>
      </c>
    </row>
    <row r="80" spans="1:19" s="2" customFormat="1" x14ac:dyDescent="0.3">
      <c r="B80" s="32" t="s">
        <v>56</v>
      </c>
      <c r="C80" s="51">
        <f>C77-C79</f>
        <v>434362.53466138104</v>
      </c>
      <c r="D80" s="51"/>
      <c r="E80" s="44">
        <f>100-E79</f>
        <v>80.621795355812054</v>
      </c>
    </row>
    <row r="81" spans="2:5" s="2" customFormat="1" x14ac:dyDescent="0.3">
      <c r="B81" s="32" t="s">
        <v>57</v>
      </c>
      <c r="C81" s="42">
        <f>C78*0.03</f>
        <v>3300</v>
      </c>
      <c r="D81" s="43"/>
      <c r="E81" s="44">
        <v>3</v>
      </c>
    </row>
    <row r="82" spans="2:5" s="2" customFormat="1" x14ac:dyDescent="0.3">
      <c r="B82" s="32" t="s">
        <v>58</v>
      </c>
      <c r="C82" s="42">
        <f>C78*0.02</f>
        <v>2200</v>
      </c>
      <c r="D82" s="43"/>
      <c r="E82" s="44">
        <v>2</v>
      </c>
    </row>
  </sheetData>
  <mergeCells count="15">
    <mergeCell ref="C81:D81"/>
    <mergeCell ref="C82:D82"/>
    <mergeCell ref="A7:F7"/>
    <mergeCell ref="H7:K7"/>
    <mergeCell ref="C77:D77"/>
    <mergeCell ref="C78:D78"/>
    <mergeCell ref="C79:D79"/>
    <mergeCell ref="C80:D80"/>
    <mergeCell ref="A1:K1"/>
    <mergeCell ref="A2:K2"/>
    <mergeCell ref="A3:K3"/>
    <mergeCell ref="A4:K4"/>
    <mergeCell ref="A5:K5"/>
    <mergeCell ref="A6:F6"/>
    <mergeCell ref="H6:K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7" workbookViewId="0">
      <selection activeCell="I19" sqref="I19"/>
    </sheetView>
  </sheetViews>
  <sheetFormatPr defaultRowHeight="14.4" x14ac:dyDescent="0.3"/>
  <cols>
    <col min="1" max="1" width="6.33203125" customWidth="1"/>
    <col min="2" max="2" width="36.6640625" customWidth="1"/>
    <col min="3" max="3" width="8.88671875" customWidth="1"/>
    <col min="4" max="4" width="9.33203125" bestFit="1" customWidth="1"/>
    <col min="5" max="5" width="11.5546875" bestFit="1" customWidth="1"/>
    <col min="6" max="6" width="12.33203125" bestFit="1" customWidth="1"/>
    <col min="7" max="7" width="9.5546875" bestFit="1" customWidth="1"/>
    <col min="8" max="8" width="11.109375" bestFit="1" customWidth="1"/>
    <col min="9" max="9" width="11.88671875" bestFit="1" customWidth="1"/>
    <col min="10" max="10" width="12.33203125" bestFit="1" customWidth="1"/>
    <col min="11" max="11" width="11" customWidth="1"/>
  </cols>
  <sheetData>
    <row r="1" spans="1:11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24.6" x14ac:dyDescent="0.4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s="55" customFormat="1" x14ac:dyDescent="0.3">
      <c r="A3" s="54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1" s="55" customFormat="1" x14ac:dyDescent="0.3">
      <c r="A4" s="54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</row>
    <row r="5" spans="1:11" ht="18" x14ac:dyDescent="0.35">
      <c r="A5" s="56" t="s">
        <v>61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ht="18" x14ac:dyDescent="0.35">
      <c r="A6" s="57" t="s">
        <v>62</v>
      </c>
      <c r="B6" s="57"/>
      <c r="C6" s="58">
        <f>F33</f>
        <v>0</v>
      </c>
      <c r="D6" s="59"/>
      <c r="E6" s="60"/>
      <c r="F6" s="57"/>
      <c r="G6" s="57"/>
      <c r="H6" s="57" t="s">
        <v>63</v>
      </c>
      <c r="I6" s="57"/>
      <c r="J6" s="58">
        <f>I33</f>
        <v>0</v>
      </c>
      <c r="K6" s="59"/>
    </row>
    <row r="7" spans="1:11" x14ac:dyDescent="0.3">
      <c r="A7" s="61" t="s">
        <v>64</v>
      </c>
      <c r="B7" s="61"/>
      <c r="C7" s="61"/>
      <c r="D7" s="61"/>
      <c r="F7" s="62"/>
      <c r="G7" s="62"/>
      <c r="I7" s="63" t="s">
        <v>65</v>
      </c>
      <c r="J7" s="63"/>
      <c r="K7" s="63"/>
    </row>
    <row r="8" spans="1:11" ht="15.6" x14ac:dyDescent="0.3">
      <c r="A8" s="64" t="str">
        <f>'[1]kalimasta mandir final (2)'!A6:F6</f>
        <v>Project:- कालीमस्ट मन्दिर निर्माण</v>
      </c>
      <c r="B8" s="64"/>
      <c r="C8" s="64"/>
      <c r="D8" s="64"/>
      <c r="E8" s="64"/>
      <c r="F8" s="64"/>
      <c r="I8" s="65" t="s">
        <v>66</v>
      </c>
      <c r="J8" s="65"/>
      <c r="K8" s="65"/>
    </row>
    <row r="9" spans="1:11" x14ac:dyDescent="0.3">
      <c r="A9" s="66" t="str">
        <f>'[1]kalimasta mandir final (2)'!A7:F7</f>
        <v>Location:- Shankharapur Municipality 9</v>
      </c>
      <c r="B9" s="66"/>
      <c r="C9" s="66"/>
      <c r="D9" s="66"/>
      <c r="E9" s="66"/>
      <c r="F9" s="66"/>
      <c r="I9" s="65" t="s">
        <v>67</v>
      </c>
      <c r="J9" s="65"/>
      <c r="K9" s="65"/>
    </row>
    <row r="11" spans="1:11" x14ac:dyDescent="0.3">
      <c r="A11" s="67" t="s">
        <v>68</v>
      </c>
      <c r="B11" s="67" t="s">
        <v>69</v>
      </c>
      <c r="C11" s="67" t="s">
        <v>16</v>
      </c>
      <c r="D11" s="68" t="s">
        <v>70</v>
      </c>
      <c r="E11" s="68"/>
      <c r="F11" s="68"/>
      <c r="G11" s="68" t="s">
        <v>71</v>
      </c>
      <c r="H11" s="68"/>
      <c r="I11" s="68"/>
      <c r="J11" s="67" t="s">
        <v>72</v>
      </c>
      <c r="K11" s="69" t="s">
        <v>73</v>
      </c>
    </row>
    <row r="12" spans="1:11" x14ac:dyDescent="0.3">
      <c r="A12" s="67"/>
      <c r="B12" s="67"/>
      <c r="C12" s="67"/>
      <c r="D12" s="70" t="s">
        <v>74</v>
      </c>
      <c r="E12" s="70" t="s">
        <v>17</v>
      </c>
      <c r="F12" s="70" t="s">
        <v>18</v>
      </c>
      <c r="G12" s="70" t="s">
        <v>74</v>
      </c>
      <c r="H12" s="70" t="s">
        <v>17</v>
      </c>
      <c r="I12" s="70" t="s">
        <v>18</v>
      </c>
      <c r="J12" s="67"/>
      <c r="K12" s="69"/>
    </row>
    <row r="13" spans="1:11" x14ac:dyDescent="0.3">
      <c r="A13" s="78">
        <f>Estimate!A9</f>
        <v>1</v>
      </c>
      <c r="B13" s="78" t="str">
        <f>Estimate!B9</f>
        <v>UPVC sliding window without net (frame 60 X 60mm sash 66 X 42mm white colour with 5mm Glass)</v>
      </c>
      <c r="C13" s="72" t="str">
        <f>Estimate!H32</f>
        <v>m2</v>
      </c>
      <c r="D13" s="72">
        <f>Estimate!G32</f>
        <v>36.230599999999995</v>
      </c>
      <c r="E13" s="72">
        <f>Estimate!I32</f>
        <v>6997</v>
      </c>
      <c r="F13" s="72">
        <f>D13*E13</f>
        <v>253505.50819999998</v>
      </c>
      <c r="G13" s="72">
        <f>Valuation!G32</f>
        <v>36.230599999999995</v>
      </c>
      <c r="H13" s="72">
        <f>Valuation!I32</f>
        <v>6997</v>
      </c>
      <c r="I13" s="72">
        <f>G13*H13</f>
        <v>253505.50819999998</v>
      </c>
      <c r="J13" s="82">
        <f>I13-F13</f>
        <v>0</v>
      </c>
      <c r="K13" s="78"/>
    </row>
    <row r="14" spans="1:11" s="55" customFormat="1" ht="15.6" x14ac:dyDescent="0.3">
      <c r="A14" s="71"/>
      <c r="B14" s="75" t="str">
        <f>Estimate!B33</f>
        <v>-13% VAT for materials</v>
      </c>
      <c r="C14" s="72"/>
      <c r="D14" s="72"/>
      <c r="E14" s="72"/>
      <c r="F14" s="72">
        <f>Estimate!J33</f>
        <v>32955.716066000001</v>
      </c>
      <c r="G14" s="72"/>
      <c r="H14" s="72"/>
      <c r="I14" s="72">
        <f>Valuation!J33</f>
        <v>32955.716066000001</v>
      </c>
      <c r="J14" s="82">
        <f>I14-F14</f>
        <v>0</v>
      </c>
      <c r="K14" s="74"/>
    </row>
    <row r="15" spans="1:11" s="55" customFormat="1" x14ac:dyDescent="0.3">
      <c r="A15" s="76"/>
      <c r="B15" s="76"/>
      <c r="C15" s="72"/>
      <c r="D15" s="72"/>
      <c r="E15" s="72"/>
      <c r="F15" s="72"/>
      <c r="G15" s="72"/>
      <c r="H15" s="72"/>
      <c r="I15" s="72"/>
      <c r="J15" s="73"/>
      <c r="K15" s="74"/>
    </row>
    <row r="16" spans="1:11" x14ac:dyDescent="0.3">
      <c r="A16" s="78">
        <f>Estimate!A35</f>
        <v>2</v>
      </c>
      <c r="B16" s="78" t="str">
        <f>Estimate!B35</f>
        <v>UPVC Single Door with full pannel (frame 60*60mm sash 60X100mm White Colour With  Panel)</v>
      </c>
      <c r="C16" s="72" t="str">
        <f>Estimate!H50</f>
        <v>m2</v>
      </c>
      <c r="D16" s="72">
        <f>Estimate!G50</f>
        <v>22.237000000000002</v>
      </c>
      <c r="E16" s="72">
        <f>Estimate!I50</f>
        <v>8744</v>
      </c>
      <c r="F16" s="72">
        <f>D16*E16</f>
        <v>194440.32800000001</v>
      </c>
      <c r="G16" s="72">
        <f>Valuation!G50</f>
        <v>22.237000000000002</v>
      </c>
      <c r="H16" s="72">
        <f>Valuation!I50</f>
        <v>8744</v>
      </c>
      <c r="I16" s="72">
        <f>G16*H16</f>
        <v>194440.32800000001</v>
      </c>
      <c r="J16" s="82">
        <f>I16-F16</f>
        <v>0</v>
      </c>
      <c r="K16" s="78"/>
    </row>
    <row r="17" spans="1:11" s="55" customFormat="1" ht="15.6" x14ac:dyDescent="0.3">
      <c r="A17" s="71"/>
      <c r="B17" s="75" t="str">
        <f>Estimate!B51</f>
        <v>-13% VAT for materials</v>
      </c>
      <c r="C17" s="72"/>
      <c r="D17" s="72"/>
      <c r="E17" s="72"/>
      <c r="F17" s="72">
        <f>Estimate!J51</f>
        <v>25277.24264</v>
      </c>
      <c r="G17" s="72"/>
      <c r="H17" s="72"/>
      <c r="I17" s="72">
        <f>Valuation!J51</f>
        <v>25277.24264</v>
      </c>
      <c r="J17" s="82">
        <f>I17-F17</f>
        <v>0</v>
      </c>
      <c r="K17" s="74"/>
    </row>
    <row r="18" spans="1:11" s="55" customFormat="1" x14ac:dyDescent="0.3">
      <c r="A18" s="76"/>
      <c r="B18" s="76"/>
      <c r="C18" s="72"/>
      <c r="D18" s="72"/>
      <c r="E18" s="72"/>
      <c r="F18" s="72"/>
      <c r="G18" s="72"/>
      <c r="H18" s="72"/>
      <c r="I18" s="72"/>
      <c r="J18" s="73"/>
      <c r="K18" s="74"/>
    </row>
    <row r="19" spans="1:11" x14ac:dyDescent="0.3">
      <c r="A19" s="78">
        <f>Estimate!A53</f>
        <v>3</v>
      </c>
      <c r="B19" s="78" t="str">
        <f>Estimate!B53</f>
        <v>UPVC Door with half  pannel half glass (frame 60*60mm sash 60X104mm White Colour With  5mm glass)</v>
      </c>
      <c r="C19" s="72" t="str">
        <f>Estimate!H56</f>
        <v>m2</v>
      </c>
      <c r="D19" s="72">
        <f>Estimate!G56</f>
        <v>2.4887999999999999</v>
      </c>
      <c r="E19" s="72">
        <f>Estimate!I56</f>
        <v>8624</v>
      </c>
      <c r="F19" s="72">
        <f>D19*E19</f>
        <v>21463.411199999999</v>
      </c>
      <c r="G19" s="72">
        <f>Valuation!G56</f>
        <v>2.4887999999999999</v>
      </c>
      <c r="H19" s="72">
        <f>Valuation!I56</f>
        <v>8624</v>
      </c>
      <c r="I19" s="72">
        <f>G19*H19</f>
        <v>21463.411199999999</v>
      </c>
      <c r="J19" s="82">
        <f>I19-F19</f>
        <v>0</v>
      </c>
      <c r="K19" s="78"/>
    </row>
    <row r="20" spans="1:11" s="55" customFormat="1" ht="15.6" x14ac:dyDescent="0.3">
      <c r="A20" s="71"/>
      <c r="B20" s="75" t="str">
        <f>Estimate!B57</f>
        <v>-13% VAT for materials</v>
      </c>
      <c r="C20" s="72"/>
      <c r="D20" s="72"/>
      <c r="E20" s="72"/>
      <c r="F20" s="72">
        <f>Estimate!J57</f>
        <v>2790.2434559999997</v>
      </c>
      <c r="G20" s="72"/>
      <c r="H20" s="72"/>
      <c r="I20" s="72">
        <f>Valuation!J57</f>
        <v>2790.2434559999997</v>
      </c>
      <c r="J20" s="82">
        <f>I20-F20</f>
        <v>0</v>
      </c>
      <c r="K20" s="74"/>
    </row>
    <row r="21" spans="1:11" s="55" customFormat="1" x14ac:dyDescent="0.3">
      <c r="A21" s="76"/>
      <c r="B21" s="76"/>
      <c r="C21" s="72"/>
      <c r="D21" s="72"/>
      <c r="E21" s="72"/>
      <c r="F21" s="72"/>
      <c r="G21" s="72"/>
      <c r="H21" s="72"/>
      <c r="I21" s="72"/>
      <c r="J21" s="73"/>
      <c r="K21" s="74"/>
    </row>
    <row r="22" spans="1:11" x14ac:dyDescent="0.3">
      <c r="A22" s="78">
        <f>Estimate!A59</f>
        <v>4</v>
      </c>
      <c r="B22" s="81" t="str">
        <f>Estimate!B59</f>
        <v>5mm glass for affected openings</v>
      </c>
      <c r="C22" s="72" t="str">
        <f>Estimate!H70</f>
        <v>m2</v>
      </c>
      <c r="D22" s="72">
        <f>Estimate!G70</f>
        <v>9.9328000000000003</v>
      </c>
      <c r="E22" s="72">
        <f>Estimate!I70</f>
        <v>742.44</v>
      </c>
      <c r="F22" s="72">
        <f>D22*E22</f>
        <v>7374.5080320000006</v>
      </c>
      <c r="G22" s="72">
        <f>Valuation!G70</f>
        <v>9.9328000000000003</v>
      </c>
      <c r="H22" s="72">
        <f>Valuation!I70</f>
        <v>742.44</v>
      </c>
      <c r="I22" s="72">
        <f>G22*H22</f>
        <v>7374.5080320000006</v>
      </c>
      <c r="J22" s="82">
        <f>I22-F22</f>
        <v>0</v>
      </c>
      <c r="K22" s="78"/>
    </row>
    <row r="23" spans="1:11" s="55" customFormat="1" ht="15.6" x14ac:dyDescent="0.3">
      <c r="A23" s="71"/>
      <c r="B23" s="75" t="str">
        <f>Estimate!B71</f>
        <v>-13% VAT for materials</v>
      </c>
      <c r="C23" s="72"/>
      <c r="D23" s="72"/>
      <c r="E23" s="72"/>
      <c r="F23" s="72">
        <f>Estimate!J71</f>
        <v>958.68604416000016</v>
      </c>
      <c r="G23" s="72"/>
      <c r="H23" s="72"/>
      <c r="I23" s="72">
        <f>Valuation!J71</f>
        <v>958.68604416000016</v>
      </c>
      <c r="J23" s="82">
        <f>I23-F23</f>
        <v>0</v>
      </c>
      <c r="K23" s="74"/>
    </row>
    <row r="24" spans="1:11" s="55" customFormat="1" x14ac:dyDescent="0.3">
      <c r="A24" s="76"/>
      <c r="B24" s="76"/>
      <c r="C24" s="72"/>
      <c r="D24" s="72"/>
      <c r="E24" s="72"/>
      <c r="F24" s="72"/>
      <c r="G24" s="72"/>
      <c r="H24" s="72"/>
      <c r="I24" s="72"/>
      <c r="J24" s="73"/>
      <c r="K24" s="74"/>
    </row>
    <row r="25" spans="1:11" s="55" customFormat="1" x14ac:dyDescent="0.3">
      <c r="A25" s="71">
        <f>Estimate!A73</f>
        <v>5</v>
      </c>
      <c r="B25" s="77" t="str">
        <f>Estimate!B73</f>
        <v>Information board (सुचना पाटि)</v>
      </c>
      <c r="C25" s="72" t="str">
        <f>Estimate!H73</f>
        <v>no.</v>
      </c>
      <c r="D25" s="72">
        <f>Estimate!G73</f>
        <v>1</v>
      </c>
      <c r="E25" s="72">
        <f>Estimate!I73</f>
        <v>500</v>
      </c>
      <c r="F25" s="72">
        <f>D25*E25</f>
        <v>500</v>
      </c>
      <c r="G25" s="72">
        <f>Valuation!G73</f>
        <v>0</v>
      </c>
      <c r="H25" s="72">
        <f>Valuation!I73</f>
        <v>500</v>
      </c>
      <c r="I25" s="72">
        <f>G25*H25</f>
        <v>0</v>
      </c>
      <c r="J25" s="82">
        <f>I25-F25</f>
        <v>-500</v>
      </c>
      <c r="K25" s="74"/>
    </row>
    <row r="26" spans="1:11" s="55" customFormat="1" x14ac:dyDescent="0.3">
      <c r="A26" s="76"/>
      <c r="B26" s="76"/>
      <c r="C26" s="72"/>
      <c r="D26" s="72"/>
      <c r="E26" s="72"/>
      <c r="F26" s="72"/>
      <c r="G26" s="72"/>
      <c r="H26" s="72"/>
      <c r="I26" s="72"/>
      <c r="J26" s="73"/>
      <c r="K26" s="74"/>
    </row>
    <row r="27" spans="1:11" x14ac:dyDescent="0.3">
      <c r="A27" s="78"/>
      <c r="B27" s="79" t="s">
        <v>52</v>
      </c>
      <c r="C27" s="79"/>
      <c r="D27" s="80"/>
      <c r="E27" s="80"/>
      <c r="F27" s="80">
        <f>SUM(F13:F25)</f>
        <v>539265.64363816008</v>
      </c>
      <c r="G27" s="80"/>
      <c r="H27" s="80"/>
      <c r="I27" s="80">
        <f>SUM(I13:I25)</f>
        <v>538765.64363816008</v>
      </c>
      <c r="J27" s="82">
        <f>I27-F27</f>
        <v>-500</v>
      </c>
      <c r="K27" s="78"/>
    </row>
  </sheetData>
  <mergeCells count="20">
    <mergeCell ref="K11:K12"/>
    <mergeCell ref="A11:A12"/>
    <mergeCell ref="B11:B12"/>
    <mergeCell ref="C11:C12"/>
    <mergeCell ref="D11:F11"/>
    <mergeCell ref="G11:I11"/>
    <mergeCell ref="J11:J12"/>
    <mergeCell ref="F7:G7"/>
    <mergeCell ref="I7:K7"/>
    <mergeCell ref="A8:F8"/>
    <mergeCell ref="I8:K8"/>
    <mergeCell ref="A9:F9"/>
    <mergeCell ref="I9:K9"/>
    <mergeCell ref="A1:K1"/>
    <mergeCell ref="A2:K2"/>
    <mergeCell ref="A3:K3"/>
    <mergeCell ref="A4:K4"/>
    <mergeCell ref="A5:K5"/>
    <mergeCell ref="C6:D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</vt:lpstr>
      <vt:lpstr>Valuation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2025-10-11T09:46:46Z</dcterms:modified>
</cp:coreProperties>
</file>