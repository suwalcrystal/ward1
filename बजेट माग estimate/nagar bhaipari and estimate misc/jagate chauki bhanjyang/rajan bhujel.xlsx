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chauki bhanjyang" sheetId="13"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'chauki bhanjyang'!$A$1:$K$53</definedName>
    <definedName name="_xlnm.Print_Titles" localSheetId="0">'chauki bhanjyang'!$1:$8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8" i="13" l="1"/>
  <c r="G27" i="13"/>
  <c r="G20" i="13"/>
  <c r="G13" i="13"/>
  <c r="D11" i="13"/>
  <c r="E11" i="13"/>
  <c r="G11" i="13"/>
  <c r="D12" i="13"/>
  <c r="E12" i="13"/>
  <c r="G12" i="13"/>
  <c r="D18" i="13"/>
  <c r="E18" i="13"/>
  <c r="G18" i="13"/>
  <c r="D19" i="13"/>
  <c r="E19" i="13"/>
  <c r="G19" i="13"/>
  <c r="D25" i="13"/>
  <c r="G25" i="13" s="1"/>
  <c r="E25" i="13"/>
  <c r="D26" i="13"/>
  <c r="E26" i="13"/>
  <c r="G26" i="13"/>
  <c r="F35" i="13"/>
  <c r="E35" i="13"/>
  <c r="F37" i="13"/>
  <c r="E37" i="13" s="1"/>
  <c r="G37" i="13" s="1"/>
  <c r="E36" i="13"/>
  <c r="G36" i="13"/>
  <c r="F36" i="13"/>
  <c r="D10" i="13" l="1"/>
  <c r="E24" i="13"/>
  <c r="E17" i="13" s="1"/>
  <c r="D24" i="13"/>
  <c r="D17" i="13" s="1"/>
  <c r="C53" i="13"/>
  <c r="C52" i="13"/>
  <c r="G44" i="13"/>
  <c r="J44" i="13" s="1"/>
  <c r="N35" i="13"/>
  <c r="M35" i="13"/>
  <c r="N24" i="13"/>
  <c r="M24" i="13"/>
  <c r="N17" i="13"/>
  <c r="M17" i="13"/>
  <c r="P17" i="13" s="1"/>
  <c r="B17" i="13"/>
  <c r="B24" i="13" s="1"/>
  <c r="B35" i="13" s="1"/>
  <c r="N10" i="13"/>
  <c r="M10" i="13"/>
  <c r="P10" i="13" s="1"/>
  <c r="E10" i="13"/>
  <c r="G35" i="13" l="1"/>
  <c r="J38" i="13" s="1"/>
  <c r="P24" i="13"/>
  <c r="P35" i="13"/>
  <c r="G10" i="13"/>
  <c r="C50" i="13"/>
  <c r="J39" i="13" l="1"/>
  <c r="J40" i="13"/>
  <c r="J41" i="13"/>
  <c r="J42" i="13"/>
  <c r="G17" i="13"/>
  <c r="G24" i="13"/>
  <c r="J29" i="13" l="1"/>
  <c r="J28" i="13"/>
  <c r="J31" i="13"/>
  <c r="J27" i="13"/>
  <c r="J32" i="13"/>
  <c r="J30" i="13"/>
  <c r="J20" i="13"/>
  <c r="J21" i="13"/>
  <c r="J14" i="13"/>
  <c r="J13" i="13"/>
  <c r="J46" i="13" l="1"/>
  <c r="C48" i="13" s="1"/>
  <c r="E50" i="13" s="1"/>
  <c r="E51" i="13" s="1"/>
  <c r="C51" i="13" l="1"/>
</calcChain>
</file>

<file path=xl/sharedStrings.xml><?xml version="1.0" encoding="utf-8"?>
<sst xmlns="http://schemas.openxmlformats.org/spreadsheetml/2006/main" count="53" uniqueCount="44">
  <si>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</si>
  <si>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</si>
  <si>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</si>
  <si>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</si>
  <si>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</si>
  <si>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</si>
  <si>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</si>
  <si>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</si>
  <si>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</si>
  <si>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</si>
  <si>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</si>
  <si>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</si>
  <si>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</si>
  <si>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</si>
  <si>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</si>
  <si>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</si>
  <si>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</si>
  <si>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</si>
  <si>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</si>
  <si>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</si>
  <si>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</si>
  <si>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</si>
  <si>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</si>
  <si>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-13% VAT for materials</t>
  </si>
  <si>
    <t>Budget allocated</t>
  </si>
  <si>
    <t>Municipal payment</t>
  </si>
  <si>
    <t xml:space="preserve">Contingencies </t>
  </si>
  <si>
    <t xml:space="preserve">Maintanince </t>
  </si>
  <si>
    <t>F.Y.: 2082/2083</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</si>
  <si>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</si>
  <si>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</si>
  <si>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</si>
  <si>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</si>
  <si>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</si>
  <si>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</si>
  <si>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-13% VAT for water</t>
  </si>
  <si>
    <t>User contribution</t>
  </si>
  <si>
    <t>-for plum wall</t>
  </si>
  <si>
    <t>Providing and laying Plum concrete ( Boulder mixed concrete) including form work and 110mm dia PN6 HDPE pipe for Weep hole as per Drawing and Specifications, 60% M 15  concrete and 40% boulders/stones, using Mechanical Aids</t>
  </si>
  <si>
    <t>-13% VAT for boulder</t>
  </si>
  <si>
    <t>-13% VAT for aggregates</t>
  </si>
  <si>
    <t>Project:-Baghdhara pahiro samrakxan</t>
  </si>
  <si>
    <t>Date: 2082/08/08</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</si>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</sst>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0">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tabSelected="1" view="pageBreakPreview" topLeftCell="A38" zoomScale="95" zoomScaleNormal="90" zoomScaleSheetLayoutView="95" workbookViewId="0">
      <selection activeCell="E60" sqref="E60"/>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46" t="s">
        <v>0</v>
      </c>
      <c r="B1" s="46"/>
      <c r="C1" s="46"/>
      <c r="D1" s="46"/>
      <c r="E1" s="46"/>
      <c r="F1" s="46"/>
      <c r="G1" s="46"/>
      <c r="H1" s="46"/>
      <c r="I1" s="46"/>
      <c r="J1" s="46"/>
      <c r="K1" s="46"/>
    </row>
    <row r="2" spans="1:16" ht="22.8" x14ac:dyDescent="0.3">
      <c r="A2" s="47" t="s">
        <v>1</v>
      </c>
      <c r="B2" s="47"/>
      <c r="C2" s="47"/>
      <c r="D2" s="47"/>
      <c r="E2" s="47"/>
      <c r="F2" s="47"/>
      <c r="G2" s="47"/>
      <c r="H2" s="47"/>
      <c r="I2" s="47"/>
      <c r="J2" s="47"/>
      <c r="K2" s="47"/>
    </row>
    <row r="3" spans="1:16" x14ac:dyDescent="0.3">
      <c r="A3" s="48" t="s">
        <v>2</v>
      </c>
      <c r="B3" s="48"/>
      <c r="C3" s="48"/>
      <c r="D3" s="48"/>
      <c r="E3" s="48"/>
      <c r="F3" s="48"/>
      <c r="G3" s="48"/>
      <c r="H3" s="48"/>
      <c r="I3" s="48"/>
      <c r="J3" s="48"/>
      <c r="K3" s="48"/>
    </row>
    <row r="4" spans="1:16" x14ac:dyDescent="0.3">
      <c r="A4" s="48" t="s">
        <v>3</v>
      </c>
      <c r="B4" s="48"/>
      <c r="C4" s="48"/>
      <c r="D4" s="48"/>
      <c r="E4" s="48"/>
      <c r="F4" s="48"/>
      <c r="G4" s="48"/>
      <c r="H4" s="48"/>
      <c r="I4" s="48"/>
      <c r="J4" s="48"/>
      <c r="K4" s="48"/>
    </row>
    <row r="5" spans="1:16" ht="17.399999999999999" x14ac:dyDescent="0.3">
      <c r="A5" s="49" t="s">
        <v>4</v>
      </c>
      <c r="B5" s="49"/>
      <c r="C5" s="49"/>
      <c r="D5" s="49"/>
      <c r="E5" s="49"/>
      <c r="F5" s="49"/>
      <c r="G5" s="49"/>
      <c r="H5" s="49"/>
      <c r="I5" s="49"/>
      <c r="J5" s="49"/>
      <c r="K5" s="49"/>
    </row>
    <row r="6" spans="1:16" ht="15.6" x14ac:dyDescent="0.3">
      <c r="A6" s="44" t="s">
        <v>41</v>
      </c>
      <c r="B6" s="44"/>
      <c r="C6" s="44"/>
      <c r="D6" s="44"/>
      <c r="E6" s="44"/>
      <c r="F6" s="44"/>
      <c r="G6" s="10"/>
      <c r="H6" s="45" t="s">
        <v>28</v>
      </c>
      <c r="I6" s="45"/>
      <c r="J6" s="45"/>
      <c r="K6" s="45"/>
    </row>
    <row r="7" spans="1:16" ht="15.6" x14ac:dyDescent="0.3">
      <c r="A7" s="39" t="s">
        <v>5</v>
      </c>
      <c r="B7" s="39"/>
      <c r="C7" s="39"/>
      <c r="D7" s="39"/>
      <c r="E7" s="39"/>
      <c r="F7" s="39"/>
      <c r="G7" s="11"/>
      <c r="H7" s="40" t="s">
        <v>42</v>
      </c>
      <c r="I7" s="40"/>
      <c r="J7" s="40"/>
      <c r="K7" s="40"/>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71.6" x14ac:dyDescent="0.3">
      <c r="A9" s="16">
        <v>1</v>
      </c>
      <c r="B9" s="35" t="s">
        <v>43</v>
      </c>
      <c r="C9" s="17"/>
      <c r="D9" s="17"/>
      <c r="E9" s="17"/>
      <c r="F9" s="17"/>
      <c r="G9" s="17"/>
      <c r="H9" s="17"/>
      <c r="I9" s="17"/>
      <c r="J9" s="17"/>
      <c r="K9" s="17"/>
    </row>
    <row r="10" spans="1:16" x14ac:dyDescent="0.3">
      <c r="A10" s="16"/>
      <c r="B10" s="32" t="s">
        <v>37</v>
      </c>
      <c r="C10" s="17">
        <v>0.5</v>
      </c>
      <c r="D10" s="33">
        <f>D35</f>
        <v>12</v>
      </c>
      <c r="E10" s="33">
        <f>F35/2</f>
        <v>1.6001219140505942</v>
      </c>
      <c r="F10" s="33">
        <v>1</v>
      </c>
      <c r="G10" s="33">
        <f>PRODUCT(C10:F10)</f>
        <v>9.6007314843035658</v>
      </c>
      <c r="H10" s="17"/>
      <c r="I10" s="17"/>
      <c r="J10" s="17"/>
      <c r="K10" s="17"/>
      <c r="M10" s="33">
        <f>7</f>
        <v>7</v>
      </c>
      <c r="N10" s="33">
        <f>2</f>
        <v>2</v>
      </c>
      <c r="O10" s="33"/>
      <c r="P10" s="33">
        <f>PI()*M10*SQRT(M10^2+N10^2)</f>
        <v>160.09797821843054</v>
      </c>
    </row>
    <row r="11" spans="1:16" x14ac:dyDescent="0.3">
      <c r="A11" s="16"/>
      <c r="B11" s="32"/>
      <c r="C11" s="17">
        <v>0.5</v>
      </c>
      <c r="D11" s="33">
        <f t="shared" ref="D11:D12" si="0">D36</f>
        <v>8.5</v>
      </c>
      <c r="E11" s="33">
        <f t="shared" ref="E11:E12" si="1">F36/2</f>
        <v>1.3715330691862238</v>
      </c>
      <c r="F11" s="33">
        <v>1</v>
      </c>
      <c r="G11" s="33">
        <f t="shared" ref="G11:G12" si="2">PRODUCT(C11:F11)</f>
        <v>5.8290155440414511</v>
      </c>
      <c r="H11" s="17"/>
      <c r="I11" s="17"/>
      <c r="J11" s="17"/>
      <c r="K11" s="17"/>
      <c r="M11" s="36"/>
      <c r="N11" s="36"/>
      <c r="O11" s="36"/>
      <c r="P11" s="36"/>
    </row>
    <row r="12" spans="1:16" x14ac:dyDescent="0.3">
      <c r="A12" s="16"/>
      <c r="B12" s="32"/>
      <c r="C12" s="17">
        <v>0.5</v>
      </c>
      <c r="D12" s="33">
        <f t="shared" si="0"/>
        <v>6.5</v>
      </c>
      <c r="E12" s="33">
        <f t="shared" si="1"/>
        <v>0.99055166107893933</v>
      </c>
      <c r="F12" s="33">
        <v>1</v>
      </c>
      <c r="G12" s="33">
        <f t="shared" si="2"/>
        <v>3.219292898506553</v>
      </c>
      <c r="H12" s="17"/>
      <c r="I12" s="17"/>
      <c r="J12" s="17"/>
      <c r="K12" s="17"/>
      <c r="M12" s="36"/>
      <c r="N12" s="36"/>
      <c r="O12" s="36"/>
      <c r="P12" s="36"/>
    </row>
    <row r="13" spans="1:16" ht="15" customHeight="1" x14ac:dyDescent="0.3">
      <c r="A13" s="2"/>
      <c r="B13" s="34" t="s">
        <v>17</v>
      </c>
      <c r="C13" s="3"/>
      <c r="D13" s="4"/>
      <c r="E13" s="5"/>
      <c r="F13" s="5"/>
      <c r="G13" s="6">
        <f>SUM(G10:G12)</f>
        <v>18.649039926851568</v>
      </c>
      <c r="H13" s="7" t="s">
        <v>18</v>
      </c>
      <c r="I13" s="6">
        <v>62.95</v>
      </c>
      <c r="J13" s="18">
        <f>G13*I13</f>
        <v>1173.9570633953062</v>
      </c>
      <c r="K13" s="5"/>
    </row>
    <row r="14" spans="1:16" x14ac:dyDescent="0.3">
      <c r="A14" s="16"/>
      <c r="B14" s="32" t="s">
        <v>23</v>
      </c>
      <c r="C14" s="17"/>
      <c r="D14" s="17"/>
      <c r="E14" s="17"/>
      <c r="F14" s="17"/>
      <c r="G14" s="17"/>
      <c r="H14" s="17"/>
      <c r="I14" s="17"/>
      <c r="J14" s="18">
        <f>0.13*G13*(18612)/360</f>
        <v>125.3401973483694</v>
      </c>
      <c r="K14" s="17"/>
    </row>
    <row r="15" spans="1:16" x14ac:dyDescent="0.3">
      <c r="A15" s="16"/>
      <c r="B15" s="17"/>
      <c r="C15" s="17"/>
      <c r="D15" s="17"/>
      <c r="E15" s="17"/>
      <c r="F15" s="17"/>
      <c r="G15" s="17"/>
      <c r="H15" s="17"/>
      <c r="I15" s="17"/>
      <c r="J15" s="17"/>
      <c r="K15" s="17"/>
    </row>
    <row r="16" spans="1:16" ht="109.2" x14ac:dyDescent="0.3">
      <c r="A16" s="16">
        <v>2</v>
      </c>
      <c r="B16" s="35" t="s">
        <v>29</v>
      </c>
      <c r="C16" s="17"/>
      <c r="D16" s="17"/>
      <c r="E16" s="17"/>
      <c r="F16" s="17"/>
      <c r="G16" s="17"/>
      <c r="H16" s="17"/>
      <c r="I16" s="17"/>
      <c r="J16" s="17"/>
      <c r="K16" s="17"/>
    </row>
    <row r="17" spans="1:16" x14ac:dyDescent="0.3">
      <c r="A17" s="16"/>
      <c r="B17" s="32" t="str">
        <f>B10</f>
        <v>-for plum wall</v>
      </c>
      <c r="C17" s="17">
        <v>1</v>
      </c>
      <c r="D17" s="33">
        <f>D24</f>
        <v>12</v>
      </c>
      <c r="E17" s="33">
        <f>E24</f>
        <v>1.6001219140505942</v>
      </c>
      <c r="F17" s="33">
        <v>0.15</v>
      </c>
      <c r="G17" s="33">
        <f>PRODUCT(C17:F17)</f>
        <v>2.8802194452910697</v>
      </c>
      <c r="H17" s="17"/>
      <c r="I17" s="17"/>
      <c r="J17" s="17"/>
      <c r="K17" s="17"/>
      <c r="M17" s="33">
        <f>7</f>
        <v>7</v>
      </c>
      <c r="N17" s="33">
        <f>2</f>
        <v>2</v>
      </c>
      <c r="O17" s="33"/>
      <c r="P17" s="33">
        <f>PI()*M17*SQRT(M17^2+N17^2)</f>
        <v>160.09797821843054</v>
      </c>
    </row>
    <row r="18" spans="1:16" x14ac:dyDescent="0.3">
      <c r="A18" s="16"/>
      <c r="B18" s="32"/>
      <c r="C18" s="17">
        <v>1</v>
      </c>
      <c r="D18" s="33">
        <f t="shared" ref="D18:E18" si="3">D25</f>
        <v>8.5</v>
      </c>
      <c r="E18" s="33">
        <f t="shared" si="3"/>
        <v>1.3715330691862238</v>
      </c>
      <c r="F18" s="33">
        <v>0.15</v>
      </c>
      <c r="G18" s="33">
        <f t="shared" ref="G18:G19" si="4">PRODUCT(C18:F18)</f>
        <v>1.7487046632124352</v>
      </c>
      <c r="H18" s="17"/>
      <c r="I18" s="17"/>
      <c r="J18" s="17"/>
      <c r="K18" s="17"/>
      <c r="M18" s="36"/>
      <c r="N18" s="36"/>
      <c r="O18" s="36"/>
      <c r="P18" s="36"/>
    </row>
    <row r="19" spans="1:16" x14ac:dyDescent="0.3">
      <c r="A19" s="16"/>
      <c r="B19" s="32"/>
      <c r="C19" s="17">
        <v>1</v>
      </c>
      <c r="D19" s="33">
        <f t="shared" ref="D19:E19" si="5">D26</f>
        <v>6.5</v>
      </c>
      <c r="E19" s="33">
        <f t="shared" si="5"/>
        <v>0.99055166107893933</v>
      </c>
      <c r="F19" s="33">
        <v>0.15</v>
      </c>
      <c r="G19" s="33">
        <f t="shared" si="4"/>
        <v>0.96578786955196583</v>
      </c>
      <c r="H19" s="17"/>
      <c r="I19" s="17"/>
      <c r="J19" s="17"/>
      <c r="K19" s="17"/>
      <c r="M19" s="36"/>
      <c r="N19" s="36"/>
      <c r="O19" s="36"/>
      <c r="P19" s="36"/>
    </row>
    <row r="20" spans="1:16" ht="15" customHeight="1" x14ac:dyDescent="0.3">
      <c r="A20" s="2"/>
      <c r="B20" s="34" t="s">
        <v>17</v>
      </c>
      <c r="C20" s="3"/>
      <c r="D20" s="4"/>
      <c r="E20" s="5"/>
      <c r="F20" s="5"/>
      <c r="G20" s="6">
        <f>SUM(G17:G19)</f>
        <v>5.5947119780554706</v>
      </c>
      <c r="H20" s="7" t="s">
        <v>18</v>
      </c>
      <c r="I20" s="6">
        <v>4458.5200000000004</v>
      </c>
      <c r="J20" s="18">
        <f>G20*I20</f>
        <v>24944.135248399878</v>
      </c>
      <c r="K20" s="5"/>
    </row>
    <row r="21" spans="1:16" x14ac:dyDescent="0.3">
      <c r="A21" s="16"/>
      <c r="B21" s="32" t="s">
        <v>23</v>
      </c>
      <c r="C21" s="17"/>
      <c r="D21" s="17"/>
      <c r="E21" s="17"/>
      <c r="F21" s="17"/>
      <c r="G21" s="17"/>
      <c r="H21" s="17"/>
      <c r="I21" s="17"/>
      <c r="J21" s="18">
        <f>0.13*G20*(14817.6)/5</f>
        <v>2155.4053093569032</v>
      </c>
      <c r="K21" s="17"/>
    </row>
    <row r="22" spans="1:16" x14ac:dyDescent="0.3">
      <c r="A22" s="16"/>
      <c r="B22" s="17"/>
      <c r="C22" s="17"/>
      <c r="D22" s="17"/>
      <c r="E22" s="17"/>
      <c r="F22" s="17"/>
      <c r="G22" s="17"/>
      <c r="H22" s="17"/>
      <c r="I22" s="17"/>
      <c r="J22" s="17"/>
      <c r="K22" s="17"/>
    </row>
    <row r="23" spans="1:16" ht="78" x14ac:dyDescent="0.3">
      <c r="A23" s="16">
        <v>3</v>
      </c>
      <c r="B23" s="35" t="s">
        <v>30</v>
      </c>
      <c r="C23" s="17"/>
      <c r="D23" s="17"/>
      <c r="E23" s="17"/>
      <c r="F23" s="17"/>
      <c r="G23" s="17"/>
      <c r="H23" s="17"/>
      <c r="I23" s="17"/>
      <c r="J23" s="17"/>
      <c r="K23" s="17"/>
    </row>
    <row r="24" spans="1:16" x14ac:dyDescent="0.3">
      <c r="A24" s="16"/>
      <c r="B24" s="32" t="str">
        <f>B17</f>
        <v>-for plum wall</v>
      </c>
      <c r="C24" s="17">
        <v>1</v>
      </c>
      <c r="D24" s="33">
        <f>D35</f>
        <v>12</v>
      </c>
      <c r="E24" s="33">
        <f>F35/2</f>
        <v>1.6001219140505942</v>
      </c>
      <c r="F24" s="33">
        <v>0.05</v>
      </c>
      <c r="G24" s="33">
        <f>PRODUCT(C24:F24)</f>
        <v>0.96007314843035663</v>
      </c>
      <c r="H24" s="17"/>
      <c r="I24" s="17"/>
      <c r="J24" s="17"/>
      <c r="K24" s="17"/>
      <c r="M24" s="33">
        <f>7</f>
        <v>7</v>
      </c>
      <c r="N24" s="33">
        <f>2</f>
        <v>2</v>
      </c>
      <c r="O24" s="33"/>
      <c r="P24" s="33">
        <f>PI()*M24*SQRT(M24^2+N24^2)</f>
        <v>160.09797821843054</v>
      </c>
    </row>
    <row r="25" spans="1:16" x14ac:dyDescent="0.3">
      <c r="A25" s="16"/>
      <c r="B25" s="32"/>
      <c r="C25" s="17">
        <v>1</v>
      </c>
      <c r="D25" s="33">
        <f t="shared" ref="D25:D26" si="6">D36</f>
        <v>8.5</v>
      </c>
      <c r="E25" s="33">
        <f t="shared" ref="E25:E26" si="7">F36/2</f>
        <v>1.3715330691862238</v>
      </c>
      <c r="F25" s="33">
        <v>0.05</v>
      </c>
      <c r="G25" s="33">
        <f t="shared" ref="G25:G26" si="8">PRODUCT(C25:F25)</f>
        <v>0.58290155440414515</v>
      </c>
      <c r="H25" s="17"/>
      <c r="I25" s="17"/>
      <c r="J25" s="17"/>
      <c r="K25" s="17"/>
      <c r="M25" s="36"/>
      <c r="N25" s="36"/>
      <c r="O25" s="36"/>
      <c r="P25" s="36"/>
    </row>
    <row r="26" spans="1:16" x14ac:dyDescent="0.3">
      <c r="A26" s="16"/>
      <c r="B26" s="32"/>
      <c r="C26" s="17">
        <v>1</v>
      </c>
      <c r="D26" s="33">
        <f t="shared" si="6"/>
        <v>6.5</v>
      </c>
      <c r="E26" s="33">
        <f t="shared" si="7"/>
        <v>0.99055166107893933</v>
      </c>
      <c r="F26" s="33">
        <v>0.05</v>
      </c>
      <c r="G26" s="33">
        <f t="shared" si="8"/>
        <v>0.32192928985065533</v>
      </c>
      <c r="H26" s="17"/>
      <c r="I26" s="17"/>
      <c r="J26" s="17"/>
      <c r="K26" s="17"/>
      <c r="M26" s="36"/>
      <c r="N26" s="36"/>
      <c r="O26" s="36"/>
      <c r="P26" s="36"/>
    </row>
    <row r="27" spans="1:16" ht="15" customHeight="1" x14ac:dyDescent="0.3">
      <c r="A27" s="2"/>
      <c r="B27" s="34" t="s">
        <v>17</v>
      </c>
      <c r="C27" s="3"/>
      <c r="D27" s="4"/>
      <c r="E27" s="5"/>
      <c r="F27" s="5"/>
      <c r="G27" s="6">
        <f>SUM(G24:G26)</f>
        <v>1.8649039926851572</v>
      </c>
      <c r="H27" s="7" t="s">
        <v>18</v>
      </c>
      <c r="I27" s="6">
        <v>10964.46</v>
      </c>
      <c r="J27" s="18">
        <f>G27*I27</f>
        <v>20447.665231636696</v>
      </c>
      <c r="K27" s="5"/>
    </row>
    <row r="28" spans="1:16" x14ac:dyDescent="0.3">
      <c r="A28" s="16"/>
      <c r="B28" s="32" t="s">
        <v>31</v>
      </c>
      <c r="C28" s="17"/>
      <c r="D28" s="17"/>
      <c r="E28" s="17"/>
      <c r="F28" s="17"/>
      <c r="G28" s="17"/>
      <c r="H28" s="17"/>
      <c r="I28" s="17"/>
      <c r="J28" s="18">
        <f>0.13*G27*(53818.03)/15</f>
        <v>869.83397822056281</v>
      </c>
      <c r="K28" s="17"/>
    </row>
    <row r="29" spans="1:16" x14ac:dyDescent="0.3">
      <c r="A29" s="16"/>
      <c r="B29" s="32" t="s">
        <v>32</v>
      </c>
      <c r="C29" s="17"/>
      <c r="D29" s="17"/>
      <c r="E29" s="17"/>
      <c r="F29" s="17"/>
      <c r="G29" s="17"/>
      <c r="H29" s="17"/>
      <c r="I29" s="17"/>
      <c r="J29" s="18">
        <f>0.13*G27*(21432.6)/15</f>
        <v>346.40442471807376</v>
      </c>
      <c r="K29" s="17"/>
    </row>
    <row r="30" spans="1:16" x14ac:dyDescent="0.3">
      <c r="A30" s="16"/>
      <c r="B30" s="32" t="s">
        <v>33</v>
      </c>
      <c r="C30" s="17"/>
      <c r="D30" s="17"/>
      <c r="E30" s="17"/>
      <c r="F30" s="17"/>
      <c r="G30" s="17"/>
      <c r="H30" s="17"/>
      <c r="I30" s="17"/>
      <c r="J30" s="18">
        <f>0.13*G27*(25719.12+13573.98+4286.52)/15</f>
        <v>704.35566359341658</v>
      </c>
      <c r="K30" s="17"/>
    </row>
    <row r="31" spans="1:16" x14ac:dyDescent="0.3">
      <c r="A31" s="16"/>
      <c r="B31" s="32" t="s">
        <v>34</v>
      </c>
      <c r="C31" s="17"/>
      <c r="D31" s="17"/>
      <c r="E31" s="17"/>
      <c r="F31" s="17"/>
      <c r="G31" s="17"/>
      <c r="H31" s="17"/>
      <c r="I31" s="17"/>
      <c r="J31" s="18">
        <f>0.13*G27*(6325.7)/15</f>
        <v>102.23913428324698</v>
      </c>
      <c r="K31" s="17"/>
    </row>
    <row r="32" spans="1:16" x14ac:dyDescent="0.3">
      <c r="A32" s="16"/>
      <c r="B32" s="32" t="s">
        <v>35</v>
      </c>
      <c r="C32" s="17"/>
      <c r="D32" s="17"/>
      <c r="E32" s="17"/>
      <c r="F32" s="17"/>
      <c r="G32" s="17"/>
      <c r="H32" s="17"/>
      <c r="I32" s="17"/>
      <c r="J32" s="18">
        <f>0.13*G27*(310)/5</f>
        <v>15.031126181042367</v>
      </c>
      <c r="K32" s="17"/>
    </row>
    <row r="33" spans="1:19" x14ac:dyDescent="0.3">
      <c r="A33" s="16"/>
      <c r="B33" s="17"/>
      <c r="C33" s="17"/>
      <c r="D33" s="17"/>
      <c r="E33" s="17"/>
      <c r="F33" s="17"/>
      <c r="G33" s="17"/>
      <c r="H33" s="17"/>
      <c r="I33" s="17"/>
      <c r="J33" s="17"/>
      <c r="K33" s="17"/>
    </row>
    <row r="34" spans="1:19" ht="140.4" x14ac:dyDescent="0.3">
      <c r="A34" s="16">
        <v>4</v>
      </c>
      <c r="B34" s="35" t="s">
        <v>38</v>
      </c>
      <c r="C34" s="17"/>
      <c r="D34" s="17"/>
      <c r="E34" s="17"/>
      <c r="F34" s="17"/>
      <c r="G34" s="17"/>
      <c r="H34" s="17"/>
      <c r="I34" s="17"/>
      <c r="J34" s="17"/>
      <c r="K34" s="17"/>
    </row>
    <row r="35" spans="1:19" x14ac:dyDescent="0.3">
      <c r="A35" s="16"/>
      <c r="B35" s="32" t="str">
        <f>B24</f>
        <v>-for plum wall</v>
      </c>
      <c r="C35" s="17">
        <v>1</v>
      </c>
      <c r="D35" s="33">
        <v>12</v>
      </c>
      <c r="E35" s="33">
        <f>((F35/2)+0.45)/2</f>
        <v>1.0250609570252971</v>
      </c>
      <c r="F35" s="33">
        <f>(7.5+3)/3.281</f>
        <v>3.2002438281011885</v>
      </c>
      <c r="G35" s="33">
        <f>PRODUCT(C35:F35)</f>
        <v>39.365340013772453</v>
      </c>
      <c r="H35" s="17"/>
      <c r="I35" s="17"/>
      <c r="J35" s="17"/>
      <c r="K35" s="17"/>
      <c r="M35" s="33">
        <f>7</f>
        <v>7</v>
      </c>
      <c r="N35" s="33">
        <f>2</f>
        <v>2</v>
      </c>
      <c r="O35" s="33"/>
      <c r="P35" s="33">
        <f>PI()*M35*SQRT(M35^2+N35^2)</f>
        <v>160.09797821843054</v>
      </c>
    </row>
    <row r="36" spans="1:19" x14ac:dyDescent="0.3">
      <c r="A36" s="16"/>
      <c r="B36" s="32"/>
      <c r="C36" s="17">
        <v>1</v>
      </c>
      <c r="D36" s="33">
        <v>8.5</v>
      </c>
      <c r="E36" s="33">
        <f>((F36/2)+0.45)/2</f>
        <v>0.91076653459311185</v>
      </c>
      <c r="F36" s="33">
        <f>(6+3)/3.281</f>
        <v>2.7430661383724475</v>
      </c>
      <c r="G36" s="33">
        <f>PRODUCT(C36:F36)</f>
        <v>21.235489148544058</v>
      </c>
      <c r="H36" s="17"/>
      <c r="I36" s="17"/>
      <c r="J36" s="17"/>
      <c r="K36" s="17"/>
      <c r="M36" s="36"/>
      <c r="N36" s="36"/>
      <c r="O36" s="36"/>
      <c r="P36" s="36"/>
    </row>
    <row r="37" spans="1:19" x14ac:dyDescent="0.3">
      <c r="A37" s="16"/>
      <c r="B37" s="32"/>
      <c r="C37" s="17">
        <v>1</v>
      </c>
      <c r="D37" s="33">
        <v>6.5</v>
      </c>
      <c r="E37" s="33">
        <f>((F37/2)+0.45)/2</f>
        <v>0.72027583053946964</v>
      </c>
      <c r="F37" s="33">
        <f>(3.5+3)/3.281</f>
        <v>1.9811033221578787</v>
      </c>
      <c r="G37" s="33">
        <f>PRODUCT(C37:F37)</f>
        <v>9.2751154648864951</v>
      </c>
      <c r="H37" s="17"/>
      <c r="I37" s="17"/>
      <c r="J37" s="17"/>
      <c r="K37" s="17"/>
      <c r="M37" s="36"/>
      <c r="N37" s="36"/>
      <c r="O37" s="36"/>
      <c r="P37" s="36"/>
    </row>
    <row r="38" spans="1:19" ht="15" customHeight="1" x14ac:dyDescent="0.3">
      <c r="A38" s="2"/>
      <c r="B38" s="34" t="s">
        <v>17</v>
      </c>
      <c r="C38" s="3"/>
      <c r="D38" s="4"/>
      <c r="E38" s="5"/>
      <c r="F38" s="5"/>
      <c r="G38" s="6">
        <f>SUM(G35:G37)</f>
        <v>69.875944627203012</v>
      </c>
      <c r="H38" s="7" t="s">
        <v>18</v>
      </c>
      <c r="I38" s="6">
        <v>9860.43</v>
      </c>
      <c r="J38" s="18">
        <f>G38*I38</f>
        <v>689006.86068041145</v>
      </c>
      <c r="K38" s="5"/>
    </row>
    <row r="39" spans="1:19" x14ac:dyDescent="0.3">
      <c r="A39" s="16"/>
      <c r="B39" s="32" t="s">
        <v>31</v>
      </c>
      <c r="C39" s="17"/>
      <c r="D39" s="17"/>
      <c r="E39" s="17"/>
      <c r="F39" s="17"/>
      <c r="G39" s="17"/>
      <c r="H39" s="17"/>
      <c r="I39" s="17"/>
      <c r="J39" s="18">
        <f>0.13*G38*(22152.7)/10</f>
        <v>20123.230901059527</v>
      </c>
      <c r="K39" s="17"/>
    </row>
    <row r="40" spans="1:19" x14ac:dyDescent="0.3">
      <c r="A40" s="16"/>
      <c r="B40" s="32" t="s">
        <v>32</v>
      </c>
      <c r="C40" s="17"/>
      <c r="D40" s="17"/>
      <c r="E40" s="17"/>
      <c r="F40" s="17"/>
      <c r="G40" s="17"/>
      <c r="H40" s="17"/>
      <c r="I40" s="17"/>
      <c r="J40" s="18">
        <f>0.13*G38*(9525.6)/10</f>
        <v>8652.9338758315062</v>
      </c>
      <c r="K40" s="17"/>
    </row>
    <row r="41" spans="1:19" x14ac:dyDescent="0.3">
      <c r="A41" s="16"/>
      <c r="B41" s="32" t="s">
        <v>39</v>
      </c>
      <c r="C41" s="17"/>
      <c r="D41" s="17"/>
      <c r="E41" s="17"/>
      <c r="F41" s="17"/>
      <c r="G41" s="17"/>
      <c r="H41" s="17"/>
      <c r="I41" s="17"/>
      <c r="J41" s="18">
        <f>0.13*G38*(11331.936)/10</f>
        <v>10293.78652191511</v>
      </c>
      <c r="K41" s="17"/>
    </row>
    <row r="42" spans="1:19" x14ac:dyDescent="0.3">
      <c r="A42" s="16"/>
      <c r="B42" s="32" t="s">
        <v>40</v>
      </c>
      <c r="C42" s="17"/>
      <c r="D42" s="17"/>
      <c r="E42" s="17"/>
      <c r="F42" s="17"/>
      <c r="G42" s="17"/>
      <c r="H42" s="17"/>
      <c r="I42" s="17"/>
      <c r="J42" s="18">
        <f>0.13*G38*(10954.44+5228.496+2286.144)/10</f>
        <v>16777.077348139977</v>
      </c>
      <c r="K42" s="17"/>
    </row>
    <row r="43" spans="1:19" x14ac:dyDescent="0.3">
      <c r="A43" s="16"/>
      <c r="B43" s="17"/>
      <c r="C43" s="17"/>
      <c r="D43" s="17"/>
      <c r="E43" s="17"/>
      <c r="F43" s="17"/>
      <c r="G43" s="17"/>
      <c r="H43" s="17"/>
      <c r="I43" s="17"/>
      <c r="J43" s="17"/>
      <c r="K43" s="17"/>
    </row>
    <row r="44" spans="1:19" ht="15" customHeight="1" x14ac:dyDescent="0.3">
      <c r="A44" s="2">
        <v>5</v>
      </c>
      <c r="B44" s="1" t="s">
        <v>19</v>
      </c>
      <c r="C44" s="3">
        <v>1</v>
      </c>
      <c r="D44" s="4"/>
      <c r="E44" s="5"/>
      <c r="F44" s="5"/>
      <c r="G44" s="7">
        <f t="shared" ref="G44" si="9">PRODUCT(C44:F44)</f>
        <v>1</v>
      </c>
      <c r="H44" s="7" t="s">
        <v>20</v>
      </c>
      <c r="I44" s="6">
        <v>500</v>
      </c>
      <c r="J44" s="7">
        <f>G44*I44</f>
        <v>500</v>
      </c>
      <c r="K44" s="5"/>
    </row>
    <row r="45" spans="1:19" x14ac:dyDescent="0.3">
      <c r="A45" s="2"/>
      <c r="B45" s="8"/>
      <c r="C45" s="3"/>
      <c r="D45" s="4"/>
      <c r="E45" s="5"/>
      <c r="F45" s="5"/>
      <c r="G45" s="6"/>
      <c r="H45" s="7"/>
      <c r="I45" s="6"/>
      <c r="J45" s="18"/>
      <c r="K45" s="5"/>
    </row>
    <row r="46" spans="1:19" x14ac:dyDescent="0.3">
      <c r="A46" s="21"/>
      <c r="B46" s="22" t="s">
        <v>22</v>
      </c>
      <c r="C46" s="23"/>
      <c r="D46" s="24"/>
      <c r="E46" s="24"/>
      <c r="F46" s="24"/>
      <c r="G46" s="18"/>
      <c r="H46" s="18"/>
      <c r="I46" s="18"/>
      <c r="J46" s="18">
        <f>SUM(J9:J44)</f>
        <v>796238.2567044911</v>
      </c>
      <c r="K46" s="25"/>
    </row>
    <row r="47" spans="1:19" x14ac:dyDescent="0.3">
      <c r="M47" s="20"/>
      <c r="N47" s="20"/>
      <c r="O47" s="20"/>
      <c r="P47" s="20"/>
      <c r="Q47" s="20"/>
      <c r="R47" s="20"/>
      <c r="S47" s="20"/>
    </row>
    <row r="48" spans="1:19" s="20" customFormat="1" x14ac:dyDescent="0.3">
      <c r="A48" s="26"/>
      <c r="B48" s="27" t="s">
        <v>21</v>
      </c>
      <c r="C48" s="37">
        <f>J46</f>
        <v>796238.2567044911</v>
      </c>
      <c r="D48" s="38"/>
      <c r="E48" s="9">
        <v>100</v>
      </c>
      <c r="F48" s="26"/>
      <c r="G48" s="28"/>
      <c r="H48" s="26"/>
      <c r="I48" s="29"/>
      <c r="J48" s="30"/>
      <c r="K48" s="31"/>
      <c r="M48" s="19"/>
      <c r="N48" s="19"/>
      <c r="O48" s="19"/>
      <c r="P48" s="19"/>
      <c r="Q48" s="19"/>
      <c r="R48" s="19"/>
      <c r="S48" s="19"/>
    </row>
    <row r="49" spans="2:5" x14ac:dyDescent="0.3">
      <c r="B49" s="27" t="s">
        <v>24</v>
      </c>
      <c r="C49" s="41">
        <v>700000</v>
      </c>
      <c r="D49" s="42"/>
      <c r="E49" s="9"/>
    </row>
    <row r="50" spans="2:5" x14ac:dyDescent="0.3">
      <c r="B50" s="27" t="s">
        <v>25</v>
      </c>
      <c r="C50" s="41">
        <f>C49-C52-C53</f>
        <v>665000</v>
      </c>
      <c r="D50" s="42"/>
      <c r="E50" s="9">
        <f>C50/C48*100</f>
        <v>83.517715256779269</v>
      </c>
    </row>
    <row r="51" spans="2:5" x14ac:dyDescent="0.3">
      <c r="B51" s="27" t="s">
        <v>36</v>
      </c>
      <c r="C51" s="43">
        <f>C48-C50</f>
        <v>131238.2567044911</v>
      </c>
      <c r="D51" s="43"/>
      <c r="E51" s="9">
        <f>100-E50</f>
        <v>16.482284743220731</v>
      </c>
    </row>
    <row r="52" spans="2:5" x14ac:dyDescent="0.3">
      <c r="B52" s="27" t="s">
        <v>26</v>
      </c>
      <c r="C52" s="37">
        <f>C49*0.03</f>
        <v>21000</v>
      </c>
      <c r="D52" s="38"/>
      <c r="E52" s="9">
        <v>3</v>
      </c>
    </row>
    <row r="53" spans="2:5" x14ac:dyDescent="0.3">
      <c r="B53" s="27" t="s">
        <v>27</v>
      </c>
      <c r="C53" s="37">
        <f>C49*0.02</f>
        <v>14000</v>
      </c>
      <c r="D53" s="38"/>
      <c r="E53" s="9">
        <v>2</v>
      </c>
    </row>
  </sheetData>
  <mergeCells count="15">
    <mergeCell ref="A6:F6"/>
    <mergeCell ref="H6:K6"/>
    <mergeCell ref="A1:K1"/>
    <mergeCell ref="A2:K2"/>
    <mergeCell ref="A3:K3"/>
    <mergeCell ref="A4:K4"/>
    <mergeCell ref="A5:K5"/>
    <mergeCell ref="C52:D52"/>
    <mergeCell ref="C53:D53"/>
    <mergeCell ref="A7:F7"/>
    <mergeCell ref="H7:K7"/>
    <mergeCell ref="C48:D48"/>
    <mergeCell ref="C49:D49"/>
    <mergeCell ref="C50:D50"/>
    <mergeCell ref="C51:D51"/>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3"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chauki bhanjyang</vt:lpstr>
      <vt:lpstr>'chauki bhanjyang'!Print_Area</vt:lpstr>
      <vt:lpstr>'chauki bhanjyang'!Print_Titles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2025-12-20T10:52:23Z</dcterms:modified>
</cp:coreProperties>
</file>