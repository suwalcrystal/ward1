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बजेट माग estimate\nagar bhaipari and estimate misc\hawa huri jhyal\"/>
    </mc:Choice>
  </mc:AlternateContent>
  <xr:revisionPtr revIDLastSave="0" documentId="13_ncr:1_{33AC54EF-B0AB-49D7-9717-AB327D104429}" xr6:coauthVersionLast="47" xr6:coauthVersionMax="47" xr10:uidLastSave="{00000000-0000-0000-0000-000000000000}"/>
  <bookViews>
    <workbookView xWindow="-120" yWindow="-120" windowWidth="20730" windowHeight="11040" firstSheet="4" activeTab="4" xr2:uid="{00000000-000D-0000-FFFF-FFFF00000000}"/>
  </bookViews>
  <sheets>
    <sheet name="ESTIMATE" sheetId="25" state="hidden" r:id="rId1"/>
    <sheet name="WCR" sheetId="27" state="hidden" r:id="rId2"/>
    <sheet name="me" sheetId="29" state="hidden" r:id="rId3"/>
    <sheet name="Sheet1" sheetId="30" state="hidden" r:id="rId4"/>
    <sheet name="&lt;1000000" sheetId="31" r:id="rId5"/>
    <sheet name="&lt;1000000 (2)" sheetId="32" r:id="rId6"/>
  </sheets>
  <externalReferences>
    <externalReference r:id="rId7"/>
    <externalReference r:id="rId8"/>
  </externalReferences>
  <definedNames>
    <definedName name="_xlnm.Print_Area" localSheetId="4">'&lt;1000000'!$A$1:$L$24</definedName>
    <definedName name="_xlnm.Print_Area" localSheetId="5">'&lt;1000000 (2)'!$A$1:$L$33</definedName>
    <definedName name="_xlnm.Print_Area" localSheetId="0">ESTIMATE!$A$1:$L$71</definedName>
    <definedName name="_xlnm.Print_Area" localSheetId="2">me!$A$1:$L$162</definedName>
    <definedName name="_xlnm.Print_Titles" localSheetId="4">'&lt;1000000'!$1:$8</definedName>
    <definedName name="_xlnm.Print_Titles" localSheetId="5">'&lt;1000000 (2)'!$1:$8</definedName>
    <definedName name="_xlnm.Print_Titles" localSheetId="0">ESTIMATE!$1:$8</definedName>
    <definedName name="_xlnm.Print_Titles" localSheetId="2">me!$1:$8</definedName>
    <definedName name="_xlnm.Print_Titles" localSheetId="1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32" l="1"/>
  <c r="E26" i="32"/>
  <c r="H26" i="32" s="1"/>
  <c r="G25" i="32"/>
  <c r="E25" i="32"/>
  <c r="D25" i="32"/>
  <c r="G24" i="32"/>
  <c r="E24" i="32"/>
  <c r="D24" i="32"/>
  <c r="G23" i="32"/>
  <c r="E23" i="32"/>
  <c r="D23" i="32"/>
  <c r="H23" i="32" s="1"/>
  <c r="G22" i="32"/>
  <c r="E22" i="32"/>
  <c r="E21" i="32"/>
  <c r="H21" i="32" s="1"/>
  <c r="G20" i="32"/>
  <c r="E20" i="32"/>
  <c r="H29" i="32"/>
  <c r="K29" i="32" s="1"/>
  <c r="J27" i="32"/>
  <c r="J17" i="32"/>
  <c r="G16" i="32"/>
  <c r="E16" i="32"/>
  <c r="G15" i="32"/>
  <c r="E15" i="32"/>
  <c r="D15" i="32"/>
  <c r="G14" i="32"/>
  <c r="E14" i="32"/>
  <c r="D14" i="32"/>
  <c r="G13" i="32"/>
  <c r="E13" i="32"/>
  <c r="D13" i="32"/>
  <c r="G12" i="32"/>
  <c r="E12" i="32"/>
  <c r="H12" i="32" s="1"/>
  <c r="E11" i="32"/>
  <c r="H11" i="32" s="1"/>
  <c r="G10" i="32"/>
  <c r="E10" i="32"/>
  <c r="H10" i="32" s="1"/>
  <c r="H15" i="31"/>
  <c r="G16" i="31"/>
  <c r="H16" i="31" s="1"/>
  <c r="E16" i="31"/>
  <c r="G15" i="31"/>
  <c r="E15" i="31"/>
  <c r="D15" i="31"/>
  <c r="D14" i="31"/>
  <c r="G14" i="31"/>
  <c r="E14" i="31"/>
  <c r="D13" i="31"/>
  <c r="H20" i="32" l="1"/>
  <c r="H22" i="32"/>
  <c r="H24" i="32"/>
  <c r="H25" i="32"/>
  <c r="H14" i="32"/>
  <c r="H15" i="32"/>
  <c r="H17" i="32" s="1"/>
  <c r="K17" i="32" s="1"/>
  <c r="H16" i="32"/>
  <c r="H13" i="32"/>
  <c r="H14" i="31"/>
  <c r="G13" i="31"/>
  <c r="E13" i="31"/>
  <c r="G12" i="31"/>
  <c r="E12" i="31"/>
  <c r="E11" i="31"/>
  <c r="H11" i="31" s="1"/>
  <c r="H19" i="31"/>
  <c r="K19" i="31" s="1"/>
  <c r="J17" i="31"/>
  <c r="G10" i="31"/>
  <c r="E10" i="31"/>
  <c r="H10" i="31" s="1"/>
  <c r="G109" i="29"/>
  <c r="E109" i="29"/>
  <c r="H109" i="29" s="1"/>
  <c r="G101" i="29"/>
  <c r="G107" i="29" s="1"/>
  <c r="D101" i="29"/>
  <c r="D107" i="29" s="1"/>
  <c r="K151" i="29"/>
  <c r="J148" i="29"/>
  <c r="E147" i="29"/>
  <c r="F147" i="29"/>
  <c r="G146" i="29"/>
  <c r="E146" i="29"/>
  <c r="H146" i="29" s="1"/>
  <c r="J142" i="29"/>
  <c r="E141" i="29"/>
  <c r="H141" i="29" s="1"/>
  <c r="H142" i="29" s="1"/>
  <c r="G18" i="29"/>
  <c r="E18" i="29"/>
  <c r="F11" i="29"/>
  <c r="E11" i="29"/>
  <c r="G17" i="29"/>
  <c r="E17" i="29"/>
  <c r="G136" i="29"/>
  <c r="E136" i="29"/>
  <c r="G131" i="29"/>
  <c r="E131" i="29"/>
  <c r="G93" i="29"/>
  <c r="G108" i="29" s="1"/>
  <c r="D87" i="29"/>
  <c r="D102" i="29" s="1"/>
  <c r="D108" i="29" s="1"/>
  <c r="C87" i="29"/>
  <c r="C102" i="29" s="1"/>
  <c r="C108" i="29" s="1"/>
  <c r="G76" i="29"/>
  <c r="G86" i="29" s="1"/>
  <c r="D86" i="29"/>
  <c r="D49" i="29"/>
  <c r="D48" i="29"/>
  <c r="G48" i="29"/>
  <c r="G49" i="29"/>
  <c r="H58" i="29"/>
  <c r="G67" i="29"/>
  <c r="H67" i="29" s="1"/>
  <c r="G85" i="29"/>
  <c r="G84" i="29"/>
  <c r="F114" i="29"/>
  <c r="F122" i="29" s="1"/>
  <c r="E114" i="29"/>
  <c r="E122" i="29" s="1"/>
  <c r="E66" i="29"/>
  <c r="G66" i="29"/>
  <c r="F66" i="29"/>
  <c r="G65" i="29"/>
  <c r="G64" i="29"/>
  <c r="D50" i="29"/>
  <c r="E50" i="29"/>
  <c r="E43" i="29"/>
  <c r="E42" i="29"/>
  <c r="E41" i="29"/>
  <c r="E40" i="29"/>
  <c r="H27" i="32" l="1"/>
  <c r="K27" i="32" s="1"/>
  <c r="K30" i="32" s="1"/>
  <c r="D32" i="32" s="1"/>
  <c r="D33" i="32" s="1"/>
  <c r="D34" i="32" s="1"/>
  <c r="H12" i="31"/>
  <c r="H17" i="31" s="1"/>
  <c r="K17" i="31" s="1"/>
  <c r="H13" i="31"/>
  <c r="H147" i="29"/>
  <c r="H148" i="29" s="1"/>
  <c r="H17" i="29"/>
  <c r="H136" i="29"/>
  <c r="H137" i="29" s="1"/>
  <c r="K138" i="29" s="1"/>
  <c r="H48" i="29"/>
  <c r="H131" i="29"/>
  <c r="H132" i="29" s="1"/>
  <c r="K133" i="29" s="1"/>
  <c r="K142" i="29"/>
  <c r="K143" i="29" s="1"/>
  <c r="H49" i="29"/>
  <c r="H18" i="29"/>
  <c r="H11" i="29"/>
  <c r="H122" i="29"/>
  <c r="C120" i="29"/>
  <c r="E84" i="29"/>
  <c r="E120" i="29" s="1"/>
  <c r="E85" i="29"/>
  <c r="E121" i="29" s="1"/>
  <c r="G77" i="29"/>
  <c r="G87" i="29" s="1"/>
  <c r="G102" i="29" s="1"/>
  <c r="E77" i="29"/>
  <c r="E76" i="29"/>
  <c r="E86" i="29" s="1"/>
  <c r="E101" i="29" s="1"/>
  <c r="C76" i="29"/>
  <c r="C86" i="29" s="1"/>
  <c r="C93" i="29" s="1"/>
  <c r="C101" i="29" s="1"/>
  <c r="C107" i="29" s="1"/>
  <c r="G21" i="29"/>
  <c r="E21" i="29"/>
  <c r="H21" i="29" s="1"/>
  <c r="G20" i="29"/>
  <c r="E20" i="29"/>
  <c r="G19" i="29"/>
  <c r="E19" i="29"/>
  <c r="K148" i="29" l="1"/>
  <c r="K149" i="29"/>
  <c r="K137" i="29"/>
  <c r="H101" i="29"/>
  <c r="E107" i="29"/>
  <c r="H107" i="29" s="1"/>
  <c r="K132" i="29"/>
  <c r="H86" i="29"/>
  <c r="E93" i="29"/>
  <c r="H77" i="29"/>
  <c r="E87" i="29"/>
  <c r="H84" i="29"/>
  <c r="H114" i="29"/>
  <c r="H20" i="29"/>
  <c r="H19" i="29"/>
  <c r="H93" i="29" l="1"/>
  <c r="H94" i="29" s="1"/>
  <c r="K94" i="29" s="1"/>
  <c r="E108" i="29"/>
  <c r="H108" i="29" s="1"/>
  <c r="H110" i="29" s="1"/>
  <c r="H87" i="29"/>
  <c r="E102" i="29"/>
  <c r="H102" i="29" s="1"/>
  <c r="H103" i="29" s="1"/>
  <c r="K114" i="29"/>
  <c r="K117" i="29"/>
  <c r="K115" i="29"/>
  <c r="K116" i="29"/>
  <c r="K96" i="29" l="1"/>
  <c r="K97" i="29"/>
  <c r="K95" i="29"/>
  <c r="K98" i="29"/>
  <c r="K111" i="29"/>
  <c r="K110" i="29"/>
  <c r="K103" i="29"/>
  <c r="K104" i="29"/>
  <c r="G50" i="29"/>
  <c r="E65" i="29"/>
  <c r="G63" i="29"/>
  <c r="F57" i="29"/>
  <c r="E57" i="29"/>
  <c r="G56" i="29"/>
  <c r="G55" i="29"/>
  <c r="E56" i="29"/>
  <c r="E55" i="29"/>
  <c r="J51" i="29"/>
  <c r="G46" i="29"/>
  <c r="G47" i="29"/>
  <c r="E47" i="29"/>
  <c r="D46" i="29" s="1"/>
  <c r="E46" i="29"/>
  <c r="D47" i="29" s="1"/>
  <c r="G43" i="29"/>
  <c r="E44" i="29"/>
  <c r="G42" i="29"/>
  <c r="G45" i="29"/>
  <c r="G44" i="29"/>
  <c r="E45" i="29"/>
  <c r="G40" i="29"/>
  <c r="C33" i="29"/>
  <c r="D7" i="30"/>
  <c r="G7" i="30" s="1"/>
  <c r="D6" i="30"/>
  <c r="G6" i="30" s="1"/>
  <c r="G4" i="30"/>
  <c r="G5" i="30"/>
  <c r="H57" i="29" l="1"/>
  <c r="H55" i="29"/>
  <c r="H56" i="29"/>
  <c r="H66" i="29"/>
  <c r="H50" i="29"/>
  <c r="H46" i="29"/>
  <c r="H47" i="29"/>
  <c r="H44" i="29"/>
  <c r="H45" i="29"/>
  <c r="H43" i="29"/>
  <c r="H42" i="29"/>
  <c r="H7" i="30"/>
  <c r="H5" i="30"/>
  <c r="H8" i="30" s="1"/>
  <c r="J30" i="29" s="1"/>
  <c r="D29" i="29"/>
  <c r="D33" i="29" s="1"/>
  <c r="E16" i="29"/>
  <c r="E29" i="29" s="1"/>
  <c r="E25" i="29"/>
  <c r="D25" i="29"/>
  <c r="K20" i="31" l="1"/>
  <c r="D22" i="31" s="1"/>
  <c r="H59" i="29"/>
  <c r="K59" i="29" s="1"/>
  <c r="E33" i="29"/>
  <c r="E63" i="29"/>
  <c r="E64" i="29" s="1"/>
  <c r="H9" i="30"/>
  <c r="H10" i="30" s="1"/>
  <c r="B10" i="30" s="1"/>
  <c r="D10" i="30" s="1"/>
  <c r="H16" i="29"/>
  <c r="D23" i="31" l="1"/>
  <c r="D24" i="31" s="1"/>
  <c r="K60" i="29"/>
  <c r="F10" i="29"/>
  <c r="D162" i="29"/>
  <c r="D161" i="29"/>
  <c r="D159" i="29"/>
  <c r="K153" i="29"/>
  <c r="H127" i="29"/>
  <c r="K127" i="29" s="1"/>
  <c r="K128" i="29" s="1"/>
  <c r="D121" i="29"/>
  <c r="D120" i="29"/>
  <c r="G121" i="29"/>
  <c r="G120" i="29"/>
  <c r="G41" i="29"/>
  <c r="H41" i="29" s="1"/>
  <c r="E14" i="29"/>
  <c r="H14" i="29" s="1"/>
  <c r="H120" i="29" l="1"/>
  <c r="H121" i="29"/>
  <c r="F25" i="29"/>
  <c r="E15" i="29"/>
  <c r="H15" i="29" s="1"/>
  <c r="H22" i="29" s="1"/>
  <c r="K22" i="29" s="1"/>
  <c r="H10" i="29"/>
  <c r="H12" i="29" s="1"/>
  <c r="K12" i="29" s="1"/>
  <c r="J67" i="25"/>
  <c r="F63" i="25"/>
  <c r="F65" i="25" s="1"/>
  <c r="E63" i="25"/>
  <c r="E65" i="25" s="1"/>
  <c r="E67" i="25" s="1"/>
  <c r="H67" i="25" s="1"/>
  <c r="K68" i="25" s="1"/>
  <c r="J63" i="25"/>
  <c r="H123" i="29" l="1"/>
  <c r="K124" i="29" s="1"/>
  <c r="H25" i="29"/>
  <c r="H26" i="29" s="1"/>
  <c r="K26" i="29" s="1"/>
  <c r="F29" i="29"/>
  <c r="F63" i="29" s="1"/>
  <c r="H63" i="29" s="1"/>
  <c r="K67" i="25"/>
  <c r="H65" i="25"/>
  <c r="H63" i="25"/>
  <c r="K63" i="25" s="1"/>
  <c r="H29" i="29" l="1"/>
  <c r="H30" i="29" s="1"/>
  <c r="K30" i="29" s="1"/>
  <c r="F33" i="29"/>
  <c r="H33" i="29" s="1"/>
  <c r="H34" i="29" s="1"/>
  <c r="H40" i="29"/>
  <c r="H51" i="29" s="1"/>
  <c r="K51" i="29" s="1"/>
  <c r="H85" i="29"/>
  <c r="H88" i="29" s="1"/>
  <c r="K88" i="29" s="1"/>
  <c r="H76" i="29"/>
  <c r="H78" i="29" s="1"/>
  <c r="K78" i="29" s="1"/>
  <c r="H64" i="29"/>
  <c r="K65" i="25"/>
  <c r="K66" i="25"/>
  <c r="K35" i="29" l="1"/>
  <c r="K36" i="29"/>
  <c r="K34" i="29"/>
  <c r="K37" i="29"/>
  <c r="K90" i="29"/>
  <c r="K89" i="29"/>
  <c r="K81" i="29"/>
  <c r="K80" i="29"/>
  <c r="K79" i="29"/>
  <c r="K52" i="29"/>
  <c r="H65" i="29"/>
  <c r="H68" i="29" s="1"/>
  <c r="K68" i="29" s="1"/>
  <c r="N68" i="25"/>
  <c r="N69" i="25" s="1"/>
  <c r="K72" i="29" l="1"/>
  <c r="K71" i="29"/>
  <c r="K70" i="29"/>
  <c r="K69" i="29"/>
  <c r="K73" i="29"/>
  <c r="K123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154" i="29" l="1"/>
  <c r="D157" i="29" s="1"/>
  <c r="F159" i="29" l="1"/>
  <c r="D160" i="29"/>
  <c r="F160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F10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<sst xmlns="http://schemas.openxmlformats.org/spreadsheetml/2006/main" count="360" uniqueCount="180">
  <si>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</si>
  <si>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</si>
  <si>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</si>
  <si>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</si>
  <si>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</si>
  <si>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</si>
  <si>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</si>
  <si>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</si>
  <si>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</si>
  <si>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</si>
  <si>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</si>
  <si>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</si>
  <si>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</si>
  <si>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</si>
  <si>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</si>
  <si>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</si>
  <si>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</si>
  <si>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</si>
  <si>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</si>
  <si>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</si>
  <si>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</si>
  <si>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</si>
  <si>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</si>
  <si>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</si>
  <si>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</si>
  <si>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</si>
  <si>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</si>
  <si>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</si>
  <si>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</si>
  <si>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</si>
  <si>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</si>
  <si>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</si>
  <si>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</si>
  <si>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</si>
  <si>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</si>
  <si>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</si>
  <si>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</si>
  <si>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</si>
  <si>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</si>
  <si>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</si>
  <si>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</si>
  <si>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</si>
  <si>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</si>
  <si>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</si>
  <si>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</si>
  <si>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</si>
  <si>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</si>
  <si>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</si>
  <si>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</si>
  <si>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</si>
  <si>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</si>
  <si>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</si>
  <si>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</si>
  <si>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</si>
  <si>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</si>
  <si>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</si>
  <si>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</si>
  <si>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</si>
  <si>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</si>
  <si>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</si>
  <si>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</si>
  <si>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</si>
  <si>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</si>
  <si>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</si>
  <si>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</si>
  <si>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</si>
  <si>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</si>
  <si>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</si>
  <si>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</si>
  <si>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</si>
  <si>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</si>
  <si>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</si>
  <si>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</si>
  <si>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</si>
  <si>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</si>
  <si>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</si>
  <si>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</si>
  <si>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</si>
  <si>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</si>
  <si>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</si>
  <si>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</si>
  <si>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</si>
  <si>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</si>
  <si>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</si>
  <si>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</si>
  <si>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</si>
  <si>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</si>
  <si>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</si>
  <si>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</si>
  <si>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</si>
  <si>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</si>
  <si>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</si>
  <si>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</si>
  <si>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</si>
  <si>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</si>
  <si>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</si>
  <si>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</si>
  <si>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</si>
  <si>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</si>
  <si>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</si>
  <si>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</si>
  <si>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</si>
  <si>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</si>
  <si>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</si>
  <si>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</si>
  <si>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</si>
  <si>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</si>
  <si>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</si>
  <si>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</si>
  <si>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</si>
  <si>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</si>
  <si>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</si>
  <si>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</si>
  <si>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</si>
  <si>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</si>
  <si>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</si>
  <si>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</si>
  <si>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</si>
  <si>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</si>
  <si>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</si>
  <si>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</si>
  <si>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</si>
  <si>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</si>
  <si>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</si>
  <si>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</si>
  <si>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</si>
  <si>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</si>
  <si>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</si>
  <si>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</si>
  <si>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</si>
  <si>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</si>
  <si>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</si>
  <si>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</si>
  <si>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</si>
  <si>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</si>
  <si>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</si>
  <si>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</si>
  <si>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</si>
  <si>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</si>
  <si>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</si>
  <si>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</si>
  <si>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</si>
  <si>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</si>
  <si>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</si>
  <si>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</si>
  <si>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</si>
  <si>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</si>
  <si>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-at water tank</t>
  </si>
  <si>
    <t>-At shear wall</t>
  </si>
  <si>
    <t>-at floor</t>
  </si>
  <si>
    <r>
      <t>kf]/l;lng Un]H8 6fO{n</t>
    </r>
    <r>
      <rPr>
        <sz val="10"/>
        <rFont val="Arial"/>
        <family val="2"/>
      </rPr>
      <t>(Ordinary floor and Wall Tile-as per approved standard of manufactured country</t>
    </r>
    <r>
      <rPr>
        <sz val="14"/>
        <rFont val="Arial"/>
        <family val="2"/>
      </rPr>
      <t>)</t>
    </r>
    <r>
      <rPr>
        <sz val="14"/>
        <rFont val="Preeti"/>
      </rPr>
      <t xml:space="preserve"> !M$ l;d]G6 afn'jfdf 5fKg] sfd .</t>
    </r>
  </si>
  <si>
    <t>vat on porcelain glazed tile</t>
  </si>
  <si>
    <t>vat on white cement</t>
  </si>
  <si>
    <t>-at swasthya prasasan</t>
  </si>
  <si>
    <t>vat on materials</t>
  </si>
  <si>
    <t>$ dL=dL= df]6fO{sf] P]gf sf7sf] lni6L nufO{ hf]8\g] sfd</t>
  </si>
  <si>
    <t>-at ward rooms</t>
  </si>
  <si>
    <t>-near ladder of swasthya</t>
  </si>
  <si>
    <t>-ladder</t>
  </si>
  <si>
    <t xml:space="preserve">kmnfd] 3'Dg] e¥ofË M $Æ–^Æ Ø ;Ddsf] dWod &gt;]0fLsf] sfnf] kfO{k kf]i6 k|of]u u/ #÷$Æx#÷$Æ sf] :Sjfo/ kfO{k df !!÷$ÆØ sf] dWod &gt;]0fLsf] sfnf] kfO{ksf] x\of08/]n  k|of]u u/L @Ú–)Æ  b]lv @Ú–^Æ rf}8fO{;Ddsf] kmnfd] 3'Dg] e¥ofË cfjZos ;fdu|Lx? ;lxt </t>
  </si>
  <si>
    <t>rm</t>
  </si>
  <si>
    <t>-!M@ efudf jf6/ k|'km sDkfp08 ld;fO{ 8]Dk k|'lkm+Ë ug</t>
  </si>
  <si>
    <t>Provisional sum for unforseen works</t>
  </si>
  <si>
    <t>PS</t>
  </si>
  <si>
    <r>
      <t xml:space="preserve">e'O{+tNnfdf lrDgL e§fsf] O{+6fsf] uf/f] l;d]G6 d;nf -!M^_ df </t>
    </r>
    <r>
      <rPr>
        <sz val="12"/>
        <rFont val="Times New Roman"/>
        <family val="1"/>
      </rPr>
      <t>as per site engineer</t>
    </r>
  </si>
  <si>
    <t xml:space="preserve">Ps sf]6 jf6/ k|'km l;d]G6 sf]6 nufpg] sfd </t>
  </si>
  <si>
    <t xml:space="preserve">b'O{ sf]6 Knfli6s O{dNzg k]G6 nufpg] sfd -k|fOd/ ;lxt_ </t>
  </si>
  <si>
    <t>Date: 2082/08/19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</si>
  <si>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cGo lalaw dd{t</t>
    </r>
  </si>
  <si>
    <t>Remark</t>
  </si>
  <si>
    <r>
      <t>#*</t>
    </r>
    <r>
      <rPr>
        <sz val="15"/>
        <rFont val="Times New Roman"/>
        <family val="1"/>
      </rPr>
      <t>X</t>
    </r>
    <r>
      <rPr>
        <sz val="15"/>
        <rFont val="Preeti"/>
      </rPr>
      <t>&amp;% dL=dL=lr/fg ;fn sf7sf] k|m]d $ dL=dL= P]gf vfkf agfO</t>
    </r>
  </si>
  <si>
    <t>VAT 13%</t>
  </si>
  <si>
    <t>Grand total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</si>
  <si>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</t>
    </r>
  </si>
  <si>
    <t>Date: 2083/01/23</t>
  </si>
  <si>
    <t>-at ward office</t>
  </si>
  <si>
    <t>-at melmilaap kendra</t>
  </si>
  <si>
    <t>-at swasthya kendra</t>
  </si>
  <si>
    <t>-swasthya toilets</t>
  </si>
  <si>
    <t>-at kitchen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</si>
</sst>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name val="Arial"/>
      <family val="2"/>
    </font>
    <font>
      <sz val="14"/>
      <color theme="1"/>
      <name val="Times New Roman"/>
      <family val="1"/>
    </font>
    <font>
      <sz val="15"/>
      <name val="Times New Roman"/>
      <family val="1"/>
    </font>
    <font>
      <sz val="16"/>
      <color theme="1"/>
      <name val="Preeti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189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43" fontId="51" fillId="0" borderId="0" xfId="1" applyFont="1" applyFill="1"/>
    <xf numFmtId="43" fontId="49" fillId="0" borderId="0" xfId="1" applyFont="1" applyFill="1"/>
    <xf numFmtId="0" fontId="67" fillId="0" borderId="19" xfId="0" applyFont="1" applyBorder="1" applyAlignment="1">
      <alignment wrapText="1"/>
    </xf>
    <xf numFmtId="0" fontId="67" fillId="0" borderId="19" xfId="0" applyFont="1" applyBorder="1"/>
    <xf numFmtId="0" fontId="70" fillId="0" borderId="19" xfId="0" applyFont="1" applyBorder="1" applyAlignment="1">
      <alignment vertical="top" wrapText="1"/>
    </xf>
    <xf numFmtId="43" fontId="49" fillId="0" borderId="0" xfId="1" applyFont="1" applyFill="1" applyBorder="1"/>
    <xf numFmtId="43" fontId="51" fillId="0" borderId="0" xfId="1" applyFont="1" applyFill="1" applyBorder="1" applyAlignment="1"/>
    <xf numFmtId="0" fontId="49" fillId="0" borderId="19" xfId="0" applyFont="1" applyBorder="1" applyAlignment="1">
      <alignment vertical="center"/>
    </xf>
    <xf numFmtId="0" fontId="49" fillId="0" borderId="19" xfId="0" applyFont="1" applyBorder="1" applyAlignment="1">
      <alignment horizontal="left" vertical="top" wrapText="1"/>
    </xf>
    <xf numFmtId="0" fontId="49" fillId="0" borderId="19" xfId="0" applyFont="1" applyBorder="1" applyAlignment="1">
      <alignment horizontal="center"/>
    </xf>
    <xf numFmtId="43" fontId="49" fillId="0" borderId="19" xfId="1" applyFont="1" applyFill="1" applyBorder="1"/>
    <xf numFmtId="0" fontId="49" fillId="0" borderId="19" xfId="0" applyFont="1" applyBorder="1"/>
    <xf numFmtId="0" fontId="49" fillId="0" borderId="19" xfId="0" applyFont="1" applyBorder="1" applyAlignment="1">
      <alignment wrapText="1"/>
    </xf>
    <xf numFmtId="0" fontId="74" fillId="0" borderId="19" xfId="0" applyFont="1" applyBorder="1" applyAlignment="1">
      <alignment horizontal="left" vertical="top" wrapText="1"/>
    </xf>
    <xf numFmtId="182" fontId="51" fillId="0" borderId="19" xfId="0" applyNumberFormat="1" applyFont="1" applyBorder="1" applyAlignment="1">
      <alignment horizontal="right" vertical="center"/>
    </xf>
    <xf numFmtId="0" fontId="67" fillId="0" borderId="19" xfId="0" quotePrefix="1" applyFont="1" applyBorder="1" applyAlignment="1">
      <alignment wrapText="1"/>
    </xf>
    <xf numFmtId="2" fontId="51" fillId="0" borderId="19" xfId="0" applyNumberFormat="1" applyFont="1" applyBorder="1" applyAlignment="1">
      <alignment horizontal="right"/>
    </xf>
    <xf numFmtId="2" fontId="51" fillId="0" borderId="19" xfId="1" applyNumberFormat="1" applyFont="1" applyFill="1" applyBorder="1" applyAlignment="1">
      <alignment horizontal="right"/>
    </xf>
    <xf numFmtId="0" fontId="52" fillId="0" borderId="19" xfId="0" applyFont="1" applyBorder="1"/>
    <xf numFmtId="0" fontId="52" fillId="0" borderId="19" xfId="0" quotePrefix="1" applyFont="1" applyBorder="1" applyAlignment="1">
      <alignment horizontal="right" vertical="justify"/>
    </xf>
    <xf numFmtId="0" fontId="52" fillId="0" borderId="19" xfId="0" applyFont="1" applyBorder="1" applyAlignment="1">
      <alignment horizontal="right" vertical="justify"/>
    </xf>
    <xf numFmtId="0" fontId="51" fillId="0" borderId="19" xfId="0" applyFont="1" applyBorder="1"/>
    <xf numFmtId="2" fontId="52" fillId="0" borderId="19" xfId="0" applyNumberFormat="1" applyFont="1" applyBorder="1" applyAlignment="1">
      <alignment horizontal="right"/>
    </xf>
    <xf numFmtId="0" fontId="51" fillId="0" borderId="19" xfId="0" applyFont="1" applyBorder="1" applyAlignment="1">
      <alignment horizontal="right"/>
    </xf>
    <xf numFmtId="182" fontId="52" fillId="0" borderId="19" xfId="0" applyNumberFormat="1" applyFont="1" applyBorder="1" applyAlignment="1">
      <alignment horizontal="right" vertical="center"/>
    </xf>
    <xf numFmtId="2" fontId="52" fillId="0" borderId="19" xfId="1" applyNumberFormat="1" applyFont="1" applyFill="1" applyBorder="1" applyAlignment="1">
      <alignment horizontal="right"/>
    </xf>
    <xf numFmtId="0" fontId="52" fillId="0" borderId="19" xfId="0" quotePrefix="1" applyFont="1" applyBorder="1" applyAlignment="1">
      <alignment horizontal="right"/>
    </xf>
    <xf numFmtId="0" fontId="51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horizontal="left" vertical="top" wrapText="1"/>
    </xf>
    <xf numFmtId="0" fontId="51" fillId="0" borderId="19" xfId="0" quotePrefix="1" applyFont="1" applyBorder="1" applyAlignment="1">
      <alignment horizontal="right" vertical="top" wrapText="1"/>
    </xf>
    <xf numFmtId="182" fontId="51" fillId="0" borderId="19" xfId="0" applyNumberFormat="1" applyFont="1" applyBorder="1" applyAlignment="1">
      <alignment horizontal="right"/>
    </xf>
    <xf numFmtId="0" fontId="52" fillId="0" borderId="19" xfId="0" applyFont="1" applyBorder="1" applyAlignment="1">
      <alignment horizontal="justify" vertical="justify"/>
    </xf>
    <xf numFmtId="2" fontId="3" fillId="0" borderId="19" xfId="734" applyNumberFormat="1" applyFont="1" applyBorder="1" applyAlignment="1">
      <alignment horizontal="right"/>
    </xf>
    <xf numFmtId="2" fontId="51" fillId="0" borderId="19" xfId="32" applyNumberFormat="1" applyFont="1" applyFill="1" applyBorder="1" applyAlignment="1">
      <alignment horizontal="right"/>
    </xf>
    <xf numFmtId="0" fontId="52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vertical="center"/>
    </xf>
    <xf numFmtId="0" fontId="50" fillId="0" borderId="19" xfId="0" applyFont="1" applyBorder="1" applyAlignment="1">
      <alignment horizontal="left" vertical="top" wrapText="1"/>
    </xf>
    <xf numFmtId="2" fontId="49" fillId="0" borderId="19" xfId="1" applyNumberFormat="1" applyFont="1" applyFill="1" applyBorder="1" applyAlignment="1">
      <alignment horizontal="right"/>
    </xf>
    <xf numFmtId="0" fontId="51" fillId="0" borderId="19" xfId="0" applyFont="1" applyBorder="1" applyAlignment="1">
      <alignment wrapText="1"/>
    </xf>
    <xf numFmtId="43" fontId="51" fillId="0" borderId="19" xfId="0" applyNumberFormat="1" applyFont="1" applyBorder="1"/>
    <xf numFmtId="43" fontId="51" fillId="0" borderId="19" xfId="1" applyFont="1" applyFill="1" applyBorder="1" applyAlignment="1"/>
    <xf numFmtId="43" fontId="49" fillId="0" borderId="19" xfId="1" applyFont="1" applyFill="1" applyBorder="1" applyAlignment="1">
      <alignment horizontal="center" vertical="center"/>
    </xf>
    <xf numFmtId="1" fontId="51" fillId="0" borderId="19" xfId="0" applyNumberFormat="1" applyFont="1" applyBorder="1" applyAlignment="1">
      <alignment horizontal="right" vertical="center"/>
    </xf>
    <xf numFmtId="0" fontId="49" fillId="0" borderId="19" xfId="0" applyFont="1" applyBorder="1" applyAlignment="1">
      <alignment horizontal="center" vertical="center"/>
    </xf>
    <xf numFmtId="0" fontId="49" fillId="0" borderId="19" xfId="0" applyFont="1" applyBorder="1" applyAlignment="1">
      <alignment horizontal="center" vertical="center" wrapText="1"/>
    </xf>
    <xf numFmtId="43" fontId="51" fillId="0" borderId="19" xfId="0" applyNumberFormat="1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51" fillId="0" borderId="0" xfId="0" applyFont="1"/>
    <xf numFmtId="0" fontId="5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43" fontId="51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0" fontId="89" fillId="0" borderId="0" xfId="0" applyFont="1"/>
    <xf numFmtId="182" fontId="51" fillId="0" borderId="19" xfId="0" quotePrefix="1" applyNumberFormat="1" applyFont="1" applyBorder="1" applyAlignment="1">
      <alignment horizontal="right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topLeftCell="A33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60" t="s">
        <v>11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8" ht="20.25">
      <c r="A2" s="161" t="s">
        <v>16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</row>
    <row r="3" spans="1:18">
      <c r="A3" s="160" t="s">
        <v>17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</row>
    <row r="4" spans="1:18">
      <c r="A4" s="162" t="s">
        <v>22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</row>
    <row r="5" spans="1:18" ht="19.5">
      <c r="A5" s="6"/>
      <c r="B5" s="4" t="s">
        <v>27</v>
      </c>
      <c r="C5" s="28" t="s">
        <v>93</v>
      </c>
      <c r="H5" s="6"/>
      <c r="K5" s="163" t="s">
        <v>69</v>
      </c>
      <c r="L5" s="163"/>
    </row>
    <row r="6" spans="1:18">
      <c r="B6" s="164" t="s">
        <v>28</v>
      </c>
      <c r="C6" s="164"/>
      <c r="D6" s="164"/>
      <c r="E6" s="164"/>
      <c r="F6" s="164"/>
      <c r="G6" s="164"/>
      <c r="H6" s="3"/>
      <c r="I6" s="165" t="s">
        <v>100</v>
      </c>
      <c r="J6" s="165"/>
      <c r="K6" s="165"/>
      <c r="L6" s="165"/>
      <c r="O6" s="165" t="s">
        <v>70</v>
      </c>
      <c r="P6" s="165"/>
      <c r="Q6" s="165"/>
      <c r="R6" s="165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'[1]Table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'[1]Table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'[1]Table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'[1]Update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'[1]Update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'[1]Update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'[1]Table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'[1]Table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'[1]Update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'[1]Update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('[1]Update Descrip'!$G$677+'[1]Update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'[1]Table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'[1]Update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'[1]Update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'[1]Update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'[1]Table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'[1]Update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'[1]Update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'[1]Table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'[1]Update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'[2]Table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'[1]Table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71" t="s">
        <v>11</v>
      </c>
      <c r="B1" s="171"/>
      <c r="C1" s="171"/>
      <c r="D1" s="171"/>
      <c r="E1" s="171"/>
      <c r="F1" s="171"/>
      <c r="G1" s="171"/>
      <c r="H1" s="171"/>
      <c r="I1" s="171"/>
      <c r="J1" s="171"/>
    </row>
    <row r="2" spans="1:10" ht="25.5">
      <c r="A2" s="172" t="s">
        <v>52</v>
      </c>
      <c r="B2" s="172"/>
      <c r="C2" s="172"/>
      <c r="D2" s="172"/>
      <c r="E2" s="172"/>
      <c r="F2" s="172"/>
      <c r="G2" s="172"/>
      <c r="H2" s="172"/>
      <c r="I2" s="172"/>
      <c r="J2" s="172"/>
    </row>
    <row r="3" spans="1:10" ht="18.75">
      <c r="A3" s="173" t="s">
        <v>53</v>
      </c>
      <c r="B3" s="173"/>
      <c r="C3" s="173"/>
      <c r="D3" s="173"/>
      <c r="E3" s="173"/>
      <c r="F3" s="173"/>
      <c r="G3" s="173"/>
      <c r="H3" s="173"/>
      <c r="I3" s="173"/>
      <c r="J3" s="173"/>
    </row>
    <row r="4" spans="1:10">
      <c r="A4" s="174" t="s">
        <v>54</v>
      </c>
      <c r="B4" s="174"/>
      <c r="C4" s="174"/>
      <c r="D4" s="174"/>
      <c r="E4" s="174"/>
      <c r="F4" s="174"/>
      <c r="G4" s="174"/>
      <c r="H4" s="174"/>
      <c r="I4" s="174"/>
      <c r="J4" s="174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75" t="e">
        <f>E51</f>
        <v>#REF!</v>
      </c>
      <c r="D6" s="176"/>
      <c r="E6" s="31"/>
      <c r="F6" s="31"/>
      <c r="G6" s="31" t="s">
        <v>56</v>
      </c>
      <c r="H6" s="31"/>
      <c r="I6" s="175" t="e">
        <f>H51</f>
        <v>#REF!</v>
      </c>
      <c r="J6" s="176"/>
    </row>
    <row r="7" spans="1:10">
      <c r="A7" s="32"/>
      <c r="B7" s="32"/>
      <c r="C7" s="166"/>
      <c r="D7" s="166"/>
      <c r="E7" s="166"/>
      <c r="F7" s="166"/>
      <c r="H7" s="167"/>
      <c r="I7" s="167"/>
      <c r="J7" s="167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68" t="s">
        <v>60</v>
      </c>
      <c r="B10" s="168" t="s">
        <v>12</v>
      </c>
      <c r="C10" s="170" t="s">
        <v>61</v>
      </c>
      <c r="D10" s="170"/>
      <c r="E10" s="170"/>
      <c r="F10" s="170" t="s">
        <v>62</v>
      </c>
      <c r="G10" s="170"/>
      <c r="H10" s="170"/>
      <c r="I10" s="168" t="s">
        <v>63</v>
      </c>
      <c r="J10" s="168" t="s">
        <v>10</v>
      </c>
    </row>
    <row r="11" spans="1:10">
      <c r="A11" s="169"/>
      <c r="B11" s="169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69"/>
      <c r="J11" s="169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3"/>
  <sheetViews>
    <sheetView topLeftCell="A130" zoomScaleNormal="100" zoomScaleSheetLayoutView="100" workbookViewId="0">
      <selection activeCell="G25" sqref="G25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7.140625" style="1" customWidth="1"/>
    <col min="5" max="5" width="8.85546875" style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140625" style="2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60" t="s">
        <v>11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20.25">
      <c r="A2" s="161" t="s">
        <v>16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</row>
    <row r="3" spans="1:12">
      <c r="A3" s="160" t="s">
        <v>17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</row>
    <row r="4" spans="1:12">
      <c r="A4" s="162" t="s">
        <v>22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</row>
    <row r="5" spans="1:12" ht="20.25">
      <c r="A5" s="6"/>
      <c r="B5" s="28" t="s">
        <v>168</v>
      </c>
      <c r="H5" s="6"/>
      <c r="K5" s="163" t="s">
        <v>101</v>
      </c>
      <c r="L5" s="163"/>
    </row>
    <row r="6" spans="1:12">
      <c r="B6" s="164" t="s">
        <v>28</v>
      </c>
      <c r="C6" s="164"/>
      <c r="D6" s="164"/>
      <c r="E6" s="164"/>
      <c r="F6" s="164"/>
      <c r="G6" s="164"/>
      <c r="H6" s="113"/>
      <c r="I6" s="165" t="s">
        <v>167</v>
      </c>
      <c r="J6" s="165"/>
      <c r="K6" s="165"/>
      <c r="L6" s="165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22" t="s">
        <v>2</v>
      </c>
      <c r="E8" s="123" t="s">
        <v>3</v>
      </c>
      <c r="F8" s="123" t="s">
        <v>4</v>
      </c>
      <c r="G8" s="123" t="s">
        <v>5</v>
      </c>
      <c r="H8" s="154" t="s">
        <v>6</v>
      </c>
      <c r="I8" s="124" t="s">
        <v>7</v>
      </c>
      <c r="J8" s="123" t="s">
        <v>8</v>
      </c>
      <c r="K8" s="123" t="s">
        <v>9</v>
      </c>
      <c r="L8" s="125" t="s">
        <v>169</v>
      </c>
    </row>
    <row r="9" spans="1:12" ht="18">
      <c r="A9" s="2"/>
      <c r="B9" s="120" t="s">
        <v>94</v>
      </c>
      <c r="C9" s="126" t="s">
        <v>95</v>
      </c>
      <c r="D9" s="122"/>
      <c r="E9" s="123"/>
      <c r="F9" s="123"/>
      <c r="G9" s="123"/>
      <c r="H9" s="123"/>
      <c r="I9" s="124"/>
      <c r="J9" s="123"/>
      <c r="K9" s="123"/>
      <c r="L9" s="125"/>
    </row>
    <row r="10" spans="1:12" ht="35.1" customHeight="1">
      <c r="B10" s="127">
        <v>1</v>
      </c>
      <c r="C10" s="128" t="s">
        <v>103</v>
      </c>
      <c r="D10" s="129">
        <v>1</v>
      </c>
      <c r="E10" s="130">
        <v>5</v>
      </c>
      <c r="F10" s="130">
        <f>11/3.281</f>
        <v>3.3526363913441024</v>
      </c>
      <c r="G10" s="130">
        <v>7.4999999999999997E-2</v>
      </c>
      <c r="H10" s="130">
        <f>D10*E10*F10*G10</f>
        <v>1.2572386467540384</v>
      </c>
      <c r="I10" s="129"/>
      <c r="J10" s="129"/>
      <c r="K10" s="129"/>
      <c r="L10" s="131"/>
    </row>
    <row r="11" spans="1:12">
      <c r="B11" s="127"/>
      <c r="C11" s="132" t="s">
        <v>153</v>
      </c>
      <c r="D11" s="129">
        <v>1</v>
      </c>
      <c r="E11" s="130">
        <f>5.17/3.281</f>
        <v>1.5757391039317281</v>
      </c>
      <c r="F11" s="130">
        <f>2/3.281</f>
        <v>0.6095702529716549</v>
      </c>
      <c r="G11" s="130">
        <v>7.4999999999999997E-2</v>
      </c>
      <c r="H11" s="130">
        <f t="shared" ref="H11" si="0">D11*E11*F11*G11</f>
        <v>7.2039276315074424E-2</v>
      </c>
      <c r="I11" s="129"/>
      <c r="J11" s="129"/>
      <c r="K11" s="129"/>
      <c r="L11" s="131"/>
    </row>
    <row r="12" spans="1:12">
      <c r="B12" s="127"/>
      <c r="C12" s="132"/>
      <c r="D12" s="129"/>
      <c r="E12" s="130"/>
      <c r="F12" s="130"/>
      <c r="G12" s="130"/>
      <c r="H12" s="130">
        <f>SUM(H10:H11)</f>
        <v>1.3292779230691127</v>
      </c>
      <c r="I12" s="129" t="s">
        <v>35</v>
      </c>
      <c r="J12" s="129">
        <v>3740</v>
      </c>
      <c r="K12" s="129">
        <f>H12*J12</f>
        <v>4971.4994322784814</v>
      </c>
      <c r="L12" s="131"/>
    </row>
    <row r="13" spans="1:12" ht="18.75">
      <c r="B13" s="127"/>
      <c r="C13" s="128"/>
      <c r="D13" s="129"/>
      <c r="E13" s="130"/>
      <c r="F13" s="130"/>
      <c r="G13" s="130"/>
      <c r="H13" s="130"/>
      <c r="I13" s="129"/>
      <c r="J13" s="130"/>
      <c r="K13" s="130"/>
      <c r="L13" s="131"/>
    </row>
    <row r="14" spans="1:12" ht="56.25">
      <c r="B14" s="127">
        <v>2</v>
      </c>
      <c r="C14" s="128" t="s">
        <v>102</v>
      </c>
      <c r="D14" s="129">
        <v>2</v>
      </c>
      <c r="E14" s="130">
        <f>E10</f>
        <v>5</v>
      </c>
      <c r="F14" s="130">
        <v>0.23</v>
      </c>
      <c r="G14" s="130">
        <v>1.4</v>
      </c>
      <c r="H14" s="130">
        <f>D14*E14*G14</f>
        <v>14</v>
      </c>
      <c r="I14" s="130"/>
      <c r="J14" s="130"/>
      <c r="K14" s="130"/>
      <c r="L14" s="131"/>
    </row>
    <row r="15" spans="1:12">
      <c r="B15" s="127"/>
      <c r="C15" s="133"/>
      <c r="D15" s="129">
        <v>2</v>
      </c>
      <c r="E15" s="130">
        <f>F10-0.23*2</f>
        <v>2.8926363913441024</v>
      </c>
      <c r="F15" s="130">
        <v>0.23</v>
      </c>
      <c r="G15" s="130">
        <v>1.4</v>
      </c>
      <c r="H15" s="130">
        <f>D15*E15*G15</f>
        <v>8.0993818957634858</v>
      </c>
      <c r="I15" s="130"/>
      <c r="J15" s="130"/>
      <c r="K15" s="130"/>
      <c r="L15" s="131"/>
    </row>
    <row r="16" spans="1:12">
      <c r="B16" s="127"/>
      <c r="C16" s="133"/>
      <c r="D16" s="129">
        <v>1</v>
      </c>
      <c r="E16" s="130">
        <f>E10</f>
        <v>5</v>
      </c>
      <c r="F16" s="130">
        <v>0.23</v>
      </c>
      <c r="G16" s="130">
        <v>0.45</v>
      </c>
      <c r="H16" s="130">
        <f>D16*E16*G16</f>
        <v>2.25</v>
      </c>
      <c r="I16" s="130"/>
      <c r="J16" s="130"/>
      <c r="K16" s="130"/>
      <c r="L16" s="131"/>
    </row>
    <row r="17" spans="2:12">
      <c r="B17" s="127"/>
      <c r="C17" s="132" t="s">
        <v>157</v>
      </c>
      <c r="D17" s="129">
        <v>1</v>
      </c>
      <c r="E17" s="130">
        <f>3.75/3.281</f>
        <v>1.1429442243218531</v>
      </c>
      <c r="F17" s="130">
        <v>0.23</v>
      </c>
      <c r="G17" s="130">
        <f>2/3.281</f>
        <v>0.6095702529716549</v>
      </c>
      <c r="H17" s="130">
        <f>D17*E17*G17</f>
        <v>0.6967047999523639</v>
      </c>
      <c r="I17" s="130"/>
      <c r="J17" s="130"/>
      <c r="K17" s="130"/>
      <c r="L17" s="131"/>
    </row>
    <row r="18" spans="2:12">
      <c r="B18" s="127"/>
      <c r="C18" s="132" t="s">
        <v>153</v>
      </c>
      <c r="D18" s="129">
        <v>1</v>
      </c>
      <c r="E18" s="130">
        <f>2/3.281</f>
        <v>0.6095702529716549</v>
      </c>
      <c r="F18" s="130">
        <v>0.1</v>
      </c>
      <c r="G18" s="130">
        <f>25/12/3.281</f>
        <v>0.63496901351214063</v>
      </c>
      <c r="H18" s="130">
        <f t="shared" ref="H18" si="1">D18*E18*F18*G18</f>
        <v>3.8705822219575775E-2</v>
      </c>
      <c r="I18" s="129"/>
      <c r="J18" s="129"/>
      <c r="K18" s="129"/>
      <c r="L18" s="131"/>
    </row>
    <row r="19" spans="2:12">
      <c r="B19" s="127"/>
      <c r="C19" s="132" t="s">
        <v>145</v>
      </c>
      <c r="D19" s="129">
        <v>1</v>
      </c>
      <c r="E19" s="130">
        <f>(5.25/3.281)</f>
        <v>1.6001219140505942</v>
      </c>
      <c r="F19" s="130">
        <v>0.23</v>
      </c>
      <c r="G19" s="130">
        <f>((5.33+8)/2)/3.281</f>
        <v>2.03139286802804</v>
      </c>
      <c r="H19" s="130">
        <f t="shared" ref="H19:H21" si="2">D19*E19*G19</f>
        <v>3.2504762441777535</v>
      </c>
      <c r="I19" s="130"/>
      <c r="J19" s="130"/>
      <c r="K19" s="130"/>
      <c r="L19" s="131"/>
    </row>
    <row r="20" spans="2:12">
      <c r="B20" s="127"/>
      <c r="C20" s="133"/>
      <c r="D20" s="129">
        <v>1</v>
      </c>
      <c r="E20" s="130">
        <f>4.5/3.281</f>
        <v>1.3715330691862238</v>
      </c>
      <c r="F20" s="130">
        <v>0.23</v>
      </c>
      <c r="G20" s="130">
        <f>8/3.281</f>
        <v>2.4382810118866196</v>
      </c>
      <c r="H20" s="130">
        <f t="shared" si="2"/>
        <v>3.3441830397713468</v>
      </c>
      <c r="I20" s="130"/>
      <c r="J20" s="130"/>
      <c r="K20" s="130"/>
      <c r="L20" s="131"/>
    </row>
    <row r="21" spans="2:12">
      <c r="B21" s="127"/>
      <c r="C21" s="132" t="s">
        <v>146</v>
      </c>
      <c r="D21" s="129">
        <v>-1</v>
      </c>
      <c r="E21" s="130">
        <f>2.5/3.281</f>
        <v>0.76196281621456874</v>
      </c>
      <c r="F21" s="130">
        <v>0.23</v>
      </c>
      <c r="G21" s="130">
        <f>6.5/3.281</f>
        <v>1.9811033221578787</v>
      </c>
      <c r="H21" s="130">
        <f t="shared" si="2"/>
        <v>-1.5095270665634553</v>
      </c>
      <c r="I21" s="130"/>
      <c r="J21" s="130"/>
      <c r="K21" s="130"/>
      <c r="L21" s="131"/>
    </row>
    <row r="22" spans="2:12">
      <c r="B22" s="127"/>
      <c r="C22" s="134"/>
      <c r="D22" s="129"/>
      <c r="E22" s="130"/>
      <c r="F22" s="130"/>
      <c r="G22" s="135"/>
      <c r="H22" s="130">
        <f>SUM(H14:H21)</f>
        <v>30.169924735321075</v>
      </c>
      <c r="I22" s="129" t="s">
        <v>24</v>
      </c>
      <c r="J22" s="130">
        <v>1982.2</v>
      </c>
      <c r="K22" s="130">
        <f>H22*J22</f>
        <v>59802.824810353435</v>
      </c>
      <c r="L22" s="131"/>
    </row>
    <row r="23" spans="2:12">
      <c r="B23" s="127"/>
      <c r="C23" s="136"/>
      <c r="D23" s="129"/>
      <c r="E23" s="130"/>
      <c r="F23" s="130"/>
      <c r="G23" s="135"/>
      <c r="H23" s="130"/>
      <c r="I23" s="129"/>
      <c r="J23" s="130"/>
      <c r="K23" s="130"/>
      <c r="L23" s="131"/>
    </row>
    <row r="24" spans="2:12" ht="56.25">
      <c r="B24" s="127">
        <v>3</v>
      </c>
      <c r="C24" s="115" t="s">
        <v>105</v>
      </c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>
      <c r="B25" s="127"/>
      <c r="C25" s="136"/>
      <c r="D25" s="129">
        <f>D10</f>
        <v>1</v>
      </c>
      <c r="E25" s="130">
        <f>E10</f>
        <v>5</v>
      </c>
      <c r="F25" s="130">
        <f>F10</f>
        <v>3.3526363913441024</v>
      </c>
      <c r="G25" s="135">
        <v>7.4999999999999997E-2</v>
      </c>
      <c r="H25" s="130">
        <f>D25*E25*F25*G25</f>
        <v>1.2572386467540384</v>
      </c>
      <c r="I25" s="129"/>
      <c r="J25" s="130"/>
      <c r="K25" s="130"/>
      <c r="L25" s="131"/>
    </row>
    <row r="26" spans="2:12">
      <c r="B26" s="127"/>
      <c r="C26" s="134"/>
      <c r="D26" s="129"/>
      <c r="E26" s="130"/>
      <c r="F26" s="130"/>
      <c r="G26" s="135"/>
      <c r="H26" s="130">
        <f>SUM(H25)</f>
        <v>1.2572386467540384</v>
      </c>
      <c r="I26" s="129" t="s">
        <v>24</v>
      </c>
      <c r="J26" s="130">
        <v>770.43</v>
      </c>
      <c r="K26" s="130">
        <f>H26*J26</f>
        <v>968.61437061871379</v>
      </c>
      <c r="L26" s="131"/>
    </row>
    <row r="27" spans="2:12">
      <c r="B27" s="127"/>
      <c r="C27" s="134"/>
      <c r="D27" s="129"/>
      <c r="E27" s="130"/>
      <c r="F27" s="130"/>
      <c r="G27" s="135"/>
      <c r="H27" s="130"/>
      <c r="I27" s="129"/>
      <c r="J27" s="130"/>
      <c r="K27" s="130"/>
      <c r="L27" s="131"/>
    </row>
    <row r="28" spans="2:12" ht="18.75">
      <c r="B28" s="137">
        <v>4</v>
      </c>
      <c r="C28" s="116" t="s">
        <v>104</v>
      </c>
      <c r="D28" s="135"/>
      <c r="E28" s="138"/>
      <c r="F28" s="138"/>
      <c r="G28" s="135"/>
      <c r="H28" s="138"/>
      <c r="I28" s="135"/>
      <c r="J28" s="138"/>
      <c r="K28" s="138"/>
      <c r="L28" s="131"/>
    </row>
    <row r="29" spans="2:12">
      <c r="B29" s="137"/>
      <c r="C29" s="139" t="s">
        <v>132</v>
      </c>
      <c r="D29" s="135">
        <f>D16</f>
        <v>1</v>
      </c>
      <c r="E29" s="138">
        <f>E16</f>
        <v>5</v>
      </c>
      <c r="F29" s="138">
        <f>F25</f>
        <v>3.3526363913441024</v>
      </c>
      <c r="G29" s="135"/>
      <c r="H29" s="138">
        <f>PRODUCT(D29:G29)</f>
        <v>16.763181956720512</v>
      </c>
      <c r="I29" s="135"/>
      <c r="J29" s="138"/>
      <c r="K29" s="138"/>
      <c r="L29" s="131"/>
    </row>
    <row r="30" spans="2:12">
      <c r="B30" s="137"/>
      <c r="C30" s="131"/>
      <c r="D30" s="135"/>
      <c r="E30" s="138"/>
      <c r="F30" s="138"/>
      <c r="G30" s="135"/>
      <c r="H30" s="138">
        <f>SUM(H29)</f>
        <v>16.763181956720512</v>
      </c>
      <c r="I30" s="135" t="s">
        <v>23</v>
      </c>
      <c r="J30" s="138">
        <f>Sheet1!H8/10</f>
        <v>155.75</v>
      </c>
      <c r="K30" s="138">
        <f>H30*J30</f>
        <v>2610.8655897592198</v>
      </c>
      <c r="L30" s="131"/>
    </row>
    <row r="31" spans="2:12">
      <c r="B31" s="127"/>
      <c r="C31" s="13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2" ht="35.1" customHeight="1">
      <c r="B32" s="127">
        <v>5</v>
      </c>
      <c r="C32" s="128" t="s">
        <v>131</v>
      </c>
      <c r="D32" s="129"/>
      <c r="E32" s="130"/>
      <c r="F32" s="130"/>
      <c r="G32" s="130"/>
      <c r="H32" s="130"/>
      <c r="I32" s="129"/>
      <c r="J32" s="130"/>
      <c r="K32" s="130"/>
      <c r="L32" s="131"/>
    </row>
    <row r="33" spans="2:12">
      <c r="B33" s="127"/>
      <c r="C33" s="140" t="str">
        <f>C29</f>
        <v>-for flooring</v>
      </c>
      <c r="D33" s="129">
        <f>D29</f>
        <v>1</v>
      </c>
      <c r="E33" s="130">
        <f>E29</f>
        <v>5</v>
      </c>
      <c r="F33" s="130">
        <f>F29</f>
        <v>3.3526363913441024</v>
      </c>
      <c r="G33" s="130">
        <v>7.4999999999999997E-2</v>
      </c>
      <c r="H33" s="130">
        <f>D33*E33*F33*G33</f>
        <v>1.2572386467540384</v>
      </c>
      <c r="I33" s="129"/>
      <c r="J33" s="130"/>
      <c r="K33" s="130"/>
      <c r="L33" s="131"/>
    </row>
    <row r="34" spans="2:12">
      <c r="B34" s="127"/>
      <c r="C34" s="141"/>
      <c r="D34" s="129"/>
      <c r="E34" s="130"/>
      <c r="F34" s="130" t="s">
        <v>32</v>
      </c>
      <c r="G34" s="130"/>
      <c r="H34" s="130">
        <f>SUM(H33)</f>
        <v>1.2572386467540384</v>
      </c>
      <c r="I34" s="129" t="s">
        <v>24</v>
      </c>
      <c r="J34" s="130">
        <v>13351.1</v>
      </c>
      <c r="K34" s="130">
        <f>H34*J34</f>
        <v>16785.518896677844</v>
      </c>
      <c r="L34" s="131"/>
    </row>
    <row r="35" spans="2:12">
      <c r="B35" s="127"/>
      <c r="C35" s="140" t="s">
        <v>29</v>
      </c>
      <c r="D35" s="129"/>
      <c r="E35" s="130"/>
      <c r="F35" s="130"/>
      <c r="G35" s="130"/>
      <c r="H35" s="130"/>
      <c r="I35" s="129"/>
      <c r="J35" s="130"/>
      <c r="K35" s="130">
        <f>0.13*H34*4169.92</f>
        <v>681.53599512343794</v>
      </c>
      <c r="L35" s="131"/>
    </row>
    <row r="36" spans="2:12">
      <c r="B36" s="127"/>
      <c r="C36" s="140" t="s">
        <v>30</v>
      </c>
      <c r="D36" s="129"/>
      <c r="E36" s="130"/>
      <c r="F36" s="130"/>
      <c r="G36" s="130"/>
      <c r="H36" s="130"/>
      <c r="I36" s="129"/>
      <c r="J36" s="130"/>
      <c r="K36" s="130">
        <f>0.13*H34*1414.16</f>
        <v>231.13175861017984</v>
      </c>
      <c r="L36" s="131"/>
    </row>
    <row r="37" spans="2:12">
      <c r="B37" s="127"/>
      <c r="C37" s="140" t="s">
        <v>31</v>
      </c>
      <c r="D37" s="129"/>
      <c r="E37" s="130"/>
      <c r="F37" s="130"/>
      <c r="G37" s="130"/>
      <c r="H37" s="130"/>
      <c r="I37" s="129"/>
      <c r="J37" s="130"/>
      <c r="K37" s="130">
        <f>0.13*H34*(1652.5+737.97+349.56)</f>
        <v>447.83330920451084</v>
      </c>
      <c r="L37" s="131"/>
    </row>
    <row r="38" spans="2:12" ht="18.75">
      <c r="B38" s="127"/>
      <c r="C38" s="128"/>
      <c r="D38" s="129"/>
      <c r="E38" s="130"/>
      <c r="F38" s="130"/>
      <c r="G38" s="130"/>
      <c r="H38" s="130"/>
      <c r="I38" s="129"/>
      <c r="J38" s="130"/>
      <c r="K38" s="130"/>
      <c r="L38" s="131"/>
    </row>
    <row r="39" spans="2:12" ht="35.1" customHeight="1">
      <c r="B39" s="127">
        <v>6</v>
      </c>
      <c r="C39" s="128" t="s">
        <v>80</v>
      </c>
      <c r="D39" s="129"/>
      <c r="E39" s="130"/>
      <c r="F39" s="130"/>
      <c r="G39" s="130"/>
      <c r="H39" s="130"/>
      <c r="I39" s="129"/>
      <c r="J39" s="130"/>
      <c r="K39" s="130"/>
      <c r="L39" s="131"/>
    </row>
    <row r="40" spans="2:12">
      <c r="B40" s="127"/>
      <c r="C40" s="142" t="s">
        <v>133</v>
      </c>
      <c r="D40" s="129">
        <v>33</v>
      </c>
      <c r="E40" s="130">
        <f>(2+5.917+16.17+5.917+2)/3.281</f>
        <v>9.7543431880524238</v>
      </c>
      <c r="F40" s="130"/>
      <c r="G40" s="130">
        <f>10*10/162</f>
        <v>0.61728395061728392</v>
      </c>
      <c r="H40" s="130">
        <f>D40*E40*G40</f>
        <v>198.69958346032715</v>
      </c>
      <c r="I40" s="129"/>
      <c r="J40" s="130"/>
      <c r="K40" s="130"/>
      <c r="L40" s="131"/>
    </row>
    <row r="41" spans="2:12">
      <c r="B41" s="127"/>
      <c r="C41" s="140"/>
      <c r="D41" s="129">
        <v>32</v>
      </c>
      <c r="E41" s="130">
        <f>(2+5.5+15.667+5.5+2)/3.281</f>
        <v>9.3468454739408724</v>
      </c>
      <c r="F41" s="130"/>
      <c r="G41" s="130">
        <f>10*10/162</f>
        <v>0.61728395061728392</v>
      </c>
      <c r="H41" s="130">
        <f t="shared" ref="H41" si="3">D41*E41*G41</f>
        <v>184.62904639883203</v>
      </c>
      <c r="I41" s="129"/>
      <c r="J41" s="130"/>
      <c r="K41" s="130"/>
      <c r="L41" s="131"/>
    </row>
    <row r="42" spans="2:12">
      <c r="B42" s="127"/>
      <c r="C42" s="142" t="s">
        <v>133</v>
      </c>
      <c r="D42" s="129">
        <v>23</v>
      </c>
      <c r="E42" s="130">
        <f>(2+5.917+10.75+5.917+2)/3.281</f>
        <v>8.1024078024992381</v>
      </c>
      <c r="F42" s="130"/>
      <c r="G42" s="130">
        <f>10*10/162</f>
        <v>0.61728395061728392</v>
      </c>
      <c r="H42" s="130">
        <f>D42*E42*G42</f>
        <v>115.03418485029782</v>
      </c>
      <c r="I42" s="129"/>
      <c r="J42" s="130"/>
      <c r="K42" s="130"/>
      <c r="L42" s="131"/>
    </row>
    <row r="43" spans="2:12">
      <c r="B43" s="127"/>
      <c r="C43" s="140"/>
      <c r="D43" s="129">
        <v>22</v>
      </c>
      <c r="E43" s="130">
        <f>(2+5.5+10.25+5.5+2)/3.281</f>
        <v>7.6958244437671439</v>
      </c>
      <c r="F43" s="130"/>
      <c r="G43" s="130">
        <f>10*10/162</f>
        <v>0.61728395061728392</v>
      </c>
      <c r="H43" s="130">
        <f t="shared" ref="H43" si="4">D43*E43*G43</f>
        <v>104.51119614992416</v>
      </c>
      <c r="I43" s="129"/>
      <c r="J43" s="130"/>
      <c r="K43" s="130"/>
      <c r="L43" s="131"/>
    </row>
    <row r="44" spans="2:12">
      <c r="B44" s="127"/>
      <c r="C44" s="141"/>
      <c r="D44" s="129">
        <v>12</v>
      </c>
      <c r="E44" s="130">
        <f>(16.17+10.75+16.17+10.75)/3.281</f>
        <v>16.409631209996952</v>
      </c>
      <c r="F44" s="130"/>
      <c r="G44" s="130">
        <f>8*8/162</f>
        <v>0.39506172839506171</v>
      </c>
      <c r="H44" s="130">
        <f>D44*E44*G44</f>
        <v>77.79380721776333</v>
      </c>
      <c r="I44" s="129"/>
      <c r="J44" s="130"/>
      <c r="K44" s="130"/>
      <c r="L44" s="131"/>
    </row>
    <row r="45" spans="2:12">
      <c r="B45" s="127"/>
      <c r="C45" s="140"/>
      <c r="D45" s="129">
        <v>11</v>
      </c>
      <c r="E45" s="130">
        <f>(15.667+10.25+15.667+10.25)/3.281</f>
        <v>15.798232246266382</v>
      </c>
      <c r="F45" s="130"/>
      <c r="G45" s="130">
        <f>8*8/162</f>
        <v>0.39506172839506171</v>
      </c>
      <c r="H45" s="130">
        <f>D45*E45*G45</f>
        <v>68.654046304762545</v>
      </c>
      <c r="I45" s="129"/>
      <c r="J45" s="130"/>
      <c r="K45" s="130"/>
      <c r="L45" s="131"/>
    </row>
    <row r="46" spans="2:12">
      <c r="B46" s="127"/>
      <c r="C46" s="142" t="s">
        <v>134</v>
      </c>
      <c r="D46" s="129">
        <f>2*TRUNC((E47/0.15),0)</f>
        <v>42</v>
      </c>
      <c r="E46" s="130">
        <f>(16.17/3.281)</f>
        <v>4.928375495275831</v>
      </c>
      <c r="F46" s="130"/>
      <c r="G46" s="130">
        <f t="shared" ref="G46:G50" si="5">8*8/162</f>
        <v>0.39506172839506171</v>
      </c>
      <c r="H46" s="130">
        <f t="shared" ref="H46:H47" si="6">D46*E46*G46</f>
        <v>81.774526736428598</v>
      </c>
      <c r="I46" s="129"/>
      <c r="J46" s="130"/>
      <c r="K46" s="130"/>
      <c r="L46" s="131"/>
    </row>
    <row r="47" spans="2:12">
      <c r="B47" s="127"/>
      <c r="C47" s="140"/>
      <c r="D47" s="129">
        <f>2*TRUNC((E46/0.15),0)</f>
        <v>64</v>
      </c>
      <c r="E47" s="130">
        <f>10.75/3.281</f>
        <v>3.2764401097226452</v>
      </c>
      <c r="F47" s="130"/>
      <c r="G47" s="130">
        <f t="shared" si="5"/>
        <v>0.39506172839506171</v>
      </c>
      <c r="H47" s="130">
        <f t="shared" si="6"/>
        <v>82.841349934715765</v>
      </c>
      <c r="I47" s="129"/>
      <c r="J47" s="130"/>
      <c r="K47" s="130"/>
      <c r="L47" s="131"/>
    </row>
    <row r="48" spans="2:12">
      <c r="B48" s="127"/>
      <c r="C48" s="142" t="s">
        <v>146</v>
      </c>
      <c r="D48" s="129">
        <f>-2*5</f>
        <v>-10</v>
      </c>
      <c r="E48" s="130">
        <v>0.6</v>
      </c>
      <c r="F48" s="130"/>
      <c r="G48" s="130">
        <f t="shared" si="5"/>
        <v>0.39506172839506171</v>
      </c>
      <c r="H48" s="130">
        <f t="shared" ref="H48:H49" si="7">PRODUCT(D48:G48)</f>
        <v>-2.3703703703703702</v>
      </c>
      <c r="I48" s="129"/>
      <c r="J48" s="130"/>
      <c r="K48" s="130"/>
      <c r="L48" s="131"/>
    </row>
    <row r="49" spans="2:12">
      <c r="B49" s="127"/>
      <c r="C49" s="142"/>
      <c r="D49" s="129">
        <f>-2*5</f>
        <v>-10</v>
      </c>
      <c r="E49" s="130">
        <v>0.6</v>
      </c>
      <c r="F49" s="130"/>
      <c r="G49" s="130">
        <f t="shared" si="5"/>
        <v>0.39506172839506171</v>
      </c>
      <c r="H49" s="130">
        <f t="shared" si="7"/>
        <v>-2.3703703703703702</v>
      </c>
      <c r="I49" s="129"/>
      <c r="J49" s="130"/>
      <c r="K49" s="130"/>
      <c r="L49" s="131"/>
    </row>
    <row r="50" spans="2:12">
      <c r="B50" s="127"/>
      <c r="C50" s="142" t="s">
        <v>141</v>
      </c>
      <c r="D50" s="143">
        <f>28*2+17*2</f>
        <v>90</v>
      </c>
      <c r="E50" s="130">
        <f>(1+1.42+1)/3.281</f>
        <v>1.04236513258153</v>
      </c>
      <c r="F50" s="130"/>
      <c r="G50" s="130">
        <f t="shared" si="5"/>
        <v>0.39506172839506171</v>
      </c>
      <c r="H50" s="130">
        <f t="shared" ref="H50" si="8">D50*E50*G50</f>
        <v>37.061871380676621</v>
      </c>
      <c r="I50" s="129"/>
      <c r="J50" s="130"/>
      <c r="K50" s="130"/>
      <c r="L50" s="131"/>
    </row>
    <row r="51" spans="2:12">
      <c r="B51" s="127"/>
      <c r="C51" s="140"/>
      <c r="D51" s="129"/>
      <c r="E51" s="130"/>
      <c r="F51" s="130"/>
      <c r="G51" s="130"/>
      <c r="H51" s="130">
        <f>SUM(H40:H50)</f>
        <v>946.25887169298721</v>
      </c>
      <c r="I51" s="129" t="s">
        <v>18</v>
      </c>
      <c r="J51" s="130">
        <f>132360/1000</f>
        <v>132.36000000000001</v>
      </c>
      <c r="K51" s="130">
        <f>H51*J51</f>
        <v>125246.82425728381</v>
      </c>
      <c r="L51" s="131"/>
    </row>
    <row r="52" spans="2:12">
      <c r="B52" s="127"/>
      <c r="C52" s="140" t="s">
        <v>81</v>
      </c>
      <c r="D52" s="129"/>
      <c r="E52" s="130"/>
      <c r="F52" s="130"/>
      <c r="G52" s="130"/>
      <c r="H52" s="130"/>
      <c r="I52" s="129"/>
      <c r="J52" s="130"/>
      <c r="K52" s="130">
        <f>0.13*H51*106200/1000</f>
        <v>13064.049982593382</v>
      </c>
      <c r="L52" s="131"/>
    </row>
    <row r="53" spans="2:12">
      <c r="B53" s="127"/>
      <c r="C53" s="140"/>
      <c r="D53" s="129"/>
      <c r="E53" s="130"/>
      <c r="F53" s="130"/>
      <c r="G53" s="130"/>
      <c r="H53" s="130"/>
      <c r="I53" s="129"/>
      <c r="J53" s="130"/>
      <c r="K53" s="130"/>
      <c r="L53" s="131"/>
    </row>
    <row r="54" spans="2:12" ht="37.5">
      <c r="B54" s="127">
        <v>7</v>
      </c>
      <c r="C54" s="128" t="s">
        <v>135</v>
      </c>
      <c r="D54" s="129"/>
      <c r="E54" s="130"/>
      <c r="F54" s="130"/>
      <c r="G54" s="130"/>
      <c r="H54" s="130"/>
      <c r="I54" s="129"/>
      <c r="J54" s="130"/>
      <c r="K54" s="130"/>
      <c r="L54" s="131"/>
    </row>
    <row r="55" spans="2:12">
      <c r="B55" s="127"/>
      <c r="C55" s="142" t="s">
        <v>136</v>
      </c>
      <c r="D55" s="129">
        <v>1</v>
      </c>
      <c r="E55" s="130">
        <f>((16.42+11)*2)/3.281</f>
        <v>16.714416336482781</v>
      </c>
      <c r="F55" s="130"/>
      <c r="G55" s="130">
        <f>4.583/3.281</f>
        <v>1.3968302346845474</v>
      </c>
      <c r="H55" s="130">
        <f>PRODUCT(D55:G55)</f>
        <v>23.347202093904475</v>
      </c>
      <c r="I55" s="129"/>
      <c r="J55" s="130"/>
      <c r="K55" s="130"/>
      <c r="L55" s="131"/>
    </row>
    <row r="56" spans="2:12">
      <c r="B56" s="127"/>
      <c r="C56" s="140"/>
      <c r="D56" s="129">
        <v>1</v>
      </c>
      <c r="E56" s="130">
        <f>((15.42+10)*2)/3.281</f>
        <v>15.49527583053947</v>
      </c>
      <c r="F56" s="130"/>
      <c r="G56" s="130">
        <f>4.17/3.281</f>
        <v>1.2709539774459007</v>
      </c>
      <c r="H56" s="130">
        <f t="shared" ref="H56:H58" si="9">PRODUCT(D56:G56)</f>
        <v>19.693782448445472</v>
      </c>
      <c r="I56" s="129"/>
      <c r="J56" s="130"/>
      <c r="K56" s="130"/>
      <c r="L56" s="131"/>
    </row>
    <row r="57" spans="2:12">
      <c r="B57" s="127"/>
      <c r="C57" s="142" t="s">
        <v>137</v>
      </c>
      <c r="D57" s="129">
        <v>1</v>
      </c>
      <c r="E57" s="130">
        <f>(15.42/3.281)</f>
        <v>4.6997866504114594</v>
      </c>
      <c r="F57" s="130">
        <f>10/3.281</f>
        <v>3.047851264858275</v>
      </c>
      <c r="G57" s="130"/>
      <c r="H57" s="130">
        <f t="shared" si="9"/>
        <v>14.324250687020601</v>
      </c>
      <c r="I57" s="129"/>
      <c r="J57" s="130"/>
      <c r="K57" s="130"/>
      <c r="L57" s="131"/>
    </row>
    <row r="58" spans="2:12">
      <c r="B58" s="127"/>
      <c r="C58" s="142" t="s">
        <v>146</v>
      </c>
      <c r="D58" s="129">
        <v>-1</v>
      </c>
      <c r="E58" s="130">
        <v>0.6</v>
      </c>
      <c r="F58" s="130">
        <v>0.6</v>
      </c>
      <c r="G58" s="130"/>
      <c r="H58" s="130">
        <f t="shared" si="9"/>
        <v>-0.36</v>
      </c>
      <c r="I58" s="129"/>
      <c r="J58" s="130"/>
      <c r="K58" s="130"/>
      <c r="L58" s="131"/>
    </row>
    <row r="59" spans="2:12">
      <c r="B59" s="127"/>
      <c r="C59" s="140"/>
      <c r="D59" s="129"/>
      <c r="E59" s="130"/>
      <c r="F59" s="130"/>
      <c r="G59" s="130"/>
      <c r="H59" s="130">
        <f>SUM(H55:H58)</f>
        <v>57.005235229370548</v>
      </c>
      <c r="I59" s="129" t="s">
        <v>23</v>
      </c>
      <c r="J59" s="130">
        <v>922.71</v>
      </c>
      <c r="K59" s="130">
        <f>H59*J59</f>
        <v>52599.300598492504</v>
      </c>
      <c r="L59" s="131"/>
    </row>
    <row r="60" spans="2:12">
      <c r="B60" s="127"/>
      <c r="C60" s="140" t="s">
        <v>81</v>
      </c>
      <c r="D60" s="129"/>
      <c r="E60" s="130"/>
      <c r="F60" s="130"/>
      <c r="G60" s="130"/>
      <c r="H60" s="130"/>
      <c r="I60" s="129"/>
      <c r="J60" s="130"/>
      <c r="K60" s="130">
        <f>0.13*H59*46827.87/100</f>
        <v>3470.2638680324994</v>
      </c>
      <c r="L60" s="131"/>
    </row>
    <row r="61" spans="2:12">
      <c r="B61" s="127"/>
      <c r="C61" s="140"/>
      <c r="D61" s="129"/>
      <c r="E61" s="130"/>
      <c r="F61" s="130"/>
      <c r="G61" s="130"/>
      <c r="H61" s="130"/>
      <c r="I61" s="129"/>
      <c r="J61" s="130"/>
      <c r="K61" s="130"/>
      <c r="L61" s="131"/>
    </row>
    <row r="62" spans="2:12" ht="56.25">
      <c r="B62" s="127">
        <v>8</v>
      </c>
      <c r="C62" s="128" t="s">
        <v>142</v>
      </c>
      <c r="D62" s="129"/>
      <c r="E62" s="130"/>
      <c r="F62" s="130"/>
      <c r="G62" s="130"/>
      <c r="H62" s="130"/>
      <c r="I62" s="129"/>
      <c r="J62" s="130"/>
      <c r="K62" s="130"/>
      <c r="L62" s="131"/>
    </row>
    <row r="63" spans="2:12">
      <c r="B63" s="127"/>
      <c r="C63" s="142" t="s">
        <v>140</v>
      </c>
      <c r="D63" s="129">
        <v>2</v>
      </c>
      <c r="E63" s="130">
        <f>E29</f>
        <v>5</v>
      </c>
      <c r="F63" s="130">
        <f>F29</f>
        <v>3.3526363913441024</v>
      </c>
      <c r="G63" s="130">
        <f>0.42/3.281</f>
        <v>0.12800975312404753</v>
      </c>
      <c r="H63" s="130">
        <f>D63*E63*F63*G63</f>
        <v>4.2917015677065615</v>
      </c>
      <c r="I63" s="129"/>
      <c r="J63" s="130"/>
      <c r="K63" s="130"/>
      <c r="L63" s="131"/>
    </row>
    <row r="64" spans="2:12">
      <c r="B64" s="127"/>
      <c r="C64" s="142" t="s">
        <v>139</v>
      </c>
      <c r="D64" s="129">
        <v>2</v>
      </c>
      <c r="E64" s="130">
        <f>E63</f>
        <v>5</v>
      </c>
      <c r="F64" s="130">
        <v>0.15</v>
      </c>
      <c r="G64" s="130">
        <f>5.25/3.281</f>
        <v>1.6001219140505942</v>
      </c>
      <c r="H64" s="130">
        <f>D64*E64*F64*G64</f>
        <v>2.4001828710758915</v>
      </c>
      <c r="I64" s="129"/>
      <c r="J64" s="130"/>
      <c r="K64" s="130"/>
      <c r="L64" s="131"/>
    </row>
    <row r="65" spans="2:12">
      <c r="B65" s="127"/>
      <c r="C65" s="141"/>
      <c r="D65" s="129">
        <v>2</v>
      </c>
      <c r="E65" s="130">
        <f>10/3.281</f>
        <v>3.047851264858275</v>
      </c>
      <c r="F65" s="130">
        <v>0.15</v>
      </c>
      <c r="G65" s="130">
        <f>5.25/3.281</f>
        <v>1.6001219140505942</v>
      </c>
      <c r="H65" s="130">
        <f>D65*E65*F65*G65</f>
        <v>1.4630800798999641</v>
      </c>
      <c r="I65" s="129"/>
      <c r="J65" s="130"/>
      <c r="K65" s="130"/>
      <c r="L65" s="131"/>
    </row>
    <row r="66" spans="2:12">
      <c r="B66" s="127"/>
      <c r="C66" s="142" t="s">
        <v>138</v>
      </c>
      <c r="D66" s="129">
        <v>0.5</v>
      </c>
      <c r="E66" s="130">
        <f>(13.42*2+8*2)/3.281</f>
        <v>13.05699481865285</v>
      </c>
      <c r="F66" s="130">
        <f>1/3.281</f>
        <v>0.30478512648582745</v>
      </c>
      <c r="G66" s="130">
        <f>1/3.281</f>
        <v>0.30478512648582745</v>
      </c>
      <c r="H66" s="130">
        <f>D66*E66*F66*G66</f>
        <v>0.60645806420723891</v>
      </c>
      <c r="I66" s="129"/>
      <c r="J66" s="130"/>
      <c r="K66" s="130"/>
      <c r="L66" s="131"/>
    </row>
    <row r="67" spans="2:12">
      <c r="B67" s="127"/>
      <c r="C67" s="142" t="s">
        <v>146</v>
      </c>
      <c r="D67" s="129">
        <v>-1</v>
      </c>
      <c r="E67" s="130">
        <v>0.6</v>
      </c>
      <c r="F67" s="130">
        <v>0.6</v>
      </c>
      <c r="G67" s="130">
        <f>0.42/3.281</f>
        <v>0.12800975312404753</v>
      </c>
      <c r="H67" s="130">
        <f>D67*E67*F67*G67</f>
        <v>-4.6083511124657105E-2</v>
      </c>
      <c r="I67" s="129"/>
      <c r="J67" s="130"/>
      <c r="K67" s="130"/>
      <c r="L67" s="131"/>
    </row>
    <row r="68" spans="2:12">
      <c r="B68" s="127"/>
      <c r="C68" s="142"/>
      <c r="D68" s="129"/>
      <c r="E68" s="130"/>
      <c r="F68" s="130" t="s">
        <v>32</v>
      </c>
      <c r="G68" s="130"/>
      <c r="H68" s="130">
        <f>SUM(H63:H67)</f>
        <v>8.7153390717649994</v>
      </c>
      <c r="I68" s="129" t="s">
        <v>24</v>
      </c>
      <c r="J68" s="130">
        <v>13957.29</v>
      </c>
      <c r="K68" s="130">
        <f>H68*J68</f>
        <v>121642.51487295491</v>
      </c>
      <c r="L68" s="131"/>
    </row>
    <row r="69" spans="2:12">
      <c r="B69" s="127"/>
      <c r="C69" s="140" t="s">
        <v>29</v>
      </c>
      <c r="D69" s="129"/>
      <c r="E69" s="130"/>
      <c r="F69" s="130"/>
      <c r="G69" s="130"/>
      <c r="H69" s="130"/>
      <c r="I69" s="129"/>
      <c r="J69" s="130"/>
      <c r="K69" s="130">
        <f>0.13*H68*5212.4</f>
        <v>5905.6183390968245</v>
      </c>
      <c r="L69" s="131"/>
    </row>
    <row r="70" spans="2:12">
      <c r="B70" s="127"/>
      <c r="C70" s="140" t="s">
        <v>30</v>
      </c>
      <c r="D70" s="129"/>
      <c r="E70" s="130"/>
      <c r="F70" s="130"/>
      <c r="G70" s="130"/>
      <c r="H70" s="130"/>
      <c r="I70" s="129"/>
      <c r="J70" s="130"/>
      <c r="K70" s="130">
        <f>0.13*H68*1350.6</f>
        <v>1530.221803542355</v>
      </c>
      <c r="L70" s="131"/>
    </row>
    <row r="71" spans="2:12">
      <c r="B71" s="127"/>
      <c r="C71" s="140" t="s">
        <v>31</v>
      </c>
      <c r="D71" s="129"/>
      <c r="E71" s="130"/>
      <c r="F71" s="130"/>
      <c r="G71" s="130"/>
      <c r="H71" s="130"/>
      <c r="I71" s="129"/>
      <c r="J71" s="130"/>
      <c r="K71" s="130">
        <f>0.13*H68*(1912.03+921.59)</f>
        <v>3210.4746830695158</v>
      </c>
      <c r="L71" s="131"/>
    </row>
    <row r="72" spans="2:12">
      <c r="B72" s="127"/>
      <c r="C72" s="140" t="s">
        <v>143</v>
      </c>
      <c r="D72" s="129"/>
      <c r="E72" s="130"/>
      <c r="F72" s="130"/>
      <c r="G72" s="130"/>
      <c r="H72" s="130"/>
      <c r="I72" s="129"/>
      <c r="J72" s="130"/>
      <c r="K72" s="130">
        <f>0.13*H68*392.92</f>
        <v>445.17603365012752</v>
      </c>
      <c r="L72" s="131"/>
    </row>
    <row r="73" spans="2:12">
      <c r="B73" s="127"/>
      <c r="C73" s="140" t="s">
        <v>144</v>
      </c>
      <c r="D73" s="129"/>
      <c r="E73" s="130"/>
      <c r="F73" s="130"/>
      <c r="G73" s="130"/>
      <c r="H73" s="130"/>
      <c r="I73" s="129"/>
      <c r="J73" s="130"/>
      <c r="K73" s="130">
        <f>0.13*H68*14.15</f>
        <v>16.031866222511717</v>
      </c>
      <c r="L73" s="131"/>
    </row>
    <row r="74" spans="2:12">
      <c r="B74" s="127"/>
      <c r="C74" s="140"/>
      <c r="D74" s="129"/>
      <c r="E74" s="130"/>
      <c r="F74" s="130"/>
      <c r="G74" s="130"/>
      <c r="H74" s="130"/>
      <c r="I74" s="129"/>
      <c r="J74" s="130"/>
      <c r="K74" s="130"/>
      <c r="L74" s="131"/>
    </row>
    <row r="75" spans="2:12" ht="53.25">
      <c r="B75" s="127">
        <v>9</v>
      </c>
      <c r="C75" s="128" t="s">
        <v>164</v>
      </c>
      <c r="D75" s="129"/>
      <c r="E75" s="130"/>
      <c r="F75" s="130"/>
      <c r="G75" s="130"/>
      <c r="H75" s="130"/>
      <c r="I75" s="129"/>
      <c r="J75" s="130"/>
      <c r="K75" s="130"/>
      <c r="L75" s="131"/>
    </row>
    <row r="76" spans="2:12">
      <c r="B76" s="127"/>
      <c r="C76" s="140" t="str">
        <f>C19</f>
        <v>-at toilet of ward</v>
      </c>
      <c r="D76" s="129">
        <v>1</v>
      </c>
      <c r="E76" s="130">
        <f>5.33/3.281</f>
        <v>1.6245047241694606</v>
      </c>
      <c r="F76" s="130">
        <v>0.23</v>
      </c>
      <c r="G76" s="130">
        <f>8.75/3.281</f>
        <v>2.6668698567509903</v>
      </c>
      <c r="H76" s="130">
        <f>D76*E76*F76*G76</f>
        <v>0.99643881663853684</v>
      </c>
      <c r="I76" s="129"/>
      <c r="J76" s="129"/>
      <c r="K76" s="129"/>
      <c r="L76" s="131"/>
    </row>
    <row r="77" spans="2:12">
      <c r="B77" s="127"/>
      <c r="C77" s="140" t="s">
        <v>146</v>
      </c>
      <c r="D77" s="129">
        <v>-1</v>
      </c>
      <c r="E77" s="130">
        <f>2.5/3.281</f>
        <v>0.76196281621456874</v>
      </c>
      <c r="F77" s="130">
        <v>0.23</v>
      </c>
      <c r="G77" s="130">
        <f>6.5/3.281</f>
        <v>1.9811033221578787</v>
      </c>
      <c r="H77" s="130">
        <f>D77*E77*F77*G77</f>
        <v>-0.34719122530959468</v>
      </c>
      <c r="I77" s="129"/>
      <c r="J77" s="129"/>
      <c r="K77" s="129"/>
      <c r="L77" s="131"/>
    </row>
    <row r="78" spans="2:12">
      <c r="B78" s="127"/>
      <c r="C78" s="140"/>
      <c r="D78" s="129"/>
      <c r="E78" s="130"/>
      <c r="F78" s="130"/>
      <c r="G78" s="135"/>
      <c r="H78" s="130">
        <f>SUM(H76:H77)</f>
        <v>0.64924759132894216</v>
      </c>
      <c r="I78" s="129" t="s">
        <v>35</v>
      </c>
      <c r="J78" s="130">
        <v>14491.84</v>
      </c>
      <c r="K78" s="130">
        <f>H78*J78</f>
        <v>9408.7922139244165</v>
      </c>
      <c r="L78" s="131"/>
    </row>
    <row r="79" spans="2:12">
      <c r="B79" s="127"/>
      <c r="C79" s="140" t="s">
        <v>29</v>
      </c>
      <c r="D79" s="129"/>
      <c r="E79" s="130"/>
      <c r="F79" s="130"/>
      <c r="G79" s="135"/>
      <c r="H79" s="129"/>
      <c r="I79" s="129"/>
      <c r="J79" s="130"/>
      <c r="K79" s="130">
        <f>0.13*H78*912.17</f>
        <v>76.989142799727745</v>
      </c>
      <c r="L79" s="131"/>
    </row>
    <row r="80" spans="2:12">
      <c r="B80" s="127"/>
      <c r="C80" s="140" t="s">
        <v>30</v>
      </c>
      <c r="D80" s="129"/>
      <c r="E80" s="129"/>
      <c r="F80" s="129"/>
      <c r="G80" s="129"/>
      <c r="H80" s="129"/>
      <c r="I80" s="129"/>
      <c r="J80" s="130"/>
      <c r="K80" s="130">
        <f>0.13*H78*953.37</f>
        <v>80.466512898885568</v>
      </c>
      <c r="L80" s="131"/>
    </row>
    <row r="81" spans="2:12">
      <c r="B81" s="127"/>
      <c r="C81" s="140" t="s">
        <v>38</v>
      </c>
      <c r="D81" s="129"/>
      <c r="E81" s="130"/>
      <c r="F81" s="130"/>
      <c r="G81" s="135"/>
      <c r="H81" s="130"/>
      <c r="I81" s="129"/>
      <c r="J81" s="130"/>
      <c r="K81" s="130">
        <f>0.13*H78*8481.2</f>
        <v>715.83182730527324</v>
      </c>
      <c r="L81" s="131"/>
    </row>
    <row r="82" spans="2:12">
      <c r="B82" s="127"/>
      <c r="C82" s="134"/>
      <c r="D82" s="129"/>
      <c r="E82" s="130"/>
      <c r="F82" s="130"/>
      <c r="G82" s="135"/>
      <c r="H82" s="130"/>
      <c r="I82" s="129"/>
      <c r="J82" s="130"/>
      <c r="K82" s="130"/>
      <c r="L82" s="131"/>
    </row>
    <row r="83" spans="2:12" ht="35.1" customHeight="1">
      <c r="B83" s="127">
        <v>10</v>
      </c>
      <c r="C83" s="128" t="s">
        <v>78</v>
      </c>
      <c r="D83" s="129"/>
      <c r="E83" s="129"/>
      <c r="F83" s="129"/>
      <c r="G83" s="129"/>
      <c r="H83" s="130"/>
      <c r="I83" s="129"/>
      <c r="J83" s="130"/>
      <c r="K83" s="130"/>
      <c r="L83" s="131"/>
    </row>
    <row r="84" spans="2:12">
      <c r="B84" s="127"/>
      <c r="C84" s="140" t="s">
        <v>148</v>
      </c>
      <c r="D84" s="129">
        <v>2</v>
      </c>
      <c r="E84" s="129">
        <f>15.42/3.281</f>
        <v>4.6997866504114594</v>
      </c>
      <c r="F84" s="129"/>
      <c r="G84" s="129">
        <f>5.25/3.281</f>
        <v>1.6001219140505942</v>
      </c>
      <c r="H84" s="130">
        <f>D84*E84*G84</f>
        <v>15.040463221371631</v>
      </c>
      <c r="I84" s="129"/>
      <c r="J84" s="130"/>
      <c r="K84" s="130"/>
      <c r="L84" s="131"/>
    </row>
    <row r="85" spans="2:12">
      <c r="B85" s="127"/>
      <c r="C85" s="144"/>
      <c r="D85" s="129">
        <v>2</v>
      </c>
      <c r="E85" s="129">
        <f>10/3.281</f>
        <v>3.047851264858275</v>
      </c>
      <c r="F85" s="129"/>
      <c r="G85" s="129">
        <f>5.25/3.281</f>
        <v>1.6001219140505942</v>
      </c>
      <c r="H85" s="130">
        <f>D85*E85*G85</f>
        <v>9.7538671993330954</v>
      </c>
      <c r="I85" s="129"/>
      <c r="J85" s="145"/>
      <c r="K85" s="130"/>
      <c r="L85" s="131"/>
    </row>
    <row r="86" spans="2:12">
      <c r="B86" s="127"/>
      <c r="C86" s="133" t="str">
        <f t="shared" ref="C86:E87" si="10">C76</f>
        <v>-at toilet of ward</v>
      </c>
      <c r="D86" s="129">
        <f t="shared" si="10"/>
        <v>1</v>
      </c>
      <c r="E86" s="129">
        <f t="shared" si="10"/>
        <v>1.6245047241694606</v>
      </c>
      <c r="F86" s="129"/>
      <c r="G86" s="129">
        <f>G76-4/3.281</f>
        <v>1.4477293508076805</v>
      </c>
      <c r="H86" s="130">
        <f>D86*E86*G86</f>
        <v>2.3518431697058633</v>
      </c>
      <c r="I86" s="129"/>
      <c r="J86" s="145"/>
      <c r="K86" s="130"/>
      <c r="L86" s="131"/>
    </row>
    <row r="87" spans="2:12">
      <c r="B87" s="127"/>
      <c r="C87" s="133" t="str">
        <f t="shared" si="10"/>
        <v>-deduction for opening</v>
      </c>
      <c r="D87" s="129">
        <f t="shared" si="10"/>
        <v>-1</v>
      </c>
      <c r="E87" s="129">
        <f t="shared" si="10"/>
        <v>0.76196281621456874</v>
      </c>
      <c r="F87" s="129"/>
      <c r="G87" s="129">
        <f>G77</f>
        <v>1.9811033221578787</v>
      </c>
      <c r="H87" s="130">
        <f>D87*E87*G87</f>
        <v>-1.5095270665634553</v>
      </c>
      <c r="I87" s="129"/>
      <c r="J87" s="145"/>
      <c r="K87" s="130"/>
      <c r="L87" s="131"/>
    </row>
    <row r="88" spans="2:12">
      <c r="B88" s="127"/>
      <c r="C88" s="144"/>
      <c r="D88" s="129"/>
      <c r="E88" s="130"/>
      <c r="F88" s="130"/>
      <c r="G88" s="135"/>
      <c r="H88" s="130">
        <f>SUM(H84:H87)</f>
        <v>25.636646523847133</v>
      </c>
      <c r="I88" s="129" t="s">
        <v>40</v>
      </c>
      <c r="J88" s="130">
        <v>415.5</v>
      </c>
      <c r="K88" s="130">
        <f>H88*J88</f>
        <v>10652.026630658484</v>
      </c>
      <c r="L88" s="131"/>
    </row>
    <row r="89" spans="2:12">
      <c r="B89" s="127"/>
      <c r="C89" s="140" t="s">
        <v>29</v>
      </c>
      <c r="D89" s="129"/>
      <c r="E89" s="130"/>
      <c r="F89" s="130"/>
      <c r="G89" s="135"/>
      <c r="H89" s="130"/>
      <c r="I89" s="129"/>
      <c r="J89" s="145"/>
      <c r="K89" s="130">
        <f>0.13*H88*7010.67/100</f>
        <v>233.64908929094122</v>
      </c>
      <c r="L89" s="131"/>
    </row>
    <row r="90" spans="2:12">
      <c r="B90" s="127"/>
      <c r="C90" s="140" t="s">
        <v>30</v>
      </c>
      <c r="D90" s="129"/>
      <c r="E90" s="130"/>
      <c r="F90" s="130"/>
      <c r="G90" s="135"/>
      <c r="H90" s="130"/>
      <c r="I90" s="129"/>
      <c r="J90" s="145"/>
      <c r="K90" s="130">
        <f>0.13*H88*4639.73/100</f>
        <v>154.63125336891602</v>
      </c>
      <c r="L90" s="131"/>
    </row>
    <row r="91" spans="2:12">
      <c r="B91" s="127"/>
      <c r="C91" s="140"/>
      <c r="D91" s="129"/>
      <c r="E91" s="130"/>
      <c r="F91" s="130"/>
      <c r="G91" s="135"/>
      <c r="H91" s="130"/>
      <c r="I91" s="129"/>
      <c r="J91" s="145"/>
      <c r="K91" s="130"/>
      <c r="L91" s="131"/>
    </row>
    <row r="92" spans="2:12" ht="66.75">
      <c r="B92" s="127">
        <v>11</v>
      </c>
      <c r="C92" s="117" t="s">
        <v>150</v>
      </c>
      <c r="D92" s="117"/>
      <c r="E92" s="130"/>
      <c r="F92" s="130"/>
      <c r="G92" s="135"/>
      <c r="H92" s="130"/>
      <c r="I92" s="129"/>
      <c r="J92" s="145"/>
      <c r="K92" s="130"/>
      <c r="L92" s="131"/>
    </row>
    <row r="93" spans="2:12">
      <c r="B93" s="127"/>
      <c r="C93" s="140" t="str">
        <f>C86</f>
        <v>-at toilet of ward</v>
      </c>
      <c r="D93" s="129">
        <v>1</v>
      </c>
      <c r="E93" s="130">
        <f>E86-2.5/3.281</f>
        <v>0.86254190795489183</v>
      </c>
      <c r="F93" s="130"/>
      <c r="G93" s="135">
        <f>4/3.281</f>
        <v>1.2191405059433098</v>
      </c>
      <c r="H93" s="130">
        <f>D93*E93*G93</f>
        <v>1.0515597780614345</v>
      </c>
      <c r="I93" s="129"/>
      <c r="J93" s="145"/>
      <c r="K93" s="130"/>
      <c r="L93" s="131"/>
    </row>
    <row r="94" spans="2:12">
      <c r="B94" s="127"/>
      <c r="C94" s="144"/>
      <c r="D94" s="129"/>
      <c r="E94" s="130"/>
      <c r="F94" s="130"/>
      <c r="G94" s="135"/>
      <c r="H94" s="130">
        <f>SUM(H93)</f>
        <v>1.0515597780614345</v>
      </c>
      <c r="I94" s="129" t="s">
        <v>40</v>
      </c>
      <c r="J94" s="130">
        <v>415.5</v>
      </c>
      <c r="K94" s="130">
        <f>H94*J94</f>
        <v>436.92308778452605</v>
      </c>
      <c r="L94" s="131"/>
    </row>
    <row r="95" spans="2:12">
      <c r="B95" s="127"/>
      <c r="C95" s="140" t="s">
        <v>151</v>
      </c>
      <c r="D95" s="129"/>
      <c r="E95" s="130"/>
      <c r="F95" s="130"/>
      <c r="G95" s="135"/>
      <c r="H95" s="130"/>
      <c r="I95" s="129"/>
      <c r="J95" s="145"/>
      <c r="K95" s="130">
        <f>0.13*H94*6746.52/10</f>
        <v>92.226797960531385</v>
      </c>
      <c r="L95" s="131"/>
    </row>
    <row r="96" spans="2:12">
      <c r="B96" s="127"/>
      <c r="C96" s="140" t="s">
        <v>30</v>
      </c>
      <c r="D96" s="129"/>
      <c r="E96" s="130"/>
      <c r="F96" s="130"/>
      <c r="G96" s="135"/>
      <c r="H96" s="130"/>
      <c r="I96" s="129"/>
      <c r="J96" s="145"/>
      <c r="K96" s="130">
        <f>0.13*H94*483.04/10</f>
        <v>6.6032906575323391</v>
      </c>
      <c r="L96" s="131"/>
    </row>
    <row r="97" spans="2:12">
      <c r="B97" s="127"/>
      <c r="C97" s="140" t="s">
        <v>29</v>
      </c>
      <c r="D97" s="129"/>
      <c r="E97" s="130"/>
      <c r="F97" s="130"/>
      <c r="G97" s="135"/>
      <c r="H97" s="130"/>
      <c r="I97" s="129"/>
      <c r="J97" s="145"/>
      <c r="K97" s="130">
        <f>0.13*H94*729.73/10</f>
        <v>9.9756113189820184</v>
      </c>
      <c r="L97" s="131"/>
    </row>
    <row r="98" spans="2:12">
      <c r="B98" s="127"/>
      <c r="C98" s="140" t="s">
        <v>152</v>
      </c>
      <c r="D98" s="129"/>
      <c r="E98" s="130"/>
      <c r="F98" s="130"/>
      <c r="G98" s="135"/>
      <c r="H98" s="130"/>
      <c r="I98" s="129"/>
      <c r="J98" s="145"/>
      <c r="K98" s="130">
        <f>0.13*H94*100.06/10</f>
        <v>1.3678479281067528</v>
      </c>
      <c r="L98" s="131"/>
    </row>
    <row r="99" spans="2:12">
      <c r="B99" s="127"/>
      <c r="C99" s="140"/>
      <c r="D99" s="129"/>
      <c r="E99" s="130"/>
      <c r="F99" s="130"/>
      <c r="G99" s="135"/>
      <c r="H99" s="130"/>
      <c r="I99" s="129"/>
      <c r="J99" s="145"/>
      <c r="K99" s="130"/>
      <c r="L99" s="131"/>
    </row>
    <row r="100" spans="2:12" ht="36">
      <c r="B100" s="127">
        <v>12</v>
      </c>
      <c r="C100" s="117" t="s">
        <v>165</v>
      </c>
      <c r="D100" s="129"/>
      <c r="E100" s="130"/>
      <c r="F100" s="130"/>
      <c r="G100" s="135"/>
      <c r="H100" s="130"/>
      <c r="I100" s="129"/>
      <c r="J100" s="145"/>
      <c r="K100" s="130"/>
      <c r="L100" s="131"/>
    </row>
    <row r="101" spans="2:12">
      <c r="B101" s="127"/>
      <c r="C101" s="140" t="str">
        <f>C93</f>
        <v>-at toilet of ward</v>
      </c>
      <c r="D101" s="129">
        <f>D93</f>
        <v>1</v>
      </c>
      <c r="E101" s="129">
        <f>E86</f>
        <v>1.6245047241694606</v>
      </c>
      <c r="F101" s="129"/>
      <c r="G101" s="130">
        <f>8/3.281</f>
        <v>2.4382810118866196</v>
      </c>
      <c r="H101" s="129">
        <f>PRODUCT(D101:G101)</f>
        <v>3.9609990226625063</v>
      </c>
      <c r="I101" s="135"/>
      <c r="J101" s="130"/>
      <c r="K101" s="129"/>
      <c r="L101" s="131"/>
    </row>
    <row r="102" spans="2:12">
      <c r="B102" s="127"/>
      <c r="C102" s="140" t="str">
        <f>C87</f>
        <v>-deduction for opening</v>
      </c>
      <c r="D102" s="129">
        <f>D87</f>
        <v>-1</v>
      </c>
      <c r="E102" s="129">
        <f>E87</f>
        <v>0.76196281621456874</v>
      </c>
      <c r="F102" s="129"/>
      <c r="G102" s="130">
        <f>G87</f>
        <v>1.9811033221578787</v>
      </c>
      <c r="H102" s="129">
        <f>PRODUCT(D102:G102)</f>
        <v>-1.5095270665634553</v>
      </c>
      <c r="I102" s="135"/>
      <c r="J102" s="130"/>
      <c r="K102" s="129"/>
      <c r="L102" s="131"/>
    </row>
    <row r="103" spans="2:12">
      <c r="B103" s="127"/>
      <c r="C103" s="140"/>
      <c r="D103" s="129"/>
      <c r="E103" s="129"/>
      <c r="F103" s="129"/>
      <c r="G103" s="130"/>
      <c r="H103" s="129">
        <f>SUM(H101:H102)</f>
        <v>2.4514719560990512</v>
      </c>
      <c r="I103" s="135" t="s">
        <v>23</v>
      </c>
      <c r="J103" s="130">
        <v>57.76</v>
      </c>
      <c r="K103" s="129">
        <f t="shared" ref="K103" si="11">H103*J103</f>
        <v>141.59702018428121</v>
      </c>
      <c r="L103" s="131"/>
    </row>
    <row r="104" spans="2:12">
      <c r="B104" s="127"/>
      <c r="C104" s="140" t="s">
        <v>29</v>
      </c>
      <c r="D104" s="129"/>
      <c r="E104" s="129"/>
      <c r="F104" s="129"/>
      <c r="G104" s="135"/>
      <c r="H104" s="129"/>
      <c r="I104" s="135"/>
      <c r="J104" s="130"/>
      <c r="K104" s="146">
        <f>0.13*H103*20.7</f>
        <v>6.5969110338625461</v>
      </c>
      <c r="L104" s="131"/>
    </row>
    <row r="105" spans="2:12">
      <c r="B105" s="127"/>
      <c r="C105" s="140"/>
      <c r="D105" s="129"/>
      <c r="E105" s="130"/>
      <c r="F105" s="130"/>
      <c r="G105" s="135"/>
      <c r="H105" s="129"/>
      <c r="I105" s="129"/>
      <c r="J105" s="129"/>
      <c r="K105" s="129"/>
      <c r="L105" s="131"/>
    </row>
    <row r="106" spans="2:12" ht="36">
      <c r="B106" s="127">
        <v>13</v>
      </c>
      <c r="C106" s="117" t="s">
        <v>166</v>
      </c>
      <c r="D106" s="129"/>
      <c r="E106" s="130"/>
      <c r="F106" s="130"/>
      <c r="G106" s="135"/>
      <c r="H106" s="130"/>
      <c r="I106" s="129"/>
      <c r="J106" s="145"/>
      <c r="K106" s="130"/>
      <c r="L106" s="131"/>
    </row>
    <row r="107" spans="2:12">
      <c r="B107" s="127"/>
      <c r="C107" s="140" t="str">
        <f>C101</f>
        <v>-at toilet of ward</v>
      </c>
      <c r="D107" s="129">
        <f>D101</f>
        <v>1</v>
      </c>
      <c r="E107" s="129">
        <f>E101</f>
        <v>1.6245047241694606</v>
      </c>
      <c r="F107" s="129"/>
      <c r="G107" s="130">
        <f>G101</f>
        <v>2.4382810118866196</v>
      </c>
      <c r="H107" s="129">
        <f>PRODUCT(D107:G107)</f>
        <v>3.9609990226625063</v>
      </c>
      <c r="I107" s="135"/>
      <c r="J107" s="130"/>
      <c r="K107" s="129"/>
      <c r="L107" s="131"/>
    </row>
    <row r="108" spans="2:12">
      <c r="B108" s="127"/>
      <c r="C108" s="140" t="str">
        <f>C102</f>
        <v>-deduction for opening</v>
      </c>
      <c r="D108" s="129">
        <f>D102</f>
        <v>-1</v>
      </c>
      <c r="E108" s="129">
        <f>E93</f>
        <v>0.86254190795489183</v>
      </c>
      <c r="F108" s="129"/>
      <c r="G108" s="130">
        <f>G93</f>
        <v>1.2191405059433098</v>
      </c>
      <c r="H108" s="129">
        <f>PRODUCT(D108:G108)</f>
        <v>-1.0515597780614345</v>
      </c>
      <c r="I108" s="135"/>
      <c r="J108" s="130"/>
      <c r="K108" s="129"/>
      <c r="L108" s="131"/>
    </row>
    <row r="109" spans="2:12">
      <c r="B109" s="127"/>
      <c r="C109" s="140"/>
      <c r="D109" s="129">
        <v>-1</v>
      </c>
      <c r="E109" s="129">
        <f>2.5/3.81</f>
        <v>0.65616797900262469</v>
      </c>
      <c r="F109" s="129"/>
      <c r="G109" s="130">
        <f>(6.5-4)/3.281</f>
        <v>0.76196281621456874</v>
      </c>
      <c r="H109" s="129">
        <f>PRODUCT(D109:G109)</f>
        <v>-0.49997560119066192</v>
      </c>
      <c r="I109" s="135"/>
      <c r="J109" s="130"/>
      <c r="K109" s="129"/>
      <c r="L109" s="131"/>
    </row>
    <row r="110" spans="2:12">
      <c r="B110" s="127"/>
      <c r="C110" s="140"/>
      <c r="D110" s="129"/>
      <c r="E110" s="129"/>
      <c r="F110" s="129"/>
      <c r="G110" s="130"/>
      <c r="H110" s="129">
        <f>SUM(H107:H109)</f>
        <v>2.40946364341041</v>
      </c>
      <c r="I110" s="135" t="s">
        <v>23</v>
      </c>
      <c r="J110" s="130">
        <v>334.57</v>
      </c>
      <c r="K110" s="129">
        <f t="shared" ref="K110" si="12">H110*J110</f>
        <v>806.13425117582085</v>
      </c>
      <c r="L110" s="131"/>
    </row>
    <row r="111" spans="2:12">
      <c r="B111" s="127"/>
      <c r="C111" s="140" t="s">
        <v>29</v>
      </c>
      <c r="D111" s="129"/>
      <c r="E111" s="129"/>
      <c r="F111" s="129"/>
      <c r="G111" s="135"/>
      <c r="H111" s="129"/>
      <c r="I111" s="135"/>
      <c r="J111" s="130"/>
      <c r="K111" s="146">
        <f>0.13*H110*110.368</f>
        <v>34.570598841469618</v>
      </c>
      <c r="L111" s="131"/>
    </row>
    <row r="112" spans="2:12">
      <c r="B112" s="127"/>
      <c r="C112" s="140"/>
      <c r="D112" s="129"/>
      <c r="E112" s="130"/>
      <c r="F112" s="130"/>
      <c r="G112" s="135"/>
      <c r="H112" s="129"/>
      <c r="I112" s="129"/>
      <c r="J112" s="129"/>
      <c r="K112" s="129"/>
      <c r="L112" s="131"/>
    </row>
    <row r="113" spans="2:12" ht="35.1" customHeight="1">
      <c r="B113" s="127">
        <v>14</v>
      </c>
      <c r="C113" s="128" t="s">
        <v>77</v>
      </c>
      <c r="D113" s="129"/>
      <c r="E113" s="129"/>
      <c r="F113" s="129"/>
      <c r="G113" s="130"/>
      <c r="H113" s="129"/>
      <c r="I113" s="135"/>
      <c r="J113" s="130"/>
      <c r="K113" s="129"/>
      <c r="L113" s="131"/>
    </row>
    <row r="114" spans="2:12">
      <c r="B114" s="127"/>
      <c r="C114" s="140" t="s">
        <v>147</v>
      </c>
      <c r="D114" s="129">
        <v>1</v>
      </c>
      <c r="E114" s="129">
        <f>13.42/3.281</f>
        <v>4.0902163974398045</v>
      </c>
      <c r="F114" s="129">
        <f>8/3.281</f>
        <v>2.4382810118866196</v>
      </c>
      <c r="G114" s="130"/>
      <c r="H114" s="129">
        <f>F114*E114*D114</f>
        <v>9.9730969763847703</v>
      </c>
      <c r="I114" s="135" t="s">
        <v>23</v>
      </c>
      <c r="J114" s="130">
        <v>689.98</v>
      </c>
      <c r="K114" s="129">
        <f>H114*J114</f>
        <v>6881.2374517659637</v>
      </c>
      <c r="L114" s="131"/>
    </row>
    <row r="115" spans="2:12">
      <c r="B115" s="127"/>
      <c r="C115" s="140" t="s">
        <v>29</v>
      </c>
      <c r="D115" s="129"/>
      <c r="E115" s="129"/>
      <c r="F115" s="129"/>
      <c r="G115" s="135"/>
      <c r="H115" s="129"/>
      <c r="I115" s="135"/>
      <c r="J115" s="130"/>
      <c r="K115" s="146">
        <f>0.13*H114*1694.03/10</f>
        <v>219.63143112176621</v>
      </c>
      <c r="L115" s="131"/>
    </row>
    <row r="116" spans="2:12">
      <c r="B116" s="127"/>
      <c r="C116" s="140" t="s">
        <v>30</v>
      </c>
      <c r="D116" s="129"/>
      <c r="E116" s="129"/>
      <c r="F116" s="129"/>
      <c r="G116" s="135"/>
      <c r="H116" s="129"/>
      <c r="I116" s="135"/>
      <c r="J116" s="130"/>
      <c r="K116" s="146">
        <f>0.13*H114*572.02/10</f>
        <v>74.162542121611025</v>
      </c>
      <c r="L116" s="131"/>
    </row>
    <row r="117" spans="2:12">
      <c r="B117" s="127"/>
      <c r="C117" s="140" t="s">
        <v>31</v>
      </c>
      <c r="D117" s="129"/>
      <c r="E117" s="129"/>
      <c r="F117" s="129"/>
      <c r="G117" s="135"/>
      <c r="H117" s="129"/>
      <c r="I117" s="135"/>
      <c r="J117" s="130"/>
      <c r="K117" s="146">
        <f>0.13*H114*1207.6/10</f>
        <v>156.56565481286924</v>
      </c>
      <c r="L117" s="131"/>
    </row>
    <row r="118" spans="2:12" ht="18" customHeight="1">
      <c r="B118" s="127"/>
      <c r="C118" s="140"/>
      <c r="D118" s="129"/>
      <c r="E118" s="130"/>
      <c r="F118" s="130"/>
      <c r="G118" s="135"/>
      <c r="H118" s="130"/>
      <c r="I118" s="129"/>
      <c r="J118" s="130"/>
      <c r="K118" s="130"/>
      <c r="L118" s="131"/>
    </row>
    <row r="119" spans="2:12" ht="35.1" customHeight="1">
      <c r="B119" s="127">
        <v>15</v>
      </c>
      <c r="C119" s="128" t="s">
        <v>79</v>
      </c>
      <c r="D119" s="129"/>
      <c r="E119" s="129"/>
      <c r="F119" s="129"/>
      <c r="G119" s="129"/>
      <c r="H119" s="129"/>
      <c r="I119" s="129"/>
      <c r="J119" s="129"/>
      <c r="K119" s="129"/>
      <c r="L119" s="131"/>
    </row>
    <row r="120" spans="2:12">
      <c r="B120" s="127"/>
      <c r="C120" s="140" t="str">
        <f>C84</f>
        <v>-At shear wall</v>
      </c>
      <c r="D120" s="129">
        <f>D64</f>
        <v>2</v>
      </c>
      <c r="E120" s="129">
        <f>E84</f>
        <v>4.6997866504114594</v>
      </c>
      <c r="F120" s="129"/>
      <c r="G120" s="129">
        <f>G64+0.3+0.3</f>
        <v>2.2001219140505941</v>
      </c>
      <c r="H120" s="130">
        <f>PRODUCT(D120:G120)</f>
        <v>20.680207201865382</v>
      </c>
      <c r="I120" s="129"/>
      <c r="J120" s="129"/>
      <c r="K120" s="129"/>
      <c r="L120" s="131"/>
    </row>
    <row r="121" spans="2:12">
      <c r="B121" s="127"/>
      <c r="C121" s="140"/>
      <c r="D121" s="129">
        <f>D65</f>
        <v>2</v>
      </c>
      <c r="E121" s="129">
        <f>E85</f>
        <v>3.047851264858275</v>
      </c>
      <c r="F121" s="129"/>
      <c r="G121" s="129">
        <f>G65+0.3+0.3</f>
        <v>2.2001219140505941</v>
      </c>
      <c r="H121" s="130">
        <f t="shared" ref="H121:H122" si="13">PRODUCT(D121:G121)</f>
        <v>13.411288717163025</v>
      </c>
      <c r="I121" s="129"/>
      <c r="J121" s="129"/>
      <c r="K121" s="129"/>
      <c r="L121" s="131"/>
    </row>
    <row r="122" spans="2:12">
      <c r="B122" s="127"/>
      <c r="C122" s="142" t="s">
        <v>149</v>
      </c>
      <c r="D122" s="129">
        <v>1</v>
      </c>
      <c r="E122" s="129">
        <f>E114</f>
        <v>4.0902163974398045</v>
      </c>
      <c r="F122" s="129">
        <f>F114</f>
        <v>2.4382810118866196</v>
      </c>
      <c r="G122" s="129"/>
      <c r="H122" s="130">
        <f t="shared" si="13"/>
        <v>9.9730969763847703</v>
      </c>
      <c r="I122" s="129"/>
      <c r="J122" s="129"/>
      <c r="K122" s="129"/>
      <c r="L122" s="131"/>
    </row>
    <row r="123" spans="2:12">
      <c r="B123" s="127"/>
      <c r="C123" s="140"/>
      <c r="D123" s="129"/>
      <c r="E123" s="129"/>
      <c r="F123" s="129"/>
      <c r="G123" s="129"/>
      <c r="H123" s="129">
        <f>SUM(H120:H122)</f>
        <v>44.06459289541317</v>
      </c>
      <c r="I123" s="129" t="s">
        <v>40</v>
      </c>
      <c r="J123" s="129">
        <v>287.32</v>
      </c>
      <c r="K123" s="129">
        <f>H123*J123</f>
        <v>12660.638830710112</v>
      </c>
      <c r="L123" s="131"/>
    </row>
    <row r="124" spans="2:12">
      <c r="B124" s="127"/>
      <c r="C124" s="140" t="s">
        <v>29</v>
      </c>
      <c r="D124" s="129"/>
      <c r="E124" s="129"/>
      <c r="F124" s="129"/>
      <c r="G124" s="129"/>
      <c r="H124" s="129"/>
      <c r="I124" s="129"/>
      <c r="J124" s="129"/>
      <c r="K124" s="129">
        <f>0.13*H123*693.24/10</f>
        <v>397.11539892461093</v>
      </c>
      <c r="L124" s="131"/>
    </row>
    <row r="125" spans="2:12">
      <c r="B125" s="127"/>
      <c r="C125" s="140"/>
      <c r="D125" s="129"/>
      <c r="E125" s="129"/>
      <c r="F125" s="129"/>
      <c r="G125" s="129"/>
      <c r="H125" s="129"/>
      <c r="I125" s="129"/>
      <c r="J125" s="129"/>
      <c r="K125" s="129"/>
      <c r="L125" s="131"/>
    </row>
    <row r="126" spans="2:12">
      <c r="B126" s="127"/>
      <c r="C126" s="140"/>
      <c r="D126" s="129"/>
      <c r="E126" s="129"/>
      <c r="F126" s="129"/>
      <c r="G126" s="129"/>
      <c r="H126" s="129"/>
      <c r="I126" s="129"/>
      <c r="J126" s="129"/>
      <c r="K126" s="129"/>
      <c r="L126" s="131"/>
    </row>
    <row r="127" spans="2:12" ht="33" customHeight="1">
      <c r="B127" s="127">
        <v>16</v>
      </c>
      <c r="C127" s="144" t="s">
        <v>87</v>
      </c>
      <c r="D127" s="129">
        <v>1</v>
      </c>
      <c r="E127" s="130"/>
      <c r="F127" s="130"/>
      <c r="G127" s="135"/>
      <c r="H127" s="130">
        <f>+D127</f>
        <v>1</v>
      </c>
      <c r="I127" s="129" t="s">
        <v>34</v>
      </c>
      <c r="J127" s="130">
        <v>4659</v>
      </c>
      <c r="K127" s="130">
        <f>H127*J127</f>
        <v>4659</v>
      </c>
      <c r="L127" s="131"/>
    </row>
    <row r="128" spans="2:12">
      <c r="B128" s="127"/>
      <c r="C128" s="133" t="s">
        <v>88</v>
      </c>
      <c r="D128" s="129"/>
      <c r="E128" s="130"/>
      <c r="F128" s="130"/>
      <c r="G128" s="135"/>
      <c r="H128" s="130"/>
      <c r="I128" s="129"/>
      <c r="J128" s="130"/>
      <c r="K128" s="130">
        <f>0.13*K127</f>
        <v>605.67000000000007</v>
      </c>
      <c r="L128" s="131"/>
    </row>
    <row r="129" spans="2:12">
      <c r="B129" s="127"/>
      <c r="C129" s="144"/>
      <c r="D129" s="129"/>
      <c r="E129" s="130"/>
      <c r="F129" s="130"/>
      <c r="G129" s="135"/>
      <c r="H129" s="130"/>
      <c r="I129" s="129"/>
      <c r="J129" s="130"/>
      <c r="K129" s="130"/>
      <c r="L129" s="131"/>
    </row>
    <row r="130" spans="2:12" ht="57">
      <c r="B130" s="127">
        <v>17</v>
      </c>
      <c r="C130" s="128" t="s">
        <v>170</v>
      </c>
      <c r="D130" s="129"/>
      <c r="E130" s="130"/>
      <c r="F130" s="130"/>
      <c r="G130" s="135"/>
      <c r="H130" s="130"/>
      <c r="I130" s="129"/>
      <c r="J130" s="130"/>
      <c r="K130" s="130"/>
      <c r="L130" s="131"/>
    </row>
    <row r="131" spans="2:12">
      <c r="B131" s="127"/>
      <c r="C131" s="132" t="s">
        <v>153</v>
      </c>
      <c r="D131" s="129">
        <v>1</v>
      </c>
      <c r="E131" s="130">
        <f>1.75/3.281</f>
        <v>0.53337397135019804</v>
      </c>
      <c r="F131" s="130"/>
      <c r="G131" s="135">
        <f>3.5/3.281</f>
        <v>1.0667479427003961</v>
      </c>
      <c r="H131" s="130">
        <f t="shared" ref="H131" si="14">PRODUCT(D131:G131)</f>
        <v>0.56897558662776371</v>
      </c>
      <c r="I131" s="129"/>
      <c r="J131" s="130"/>
      <c r="K131" s="130"/>
      <c r="L131" s="131"/>
    </row>
    <row r="132" spans="2:12">
      <c r="B132" s="127"/>
      <c r="C132" s="140"/>
      <c r="D132" s="129"/>
      <c r="E132" s="129"/>
      <c r="F132" s="129"/>
      <c r="G132" s="129"/>
      <c r="H132" s="129">
        <f>SUM(H131)</f>
        <v>0.56897558662776371</v>
      </c>
      <c r="I132" s="129" t="s">
        <v>40</v>
      </c>
      <c r="J132" s="129">
        <v>10663.63</v>
      </c>
      <c r="K132" s="129">
        <f>H132*J132</f>
        <v>6067.3451348314193</v>
      </c>
      <c r="L132" s="131"/>
    </row>
    <row r="133" spans="2:12">
      <c r="B133" s="127"/>
      <c r="C133" s="140" t="s">
        <v>154</v>
      </c>
      <c r="D133" s="129"/>
      <c r="E133" s="129"/>
      <c r="F133" s="129"/>
      <c r="G133" s="129"/>
      <c r="H133" s="129"/>
      <c r="I133" s="129"/>
      <c r="J133" s="129"/>
      <c r="K133" s="129">
        <f>0.13*H132*11733.39/2.23</f>
        <v>389.1845827756519</v>
      </c>
      <c r="L133" s="131"/>
    </row>
    <row r="134" spans="2:12">
      <c r="B134" s="127"/>
      <c r="C134" s="144"/>
      <c r="D134" s="129"/>
      <c r="E134" s="130"/>
      <c r="F134" s="130"/>
      <c r="G134" s="135"/>
      <c r="H134" s="130"/>
      <c r="I134" s="129"/>
      <c r="J134" s="130"/>
      <c r="K134" s="130"/>
      <c r="L134" s="131"/>
    </row>
    <row r="135" spans="2:12" ht="37.5">
      <c r="B135" s="127">
        <v>18</v>
      </c>
      <c r="C135" s="128" t="s">
        <v>155</v>
      </c>
      <c r="D135" s="129"/>
      <c r="E135" s="130"/>
      <c r="F135" s="130"/>
      <c r="G135" s="135"/>
      <c r="H135" s="130"/>
      <c r="I135" s="129"/>
      <c r="J135" s="130"/>
      <c r="K135" s="130"/>
      <c r="L135" s="131"/>
    </row>
    <row r="136" spans="2:12">
      <c r="B136" s="127"/>
      <c r="C136" s="132" t="s">
        <v>156</v>
      </c>
      <c r="D136" s="129">
        <v>3</v>
      </c>
      <c r="E136" s="130">
        <f>1.42/3.281</f>
        <v>0.43279487960987501</v>
      </c>
      <c r="F136" s="130"/>
      <c r="G136" s="135">
        <f>3.25/3.281</f>
        <v>0.99055166107893933</v>
      </c>
      <c r="H136" s="130">
        <f t="shared" ref="H136" si="15">PRODUCT(D136:G136)</f>
        <v>1.2861170607120638</v>
      </c>
      <c r="I136" s="129"/>
      <c r="J136" s="130"/>
      <c r="K136" s="130"/>
      <c r="L136" s="131"/>
    </row>
    <row r="137" spans="2:12">
      <c r="B137" s="127"/>
      <c r="C137" s="140"/>
      <c r="D137" s="129"/>
      <c r="E137" s="129"/>
      <c r="F137" s="129"/>
      <c r="G137" s="129"/>
      <c r="H137" s="129">
        <f>SUM(H136)</f>
        <v>1.2861170607120638</v>
      </c>
      <c r="I137" s="129" t="s">
        <v>40</v>
      </c>
      <c r="J137" s="129">
        <v>1063.57</v>
      </c>
      <c r="K137" s="129">
        <f>H137*J137</f>
        <v>1367.8755222615296</v>
      </c>
      <c r="L137" s="131"/>
    </row>
    <row r="138" spans="2:12">
      <c r="B138" s="127"/>
      <c r="C138" s="140" t="s">
        <v>154</v>
      </c>
      <c r="D138" s="129"/>
      <c r="E138" s="129"/>
      <c r="F138" s="129"/>
      <c r="G138" s="129"/>
      <c r="H138" s="129"/>
      <c r="I138" s="129"/>
      <c r="J138" s="129"/>
      <c r="K138" s="129">
        <f>0.13*H137*983.26</f>
        <v>164.3963699450467</v>
      </c>
      <c r="L138" s="131"/>
    </row>
    <row r="139" spans="2:12">
      <c r="B139" s="127"/>
      <c r="C139" s="140"/>
      <c r="D139" s="129"/>
      <c r="E139" s="129"/>
      <c r="F139" s="129"/>
      <c r="G139" s="129"/>
      <c r="H139" s="129"/>
      <c r="I139" s="129"/>
      <c r="J139" s="129"/>
      <c r="K139" s="129"/>
      <c r="L139" s="131"/>
    </row>
    <row r="140" spans="2:12" ht="168.75">
      <c r="B140" s="127">
        <v>19</v>
      </c>
      <c r="C140" s="128" t="s">
        <v>159</v>
      </c>
      <c r="D140" s="129"/>
      <c r="E140" s="129"/>
      <c r="F140" s="129"/>
      <c r="G140" s="129"/>
      <c r="H140" s="129"/>
      <c r="I140" s="129"/>
      <c r="J140" s="129"/>
      <c r="K140" s="129"/>
      <c r="L140" s="131"/>
    </row>
    <row r="141" spans="2:12">
      <c r="B141" s="127"/>
      <c r="C141" s="142" t="s">
        <v>158</v>
      </c>
      <c r="D141" s="129">
        <v>1</v>
      </c>
      <c r="E141" s="129">
        <f>3/3.281</f>
        <v>0.91435537945748246</v>
      </c>
      <c r="F141" s="129"/>
      <c r="G141" s="129"/>
      <c r="H141" s="130">
        <f t="shared" ref="H141" si="16">PRODUCT(D141:G141)</f>
        <v>0.91435537945748246</v>
      </c>
      <c r="I141" s="129"/>
      <c r="J141" s="129"/>
      <c r="K141" s="129"/>
      <c r="L141" s="131"/>
    </row>
    <row r="142" spans="2:12">
      <c r="B142" s="127"/>
      <c r="C142" s="140"/>
      <c r="D142" s="129"/>
      <c r="E142" s="129"/>
      <c r="F142" s="129"/>
      <c r="G142" s="129"/>
      <c r="H142" s="129">
        <f>SUM(H141)</f>
        <v>0.91435537945748246</v>
      </c>
      <c r="I142" s="129" t="s">
        <v>160</v>
      </c>
      <c r="J142" s="129">
        <f>11197.91</f>
        <v>11197.91</v>
      </c>
      <c r="K142" s="129">
        <f>H142*J142</f>
        <v>10238.869247180737</v>
      </c>
      <c r="L142" s="131"/>
    </row>
    <row r="143" spans="2:12">
      <c r="B143" s="127"/>
      <c r="C143" s="140" t="s">
        <v>154</v>
      </c>
      <c r="D143" s="129"/>
      <c r="E143" s="129"/>
      <c r="F143" s="129"/>
      <c r="G143" s="129"/>
      <c r="H143" s="129"/>
      <c r="I143" s="129"/>
      <c r="J143" s="129"/>
      <c r="K143" s="129">
        <f>0.13*K142</f>
        <v>1331.053002133496</v>
      </c>
      <c r="L143" s="131"/>
    </row>
    <row r="144" spans="2:12">
      <c r="B144" s="127"/>
      <c r="C144" s="140"/>
      <c r="D144" s="129"/>
      <c r="E144" s="129"/>
      <c r="F144" s="129"/>
      <c r="G144" s="129"/>
      <c r="H144" s="129"/>
      <c r="I144" s="129"/>
      <c r="J144" s="129"/>
      <c r="K144" s="129"/>
      <c r="L144" s="131"/>
    </row>
    <row r="145" spans="2:12" ht="37.5">
      <c r="B145" s="127">
        <v>20</v>
      </c>
      <c r="C145" s="128" t="s">
        <v>161</v>
      </c>
      <c r="D145" s="129"/>
      <c r="E145" s="129"/>
      <c r="F145" s="129"/>
      <c r="G145" s="129"/>
      <c r="H145" s="129"/>
      <c r="I145" s="129"/>
      <c r="J145" s="129"/>
      <c r="K145" s="129"/>
      <c r="L145" s="131"/>
    </row>
    <row r="146" spans="2:12">
      <c r="B146" s="127"/>
      <c r="C146" s="142" t="s">
        <v>147</v>
      </c>
      <c r="D146" s="129">
        <v>1</v>
      </c>
      <c r="E146" s="129">
        <f>(15.42*2+10*2)/3.281</f>
        <v>15.49527583053947</v>
      </c>
      <c r="F146" s="129"/>
      <c r="G146" s="129">
        <f>5.25/3.281</f>
        <v>1.6001219140505942</v>
      </c>
      <c r="H146" s="130">
        <f t="shared" ref="H146:H147" si="17">PRODUCT(D146:G146)</f>
        <v>24.794330420704728</v>
      </c>
      <c r="I146" s="129"/>
      <c r="J146" s="129"/>
      <c r="K146" s="129"/>
      <c r="L146" s="131"/>
    </row>
    <row r="147" spans="2:12">
      <c r="B147" s="127"/>
      <c r="C147" s="140"/>
      <c r="D147" s="129">
        <v>1</v>
      </c>
      <c r="E147" s="129">
        <f>13.42/3.281</f>
        <v>4.0902163974398045</v>
      </c>
      <c r="F147" s="129">
        <f>8/3.281</f>
        <v>2.4382810118866196</v>
      </c>
      <c r="G147" s="129"/>
      <c r="H147" s="130">
        <f t="shared" si="17"/>
        <v>9.9730969763847703</v>
      </c>
      <c r="I147" s="129"/>
      <c r="J147" s="129"/>
      <c r="K147" s="129"/>
      <c r="L147" s="131"/>
    </row>
    <row r="148" spans="2:12">
      <c r="B148" s="127"/>
      <c r="C148" s="140"/>
      <c r="D148" s="129"/>
      <c r="E148" s="129"/>
      <c r="F148" s="129"/>
      <c r="G148" s="129"/>
      <c r="H148" s="129">
        <f>SUM(H146:H147)</f>
        <v>34.767427397089499</v>
      </c>
      <c r="I148" s="129" t="s">
        <v>23</v>
      </c>
      <c r="J148" s="129">
        <f>11197.91</f>
        <v>11197.91</v>
      </c>
      <c r="K148" s="129">
        <f>H148*J148</f>
        <v>389322.52292414248</v>
      </c>
      <c r="L148" s="131"/>
    </row>
    <row r="149" spans="2:12">
      <c r="B149" s="127"/>
      <c r="C149" s="140" t="s">
        <v>154</v>
      </c>
      <c r="D149" s="129"/>
      <c r="E149" s="129"/>
      <c r="F149" s="129"/>
      <c r="G149" s="129"/>
      <c r="H149" s="129"/>
      <c r="I149" s="129"/>
      <c r="J149" s="129"/>
      <c r="K149" s="129">
        <f>0.13*H148*2846.9/10</f>
        <v>1286.7320577380633</v>
      </c>
      <c r="L149" s="131"/>
    </row>
    <row r="150" spans="2:12">
      <c r="B150" s="127"/>
      <c r="C150" s="140"/>
      <c r="D150" s="129"/>
      <c r="E150" s="129"/>
      <c r="F150" s="129"/>
      <c r="G150" s="129"/>
      <c r="H150" s="129"/>
      <c r="I150" s="129"/>
      <c r="J150" s="129"/>
      <c r="K150" s="129"/>
      <c r="L150" s="131"/>
    </row>
    <row r="151" spans="2:12" ht="33" customHeight="1">
      <c r="B151" s="127">
        <v>21</v>
      </c>
      <c r="C151" s="141" t="s">
        <v>162</v>
      </c>
      <c r="D151" s="129">
        <v>1</v>
      </c>
      <c r="E151" s="129"/>
      <c r="F151" s="129"/>
      <c r="G151" s="129"/>
      <c r="H151" s="129">
        <v>1</v>
      </c>
      <c r="I151" s="129" t="s">
        <v>163</v>
      </c>
      <c r="J151" s="130">
        <v>5000</v>
      </c>
      <c r="K151" s="130">
        <f>H151*J151</f>
        <v>5000</v>
      </c>
      <c r="L151" s="131"/>
    </row>
    <row r="152" spans="2:12">
      <c r="B152" s="127"/>
      <c r="C152" s="147"/>
      <c r="D152" s="129"/>
      <c r="E152" s="129"/>
      <c r="F152" s="129"/>
      <c r="G152" s="130"/>
      <c r="H152" s="129"/>
      <c r="I152" s="129"/>
      <c r="J152" s="130"/>
      <c r="K152" s="130"/>
      <c r="L152" s="131"/>
    </row>
    <row r="153" spans="2:12" ht="33" customHeight="1">
      <c r="B153" s="127">
        <v>22</v>
      </c>
      <c r="C153" s="141" t="s">
        <v>89</v>
      </c>
      <c r="D153" s="129">
        <v>1</v>
      </c>
      <c r="E153" s="129"/>
      <c r="F153" s="129"/>
      <c r="G153" s="129"/>
      <c r="H153" s="129">
        <v>1</v>
      </c>
      <c r="I153" s="129" t="s">
        <v>34</v>
      </c>
      <c r="J153" s="130">
        <v>500</v>
      </c>
      <c r="K153" s="130">
        <f>H153*J153</f>
        <v>500</v>
      </c>
      <c r="L153" s="131"/>
    </row>
    <row r="154" spans="2:12">
      <c r="B154" s="148"/>
      <c r="C154" s="149"/>
      <c r="D154" s="129"/>
      <c r="E154" s="130"/>
      <c r="F154" s="130"/>
      <c r="G154" s="130"/>
      <c r="H154" s="130"/>
      <c r="I154" s="129"/>
      <c r="J154" s="130"/>
      <c r="K154" s="150">
        <f>SUM(K12:K153)</f>
        <v>877810.68270516139</v>
      </c>
      <c r="L154" s="151"/>
    </row>
    <row r="155" spans="2:12">
      <c r="C155" s="9"/>
      <c r="D155" s="10"/>
      <c r="E155" s="10"/>
      <c r="F155" s="10"/>
      <c r="G155" s="10"/>
      <c r="H155" s="10"/>
      <c r="I155" s="10"/>
      <c r="J155" s="10"/>
      <c r="K155" s="118"/>
      <c r="L155" s="8"/>
    </row>
    <row r="156" spans="2:12">
      <c r="C156" s="124" t="s">
        <v>12</v>
      </c>
      <c r="D156" s="178" t="s">
        <v>71</v>
      </c>
      <c r="E156" s="178"/>
      <c r="F156" s="124" t="s">
        <v>72</v>
      </c>
      <c r="H156" s="2"/>
    </row>
    <row r="157" spans="2:12">
      <c r="C157" s="134" t="s">
        <v>13</v>
      </c>
      <c r="D157" s="158">
        <f>+K154</f>
        <v>877810.68270516139</v>
      </c>
      <c r="E157" s="158"/>
      <c r="F157" s="152"/>
      <c r="H157" s="64"/>
    </row>
    <row r="158" spans="2:12">
      <c r="C158" s="134" t="s">
        <v>14</v>
      </c>
      <c r="D158" s="158">
        <v>200000</v>
      </c>
      <c r="E158" s="158"/>
      <c r="F158" s="153">
        <v>100</v>
      </c>
      <c r="H158" s="64"/>
    </row>
    <row r="159" spans="2:12">
      <c r="C159" s="134" t="s">
        <v>19</v>
      </c>
      <c r="D159" s="158">
        <f>0.95*D158</f>
        <v>190000</v>
      </c>
      <c r="E159" s="158"/>
      <c r="F159" s="153">
        <f>D159/D157*100</f>
        <v>21.644758231293604</v>
      </c>
      <c r="H159" s="64"/>
    </row>
    <row r="160" spans="2:12">
      <c r="C160" s="134" t="s">
        <v>15</v>
      </c>
      <c r="D160" s="158">
        <f>D157-D159</f>
        <v>687810.68270516139</v>
      </c>
      <c r="E160" s="158"/>
      <c r="F160" s="153">
        <f>D160/D158*100</f>
        <v>343.90534135258071</v>
      </c>
      <c r="H160" s="64"/>
    </row>
    <row r="161" spans="3:8">
      <c r="C161" s="134" t="s">
        <v>20</v>
      </c>
      <c r="D161" s="158">
        <f>F161*D158/100</f>
        <v>4000</v>
      </c>
      <c r="E161" s="158"/>
      <c r="F161" s="153">
        <v>2</v>
      </c>
      <c r="H161" s="64"/>
    </row>
    <row r="162" spans="3:8">
      <c r="C162" s="134" t="s">
        <v>21</v>
      </c>
      <c r="D162" s="177">
        <f>F162*D158/100</f>
        <v>6000</v>
      </c>
      <c r="E162" s="177"/>
      <c r="F162" s="153">
        <v>3</v>
      </c>
      <c r="H162" s="119"/>
    </row>
    <row r="163" spans="3:8">
      <c r="G163" s="62"/>
    </row>
  </sheetData>
  <mergeCells count="14">
    <mergeCell ref="D161:E161"/>
    <mergeCell ref="D162:E162"/>
    <mergeCell ref="D156:E156"/>
    <mergeCell ref="D157:E157"/>
    <mergeCell ref="D158:E158"/>
    <mergeCell ref="D159:E159"/>
    <mergeCell ref="D160:E160"/>
    <mergeCell ref="B6:G6"/>
    <mergeCell ref="I6:L6"/>
    <mergeCell ref="A1:L1"/>
    <mergeCell ref="A2:L2"/>
    <mergeCell ref="A3:L3"/>
    <mergeCell ref="A4:L4"/>
    <mergeCell ref="K5:L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0">
        <v>152</v>
      </c>
      <c r="B1" s="179" t="s">
        <v>106</v>
      </c>
      <c r="C1" s="180"/>
      <c r="D1" s="180"/>
      <c r="E1" s="180"/>
      <c r="F1" s="180"/>
      <c r="G1" s="180"/>
      <c r="H1" s="180"/>
    </row>
    <row r="2" spans="1:8" ht="15.75">
      <c r="A2" s="91" t="s">
        <v>107</v>
      </c>
      <c r="B2" s="181" t="s">
        <v>108</v>
      </c>
      <c r="C2" s="182"/>
      <c r="D2" s="182"/>
      <c r="E2" s="182"/>
      <c r="F2" s="182"/>
      <c r="G2" s="182"/>
      <c r="H2" s="182"/>
    </row>
    <row r="3" spans="1:8" ht="31.5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5">
      <c r="A4" s="92"/>
      <c r="B4" s="183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6.5">
      <c r="A5" s="92"/>
      <c r="B5" s="184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6.5">
      <c r="A6" s="92"/>
      <c r="B6" s="185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6.5">
      <c r="A7" s="92"/>
      <c r="B7" s="186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16.5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16.5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16.5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5.75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6AA9D-B2BC-41B0-BA09-B214DFC55902}">
  <dimension ref="A1:L24"/>
  <sheetViews>
    <sheetView tabSelected="1" view="pageBreakPreview" zoomScaleNormal="100" zoomScaleSheetLayoutView="100" workbookViewId="0">
      <selection activeCell="C9" sqref="C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60" t="s">
        <v>11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20.25">
      <c r="A2" s="161" t="s">
        <v>16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</row>
    <row r="3" spans="1:12">
      <c r="A3" s="160" t="s">
        <v>17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</row>
    <row r="4" spans="1:12">
      <c r="A4" s="162" t="s">
        <v>22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</row>
    <row r="5" spans="1:12" ht="20.25">
      <c r="A5" s="6"/>
      <c r="B5" s="187" t="s">
        <v>173</v>
      </c>
      <c r="H5" s="6"/>
      <c r="K5" s="163" t="s">
        <v>101</v>
      </c>
      <c r="L5" s="163"/>
    </row>
    <row r="6" spans="1:12">
      <c r="B6" s="164" t="s">
        <v>28</v>
      </c>
      <c r="C6" s="164"/>
      <c r="D6" s="164"/>
      <c r="E6" s="164"/>
      <c r="F6" s="164"/>
      <c r="G6" s="164"/>
      <c r="H6" s="113"/>
      <c r="I6" s="165" t="s">
        <v>174</v>
      </c>
      <c r="J6" s="165"/>
      <c r="K6" s="165"/>
      <c r="L6" s="165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88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12.38608992638245</v>
      </c>
      <c r="I17" s="129" t="s">
        <v>90</v>
      </c>
      <c r="J17" s="129">
        <f>1.15*10663.63</f>
        <v>12263.174499999997</v>
      </c>
      <c r="K17" s="129">
        <f>H17*J17</f>
        <v>151892.78213992011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3" customHeight="1">
      <c r="B19" s="155">
        <v>2</v>
      </c>
      <c r="C19" s="141" t="s">
        <v>89</v>
      </c>
      <c r="D19" s="143">
        <v>1</v>
      </c>
      <c r="E19" s="129"/>
      <c r="F19" s="129"/>
      <c r="G19" s="129"/>
      <c r="H19" s="130">
        <f>PRODUCT(D19:G19)</f>
        <v>1</v>
      </c>
      <c r="I19" s="129" t="s">
        <v>34</v>
      </c>
      <c r="J19" s="130">
        <v>500</v>
      </c>
      <c r="K19" s="130">
        <f>H19*J19</f>
        <v>500</v>
      </c>
      <c r="L19" s="131"/>
    </row>
    <row r="20" spans="2:12">
      <c r="B20" s="148"/>
      <c r="C20" s="149"/>
      <c r="D20" s="129"/>
      <c r="E20" s="130"/>
      <c r="F20" s="130"/>
      <c r="G20" s="130"/>
      <c r="H20" s="130"/>
      <c r="I20" s="129"/>
      <c r="J20" s="130"/>
      <c r="K20" s="150">
        <f>SUM(K9:K19)</f>
        <v>152392.78213992011</v>
      </c>
      <c r="L20" s="151"/>
    </row>
    <row r="21" spans="2:12">
      <c r="C21" s="9"/>
      <c r="D21" s="10"/>
      <c r="E21" s="10"/>
      <c r="F21" s="10"/>
      <c r="G21" s="10"/>
      <c r="H21" s="10"/>
      <c r="I21" s="10"/>
      <c r="J21" s="10"/>
      <c r="K21" s="118"/>
      <c r="L21" s="8"/>
    </row>
    <row r="22" spans="2:12">
      <c r="C22" s="134" t="s">
        <v>13</v>
      </c>
      <c r="D22" s="158">
        <f>+K20</f>
        <v>152392.78213992011</v>
      </c>
      <c r="E22" s="158"/>
      <c r="G22" s="64"/>
      <c r="I22" s="2"/>
      <c r="J22" s="1"/>
    </row>
    <row r="23" spans="2:12">
      <c r="C23" s="134" t="s">
        <v>171</v>
      </c>
      <c r="D23" s="158">
        <f>13%*D22</f>
        <v>19811.061678189613</v>
      </c>
      <c r="E23" s="158"/>
      <c r="G23" s="64"/>
      <c r="I23" s="2"/>
      <c r="J23" s="1"/>
    </row>
    <row r="24" spans="2:12">
      <c r="C24" s="151" t="s">
        <v>172</v>
      </c>
      <c r="D24" s="158">
        <f>SUM(D22:E23)</f>
        <v>172203.84381810972</v>
      </c>
      <c r="E24" s="159"/>
      <c r="G24" s="62"/>
    </row>
  </sheetData>
  <mergeCells count="10">
    <mergeCell ref="D24:E24"/>
    <mergeCell ref="D22:E22"/>
    <mergeCell ref="D23:E23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462CF-EE7A-47A5-A24D-4AF2AE6EA2FC}">
  <dimension ref="A1:L34"/>
  <sheetViews>
    <sheetView topLeftCell="A4" zoomScaleNormal="100" zoomScaleSheetLayoutView="100" workbookViewId="0">
      <selection activeCell="G18" sqref="G18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6.5703125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60" t="s">
        <v>11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20.25">
      <c r="A2" s="161" t="s">
        <v>16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</row>
    <row r="3" spans="1:12">
      <c r="A3" s="160" t="s">
        <v>17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</row>
    <row r="4" spans="1:12">
      <c r="A4" s="162" t="s">
        <v>22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</row>
    <row r="5" spans="1:12" ht="20.25">
      <c r="A5" s="6"/>
      <c r="B5" s="187" t="s">
        <v>173</v>
      </c>
      <c r="H5" s="6"/>
      <c r="K5" s="163" t="s">
        <v>101</v>
      </c>
      <c r="L5" s="163"/>
    </row>
    <row r="6" spans="1:12">
      <c r="B6" s="164" t="s">
        <v>28</v>
      </c>
      <c r="C6" s="164"/>
      <c r="D6" s="164"/>
      <c r="E6" s="164"/>
      <c r="F6" s="164"/>
      <c r="G6" s="164"/>
      <c r="H6" s="113"/>
      <c r="I6" s="165" t="s">
        <v>174</v>
      </c>
      <c r="J6" s="165"/>
      <c r="K6" s="165"/>
      <c r="L6" s="165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2.844877933138819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88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10.110187579871397</v>
      </c>
      <c r="I17" s="129" t="s">
        <v>40</v>
      </c>
      <c r="J17" s="129">
        <f>1.15*10663.63</f>
        <v>12263.174499999997</v>
      </c>
      <c r="K17" s="129">
        <f>H17*J17</f>
        <v>123982.9945196956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7.5">
      <c r="B19" s="155">
        <v>2</v>
      </c>
      <c r="C19" s="128" t="s">
        <v>155</v>
      </c>
      <c r="D19" s="129"/>
      <c r="E19" s="130"/>
      <c r="F19" s="130"/>
      <c r="G19" s="135"/>
      <c r="H19" s="130"/>
      <c r="I19" s="129"/>
      <c r="J19" s="130"/>
      <c r="K19" s="130"/>
      <c r="L19" s="131"/>
    </row>
    <row r="20" spans="2:12">
      <c r="B20" s="155"/>
      <c r="C20" s="132" t="s">
        <v>175</v>
      </c>
      <c r="D20" s="143">
        <v>4</v>
      </c>
      <c r="E20" s="130">
        <f>1.75/3.281</f>
        <v>0.53337397135019804</v>
      </c>
      <c r="F20" s="130"/>
      <c r="G20" s="135">
        <f>3.5/3.281</f>
        <v>1.0667479427003961</v>
      </c>
      <c r="H20" s="130">
        <f>PRODUCT(D20:G20)</f>
        <v>2.2759023465110548</v>
      </c>
      <c r="I20" s="129"/>
      <c r="J20" s="130"/>
      <c r="K20" s="130"/>
      <c r="L20" s="131"/>
    </row>
    <row r="21" spans="2:12">
      <c r="B21" s="155"/>
      <c r="C21" s="132" t="s">
        <v>176</v>
      </c>
      <c r="D21" s="143">
        <v>3</v>
      </c>
      <c r="E21" s="130">
        <f>1.42/3.281</f>
        <v>0.43279487960987501</v>
      </c>
      <c r="F21" s="130"/>
      <c r="G21" s="135">
        <v>1.2</v>
      </c>
      <c r="H21" s="130">
        <f>PRODUCT(D21:G21)</f>
        <v>1.55806156659555</v>
      </c>
      <c r="I21" s="129"/>
      <c r="J21" s="130"/>
      <c r="K21" s="130"/>
      <c r="L21" s="131"/>
    </row>
    <row r="22" spans="2:12">
      <c r="B22" s="155"/>
      <c r="C22" s="132" t="s">
        <v>177</v>
      </c>
      <c r="D22" s="143">
        <v>6</v>
      </c>
      <c r="E22" s="130">
        <f>1.75/3.281</f>
        <v>0.53337397135019804</v>
      </c>
      <c r="F22" s="130"/>
      <c r="G22" s="135">
        <f>3.5/3.281</f>
        <v>1.0667479427003961</v>
      </c>
      <c r="H22" s="130">
        <f>PRODUCT(D22:G22)</f>
        <v>3.4138535197665822</v>
      </c>
      <c r="I22" s="129"/>
      <c r="J22" s="130"/>
      <c r="K22" s="130"/>
      <c r="L22" s="131"/>
    </row>
    <row r="23" spans="2:12">
      <c r="B23" s="155"/>
      <c r="C23" s="188" t="s">
        <v>178</v>
      </c>
      <c r="D23" s="1">
        <f>1+1+1</f>
        <v>3</v>
      </c>
      <c r="E23" s="130">
        <f>1.667/3.281</f>
        <v>0.50807680585187442</v>
      </c>
      <c r="F23" s="130"/>
      <c r="G23" s="135">
        <f>2.083/3.281</f>
        <v>0.63486741846997874</v>
      </c>
      <c r="H23" s="130">
        <f t="shared" ref="H23:H26" si="1">PRODUCT(D23:G23)</f>
        <v>0.96768423034695628</v>
      </c>
      <c r="I23" s="129"/>
      <c r="J23" s="130"/>
      <c r="K23" s="130"/>
      <c r="L23" s="131"/>
    </row>
    <row r="24" spans="2:12">
      <c r="B24" s="155"/>
      <c r="C24" s="132"/>
      <c r="D24" s="143">
        <f>1+1</f>
        <v>2</v>
      </c>
      <c r="E24" s="130">
        <f>1.75/3.281</f>
        <v>0.53337397135019804</v>
      </c>
      <c r="F24" s="130"/>
      <c r="G24" s="135">
        <f>2.083/3.281</f>
        <v>0.63486741846997874</v>
      </c>
      <c r="H24" s="130">
        <f t="shared" si="1"/>
        <v>0.6772435125403613</v>
      </c>
      <c r="I24" s="129"/>
      <c r="J24" s="130"/>
      <c r="K24" s="130"/>
      <c r="L24" s="131"/>
    </row>
    <row r="25" spans="2:12">
      <c r="B25" s="155"/>
      <c r="C25" s="132" t="s">
        <v>179</v>
      </c>
      <c r="D25" s="143">
        <f>1</f>
        <v>1</v>
      </c>
      <c r="E25" s="130">
        <f>1.75/3.281</f>
        <v>0.53337397135019804</v>
      </c>
      <c r="F25" s="130"/>
      <c r="G25" s="135">
        <f>1.42/3.281</f>
        <v>0.43279487960987501</v>
      </c>
      <c r="H25" s="130">
        <f t="shared" si="1"/>
        <v>0.23084152371754987</v>
      </c>
      <c r="I25" s="129"/>
      <c r="J25" s="130"/>
      <c r="K25" s="130"/>
      <c r="L25" s="131"/>
    </row>
    <row r="26" spans="2:12">
      <c r="B26" s="155"/>
      <c r="C26" s="132"/>
      <c r="D26" s="143">
        <v>2</v>
      </c>
      <c r="E26" s="130">
        <f>1.42/3.281</f>
        <v>0.43279487960987501</v>
      </c>
      <c r="F26" s="130"/>
      <c r="G26" s="135">
        <f>1.583/3.281</f>
        <v>0.4824748552270649</v>
      </c>
      <c r="H26" s="130">
        <f t="shared" si="1"/>
        <v>0.41762529376557883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SUM(H20:H26)</f>
        <v>9.5412119932436319</v>
      </c>
      <c r="I27" s="129" t="s">
        <v>40</v>
      </c>
      <c r="J27" s="129">
        <f>1.15*1063.57</f>
        <v>1223.1054999999999</v>
      </c>
      <c r="K27" s="129">
        <f>H27*J27</f>
        <v>11669.908865602249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3" customHeight="1">
      <c r="B29" s="155">
        <v>3</v>
      </c>
      <c r="C29" s="141" t="s">
        <v>89</v>
      </c>
      <c r="D29" s="143">
        <v>1</v>
      </c>
      <c r="E29" s="129"/>
      <c r="F29" s="129"/>
      <c r="G29" s="129"/>
      <c r="H29" s="130">
        <f>PRODUCT(D29:G29)</f>
        <v>1</v>
      </c>
      <c r="I29" s="129" t="s">
        <v>34</v>
      </c>
      <c r="J29" s="130">
        <v>500</v>
      </c>
      <c r="K29" s="130">
        <f>H29*J29</f>
        <v>500</v>
      </c>
      <c r="L29" s="131"/>
    </row>
    <row r="30" spans="2:12">
      <c r="B30" s="148"/>
      <c r="C30" s="149"/>
      <c r="D30" s="129"/>
      <c r="E30" s="130"/>
      <c r="F30" s="130"/>
      <c r="G30" s="130"/>
      <c r="H30" s="130"/>
      <c r="I30" s="129"/>
      <c r="J30" s="130"/>
      <c r="K30" s="150">
        <f>SUM(K9:K29)</f>
        <v>136152.90338529783</v>
      </c>
      <c r="L30" s="151"/>
    </row>
    <row r="31" spans="2:12">
      <c r="C31" s="9"/>
      <c r="D31" s="10"/>
      <c r="E31" s="10"/>
      <c r="F31" s="10"/>
      <c r="G31" s="10"/>
      <c r="H31" s="10"/>
      <c r="I31" s="10"/>
      <c r="J31" s="10"/>
      <c r="K31" s="118"/>
      <c r="L31" s="8"/>
    </row>
    <row r="32" spans="2:12">
      <c r="C32" s="134" t="s">
        <v>13</v>
      </c>
      <c r="D32" s="158">
        <f>+K30</f>
        <v>136152.90338529783</v>
      </c>
      <c r="E32" s="158"/>
      <c r="G32" s="64"/>
      <c r="I32" s="2"/>
      <c r="J32" s="1"/>
    </row>
    <row r="33" spans="3:10">
      <c r="C33" s="134" t="s">
        <v>171</v>
      </c>
      <c r="D33" s="158">
        <f>13%*D32</f>
        <v>17699.87744008872</v>
      </c>
      <c r="E33" s="158"/>
      <c r="G33" s="64"/>
      <c r="I33" s="2"/>
      <c r="J33" s="1"/>
    </row>
    <row r="34" spans="3:10">
      <c r="C34" s="151" t="s">
        <v>172</v>
      </c>
      <c r="D34" s="158">
        <f>SUM(D32:E33)</f>
        <v>153852.78082538655</v>
      </c>
      <c r="E34" s="159"/>
      <c r="G34" s="62"/>
    </row>
  </sheetData>
  <mergeCells count="10">
    <mergeCell ref="D32:E32"/>
    <mergeCell ref="D33:E33"/>
    <mergeCell ref="D34:E34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ESTIMATE</vt:lpstr>
      <vt:lpstr>WCR</vt:lpstr>
      <vt:lpstr>me</vt:lpstr>
      <vt:lpstr>Sheet1</vt:lpstr>
      <vt:lpstr>&lt;1000000</vt:lpstr>
      <vt:lpstr>&lt;1000000 (2)</vt:lpstr>
      <vt:lpstr>'&lt;1000000'!Print_Area</vt:lpstr>
      <vt:lpstr>'&lt;1000000 (2)'!Print_Area</vt:lpstr>
      <vt:lpstr>ESTIMATE!Print_Area</vt:lpstr>
      <vt:lpstr>me!Print_Area</vt:lpstr>
      <vt:lpstr>'&lt;1000000'!Print_Titles</vt:lpstr>
      <vt:lpstr>'&lt;1000000 (2)'!Print_Titles</vt:lpstr>
      <vt:lpstr>ESTIMATE!Print_Titles</vt:lpstr>
      <vt:lpstr>me!Print_Titles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2026-05-06T09:07:35Z</cp:lastPrinted>
  <dcterms:created xsi:type="dcterms:W3CDTF">2015-02-11T06:39:48Z</dcterms:created>
  <dcterms:modified xsi:type="dcterms:W3CDTF">2026-05-06T09:08:02Z</dcterms:modified>
</cp:coreProperties>
</file>