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stimate FY 80-81\budget request\"/>
    </mc:Choice>
  </mc:AlternateContent>
  <xr:revisionPtr revIDLastSave="0" documentId="13_ncr:1_{7C00DFD7-AF92-4ECE-8299-EA37DDA5C3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IMATE" sheetId="25" r:id="rId1"/>
    <sheet name="mb" sheetId="28" r:id="rId2"/>
    <sheet name="valuation" sheetId="26" r:id="rId3"/>
    <sheet name="WCR" sheetId="27" r:id="rId4"/>
  </sheets>
  <externalReferences>
    <externalReference r:id="rId5"/>
    <externalReference r:id="rId6"/>
  </externalReferences>
  <definedNames>
    <definedName name="_xlnm.Print_Area" localSheetId="0">ESTIMATE!$A$1:$L$71</definedName>
    <definedName name="_xlnm.Print_Area" localSheetId="1">mb!$A$4:$J$46</definedName>
    <definedName name="_xlnm.Print_Area" localSheetId="2">valuation!$A$4:$L$69</definedName>
    <definedName name="_xlnm.Print_Titles" localSheetId="0">ESTIMATE!$1:$8</definedName>
    <definedName name="_xlnm.Print_Titles" localSheetId="1">mb!$4:$11</definedName>
    <definedName name="_xlnm.Print_Titles" localSheetId="2">valuation!$4:$11</definedName>
    <definedName name="_xlnm.Print_Titles" localSheetId="3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8" i="25" l="1"/>
  <c r="J67" i="25"/>
  <c r="F63" i="25"/>
  <c r="F65" i="25" s="1"/>
  <c r="E63" i="25"/>
  <c r="E65" i="25" s="1"/>
  <c r="E67" i="25" s="1"/>
  <c r="H67" i="25" s="1"/>
  <c r="J63" i="25"/>
  <c r="K67" i="25" l="1"/>
  <c r="H65" i="25"/>
  <c r="H63" i="25"/>
  <c r="K63" i="25" s="1"/>
  <c r="K65" i="25" l="1"/>
  <c r="K66" i="25"/>
  <c r="N68" i="25" l="1"/>
  <c r="N69" i="25" s="1"/>
  <c r="H10" i="25" l="1"/>
  <c r="J10" i="25"/>
  <c r="K10" i="25" s="1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E16" i="25" l="1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H41" i="28"/>
  <c r="H39" i="28"/>
  <c r="H37" i="28"/>
  <c r="G34" i="28"/>
  <c r="G30" i="28"/>
  <c r="H29" i="28"/>
  <c r="H26" i="28"/>
  <c r="E25" i="28"/>
  <c r="H25" i="28" s="1"/>
  <c r="E22" i="28"/>
  <c r="H22" i="28" s="1"/>
  <c r="H23" i="28" s="1"/>
  <c r="H19" i="28"/>
  <c r="H18" i="28"/>
  <c r="E16" i="28"/>
  <c r="H16" i="28" s="1"/>
  <c r="F14" i="28"/>
  <c r="E14" i="28"/>
  <c r="H14" i="28" s="1"/>
  <c r="G2" i="28"/>
  <c r="H2" i="28" s="1"/>
  <c r="H27" i="28" l="1"/>
  <c r="H20" i="28"/>
  <c r="E34" i="28"/>
  <c r="H34" i="28" s="1"/>
  <c r="H35" i="28" s="1"/>
  <c r="E12" i="28"/>
  <c r="H12" i="28" s="1"/>
  <c r="E30" i="28"/>
  <c r="H30" i="28" s="1"/>
  <c r="H31" i="28" s="1"/>
  <c r="B8" i="27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K69" i="26"/>
  <c r="K68" i="26"/>
  <c r="K66" i="26"/>
  <c r="K60" i="26"/>
  <c r="H50" i="27" s="1"/>
  <c r="K57" i="26"/>
  <c r="H54" i="26"/>
  <c r="H51" i="26"/>
  <c r="F41" i="27" s="1"/>
  <c r="H49" i="26"/>
  <c r="G44" i="26"/>
  <c r="G39" i="26"/>
  <c r="H38" i="26"/>
  <c r="H32" i="26"/>
  <c r="E31" i="26"/>
  <c r="H31" i="26" s="1"/>
  <c r="E25" i="26"/>
  <c r="E44" i="26" s="1"/>
  <c r="H21" i="26"/>
  <c r="H20" i="26"/>
  <c r="H22" i="26" s="1"/>
  <c r="F19" i="27" s="1"/>
  <c r="E17" i="26"/>
  <c r="E12" i="26" s="1"/>
  <c r="H12" i="26" s="1"/>
  <c r="F14" i="26"/>
  <c r="E14" i="26"/>
  <c r="H14" i="26" s="1"/>
  <c r="G2" i="26"/>
  <c r="H2" i="26" s="1"/>
  <c r="K14" i="26" l="1"/>
  <c r="H14" i="27" s="1"/>
  <c r="F14" i="27"/>
  <c r="K49" i="26"/>
  <c r="H39" i="27" s="1"/>
  <c r="F39" i="27"/>
  <c r="K58" i="26"/>
  <c r="H48" i="27" s="1"/>
  <c r="H47" i="27"/>
  <c r="K12" i="26"/>
  <c r="H12" i="27" s="1"/>
  <c r="F12" i="27"/>
  <c r="E39" i="26"/>
  <c r="H39" i="26" s="1"/>
  <c r="H40" i="26" s="1"/>
  <c r="F32" i="27" s="1"/>
  <c r="K54" i="26"/>
  <c r="H44" i="27" s="1"/>
  <c r="F44" i="27"/>
  <c r="H25" i="26"/>
  <c r="H26" i="26" s="1"/>
  <c r="H33" i="26"/>
  <c r="F27" i="27" s="1"/>
  <c r="K55" i="26"/>
  <c r="H45" i="27" s="1"/>
  <c r="H44" i="26"/>
  <c r="H45" i="26" s="1"/>
  <c r="K23" i="26"/>
  <c r="H20" i="27" s="1"/>
  <c r="K22" i="26"/>
  <c r="H19" i="27" s="1"/>
  <c r="K51" i="26"/>
  <c r="H41" i="27" s="1"/>
  <c r="K52" i="26"/>
  <c r="H42" i="27" s="1"/>
  <c r="K35" i="26"/>
  <c r="H29" i="27" s="1"/>
  <c r="H17" i="26"/>
  <c r="F16" i="27" s="1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K36" i="26"/>
  <c r="H30" i="27" s="1"/>
  <c r="K33" i="26"/>
  <c r="H27" i="27" s="1"/>
  <c r="E14" i="27"/>
  <c r="C14" i="27"/>
  <c r="I14" i="27" s="1"/>
  <c r="K34" i="26"/>
  <c r="H28" i="27" s="1"/>
  <c r="K54" i="25"/>
  <c r="C39" i="27"/>
  <c r="I39" i="27" s="1"/>
  <c r="E12" i="27"/>
  <c r="C12" i="27"/>
  <c r="I12" i="27" s="1"/>
  <c r="E45" i="27"/>
  <c r="C44" i="27"/>
  <c r="I44" i="27" s="1"/>
  <c r="E48" i="27"/>
  <c r="E47" i="27"/>
  <c r="K47" i="26"/>
  <c r="H37" i="27" s="1"/>
  <c r="F35" i="27"/>
  <c r="K28" i="26"/>
  <c r="H24" i="27" s="1"/>
  <c r="F22" i="27"/>
  <c r="K27" i="26"/>
  <c r="H23" i="27" s="1"/>
  <c r="K29" i="26"/>
  <c r="H25" i="27" s="1"/>
  <c r="K26" i="26"/>
  <c r="H22" i="27" s="1"/>
  <c r="K45" i="26"/>
  <c r="H35" i="27" s="1"/>
  <c r="K46" i="26"/>
  <c r="H36" i="27" s="1"/>
  <c r="K18" i="26"/>
  <c r="H17" i="27" s="1"/>
  <c r="K17" i="26"/>
  <c r="H16" i="27" s="1"/>
  <c r="K40" i="26"/>
  <c r="H32" i="27" s="1"/>
  <c r="K41" i="26"/>
  <c r="H33" i="27" s="1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61" i="26"/>
  <c r="K64" i="26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L66" i="26"/>
  <c r="K67" i="26"/>
  <c r="L67" i="26" s="1"/>
  <c r="K71" i="25" l="1"/>
  <c r="K74" i="25" s="1"/>
  <c r="K77" i="25" s="1"/>
  <c r="L77" i="25" s="1"/>
  <c r="E22" i="27"/>
  <c r="E51" i="27" s="1"/>
  <c r="C6" i="27" s="1"/>
  <c r="E23" i="27"/>
  <c r="L76" i="25" l="1"/>
</calcChain>
</file>

<file path=xl/sharedStrings.xml><?xml version="1.0" encoding="utf-8"?>
<sst xmlns="http://schemas.openxmlformats.org/spreadsheetml/2006/main" count="262" uniqueCount="116">
  <si>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</si>
  <si>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</si>
  <si>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</si>
  <si>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</si>
  <si>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</si>
  <si>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</si>
  <si>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</si>
  <si>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</si>
  <si>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</si>
  <si>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</si>
  <si>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</si>
  <si>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</si>
  <si>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</si>
  <si>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Amount (NRs.)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</si>
  <si>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</si>
  <si>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</si>
  <si>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</si>
  <si>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</si>
  <si>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</si>
  <si>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</si>
  <si>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</si>
  <si>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</si>
  <si>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</si>
  <si>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</si>
  <si>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</si>
  <si>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</si>
  <si>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</si>
  <si>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</si>
  <si>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</si>
  <si>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</si>
  <si>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F.Y.:-2079/080</t>
  </si>
  <si>
    <t>vat on cement</t>
  </si>
  <si>
    <t xml:space="preserve">vat on sand </t>
  </si>
  <si>
    <t>vat on aggregate</t>
  </si>
  <si>
    <t xml:space="preserve"> </t>
  </si>
  <si>
    <t xml:space="preserve">water tank </t>
  </si>
  <si>
    <t>length</t>
  </si>
  <si>
    <t>breadth</t>
  </si>
  <si>
    <t>height</t>
  </si>
  <si>
    <t>capacity</t>
  </si>
  <si>
    <t>Information Board</t>
  </si>
  <si>
    <t>no.</t>
  </si>
  <si>
    <t>cu.m.</t>
  </si>
  <si>
    <t>job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</si>
  <si>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</si>
  <si>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</si>
  <si>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</si>
  <si>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</si>
  <si>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</si>
  <si>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</si>
  <si>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</si>
  <si>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</si>
  <si>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</si>
  <si>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hut] vfg]kfgL</t>
  </si>
  <si>
    <t>Iron frame for barbed wire</t>
  </si>
  <si>
    <t xml:space="preserve">Barbed wire </t>
  </si>
  <si>
    <t>r.m.</t>
  </si>
  <si>
    <t>Roof top PVC Water Tank</t>
  </si>
  <si>
    <t>ltr</t>
  </si>
  <si>
    <t>vat on pvc water tank</t>
  </si>
  <si>
    <t xml:space="preserve">Brick  Masonry work in 1:6 </t>
  </si>
  <si>
    <t>Valuation Sheet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</si>
  <si>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</si>
  <si>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</si>
  <si>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</si>
  <si>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</si>
  <si>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</si>
  <si>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</si>
  <si>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</si>
  <si>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</si>
  <si>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</si>
  <si>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</si>
  <si>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</si>
  <si>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</si>
  <si>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</si>
  <si>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</si>
  <si>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</si>
  <si>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</si>
  <si>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</si>
  <si>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</si>
  <si>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Measurement Sheet</t>
  </si>
  <si>
    <t>Percent (%)</t>
  </si>
  <si>
    <t>Date: 2079/12/21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</si>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</sst>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4" formatCode="0.0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62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43" fontId="51" fillId="0" borderId="0" xfId="0" applyNumberFormat="1" applyFont="1" applyAlignment="1">
      <alignment wrapText="1"/>
    </xf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6" xfId="0" applyFont="1" applyFill="1" applyBorder="1" applyAlignment="1">
      <alignment wrapText="1"/>
    </xf>
    <xf numFmtId="0" fontId="51" fillId="2" borderId="27" xfId="0" applyFont="1" applyFill="1" applyBorder="1" applyAlignment="1">
      <alignment horizontal="right" vertical="top"/>
    </xf>
    <xf numFmtId="0" fontId="51" fillId="2" borderId="25" xfId="0" applyFont="1" applyFill="1" applyBorder="1" applyAlignment="1">
      <alignment horizontal="center"/>
    </xf>
    <xf numFmtId="43" fontId="51" fillId="2" borderId="23" xfId="1" applyFont="1" applyFill="1" applyBorder="1"/>
    <xf numFmtId="0" fontId="51" fillId="2" borderId="23" xfId="0" applyFont="1" applyFill="1" applyBorder="1" applyAlignment="1">
      <alignment horizontal="center"/>
    </xf>
    <xf numFmtId="43" fontId="51" fillId="2" borderId="25" xfId="1" applyFont="1" applyFill="1" applyBorder="1"/>
    <xf numFmtId="0" fontId="52" fillId="0" borderId="23" xfId="0" applyFont="1" applyBorder="1" applyAlignment="1">
      <alignment horizontal="left" vertical="top" wrapText="1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2" borderId="23" xfId="0" applyFont="1" applyFill="1" applyBorder="1"/>
    <xf numFmtId="0" fontId="51" fillId="0" borderId="23" xfId="0" applyFont="1" applyBorder="1"/>
    <xf numFmtId="43" fontId="51" fillId="2" borderId="23" xfId="0" applyNumberFormat="1" applyFont="1" applyFill="1" applyBorder="1" applyAlignment="1">
      <alignment horizontal="center"/>
    </xf>
    <xf numFmtId="0" fontId="51" fillId="2" borderId="27" xfId="0" applyFont="1" applyFill="1" applyBorder="1" applyAlignment="1">
      <alignment vertical="top"/>
    </xf>
    <xf numFmtId="2" fontId="51" fillId="0" borderId="23" xfId="0" applyNumberFormat="1" applyFont="1" applyBorder="1"/>
    <xf numFmtId="2" fontId="52" fillId="0" borderId="23" xfId="0" applyNumberFormat="1" applyFont="1" applyBorder="1" applyAlignment="1">
      <alignment horizontal="center"/>
    </xf>
    <xf numFmtId="0" fontId="52" fillId="2" borderId="23" xfId="0" applyFont="1" applyFill="1" applyBorder="1"/>
    <xf numFmtId="0" fontId="52" fillId="0" borderId="23" xfId="0" applyFont="1" applyBorder="1" applyAlignment="1">
      <alignment horizontal="justify" vertical="justify"/>
    </xf>
    <xf numFmtId="0" fontId="51" fillId="0" borderId="27" xfId="0" applyFont="1" applyBorder="1"/>
    <xf numFmtId="0" fontId="51" fillId="2" borderId="29" xfId="0" applyFont="1" applyFill="1" applyBorder="1" applyAlignment="1">
      <alignment vertical="center"/>
    </xf>
    <xf numFmtId="0" fontId="51" fillId="2" borderId="30" xfId="0" applyFont="1" applyFill="1" applyBorder="1" applyAlignment="1">
      <alignment horizontal="center"/>
    </xf>
    <xf numFmtId="43" fontId="51" fillId="2" borderId="30" xfId="1" applyFont="1" applyFill="1" applyBorder="1"/>
    <xf numFmtId="165" fontId="51" fillId="2" borderId="30" xfId="1" applyNumberFormat="1" applyFont="1" applyFill="1" applyBorder="1"/>
    <xf numFmtId="43" fontId="49" fillId="2" borderId="30" xfId="1" applyFont="1" applyFill="1" applyBorder="1"/>
    <xf numFmtId="0" fontId="51" fillId="2" borderId="31" xfId="0" applyFont="1" applyFill="1" applyBorder="1" applyAlignment="1">
      <alignment wrapText="1"/>
    </xf>
    <xf numFmtId="43" fontId="3" fillId="0" borderId="23" xfId="734" applyNumberFormat="1" applyFont="1" applyBorder="1"/>
    <xf numFmtId="43" fontId="51" fillId="0" borderId="23" xfId="1" applyFont="1" applyBorder="1" applyAlignment="1"/>
    <xf numFmtId="43" fontId="51" fillId="0" borderId="23" xfId="1" applyFont="1" applyBorder="1"/>
    <xf numFmtId="2" fontId="51" fillId="2" borderId="23" xfId="0" applyNumberFormat="1" applyFont="1" applyFill="1" applyBorder="1"/>
    <xf numFmtId="2" fontId="51" fillId="2" borderId="23" xfId="0" applyNumberFormat="1" applyFont="1" applyFill="1" applyBorder="1" applyAlignment="1">
      <alignment horizontal="right"/>
    </xf>
    <xf numFmtId="43" fontId="51" fillId="2" borderId="23" xfId="32" applyFont="1" applyFill="1" applyBorder="1" applyAlignment="1">
      <alignment horizontal="right"/>
    </xf>
    <xf numFmtId="0" fontId="52" fillId="0" borderId="28" xfId="0" applyFont="1" applyBorder="1"/>
    <xf numFmtId="0" fontId="51" fillId="2" borderId="23" xfId="0" applyFont="1" applyFill="1" applyBorder="1" applyAlignment="1">
      <alignment horizontal="right"/>
    </xf>
    <xf numFmtId="0" fontId="50" fillId="2" borderId="30" xfId="0" applyFont="1" applyFill="1" applyBorder="1" applyAlignment="1">
      <alignment horizontal="left" vertical="top" wrapText="1"/>
    </xf>
    <xf numFmtId="0" fontId="51" fillId="0" borderId="19" xfId="0" applyFont="1" applyBorder="1"/>
    <xf numFmtId="0" fontId="51" fillId="0" borderId="19" xfId="0" applyFont="1" applyBorder="1" applyAlignment="1">
      <alignment wrapText="1"/>
    </xf>
    <xf numFmtId="0" fontId="51" fillId="32" borderId="19" xfId="0" applyFont="1" applyFill="1" applyBorder="1"/>
    <xf numFmtId="0" fontId="51" fillId="0" borderId="23" xfId="0" applyFont="1" applyBorder="1" applyAlignment="1">
      <alignment horizontal="right"/>
    </xf>
    <xf numFmtId="43" fontId="51" fillId="0" borderId="23" xfId="0" applyNumberFormat="1" applyFont="1" applyBorder="1"/>
    <xf numFmtId="0" fontId="54" fillId="0" borderId="0" xfId="0" applyFont="1"/>
    <xf numFmtId="0" fontId="49" fillId="2" borderId="23" xfId="0" applyFont="1" applyFill="1" applyBorder="1" applyAlignment="1">
      <alignment horizontal="left" vertical="top"/>
    </xf>
    <xf numFmtId="0" fontId="49" fillId="2" borderId="27" xfId="0" applyFont="1" applyFill="1" applyBorder="1" applyAlignment="1">
      <alignment horizontal="right" vertical="top"/>
    </xf>
    <xf numFmtId="0" fontId="52" fillId="2" borderId="23" xfId="0" applyFont="1" applyFill="1" applyBorder="1" applyAlignment="1">
      <alignment horizontal="right" vertical="top" wrapText="1"/>
    </xf>
    <xf numFmtId="0" fontId="51" fillId="2" borderId="24" xfId="0" applyFont="1" applyFill="1" applyBorder="1" applyAlignment="1">
      <alignment vertical="top"/>
    </xf>
    <xf numFmtId="0" fontId="52" fillId="2" borderId="25" xfId="0" applyFont="1" applyFill="1" applyBorder="1" applyAlignment="1">
      <alignment horizontal="left" vertical="top" wrapText="1"/>
    </xf>
    <xf numFmtId="0" fontId="51" fillId="2" borderId="27" xfId="0" applyFont="1" applyFill="1" applyBorder="1" applyAlignment="1">
      <alignment horizontal="right" vertical="center"/>
    </xf>
    <xf numFmtId="0" fontId="51" fillId="2" borderId="23" xfId="0" applyFont="1" applyFill="1" applyBorder="1" applyAlignment="1">
      <alignment wrapText="1"/>
    </xf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3" borderId="23" xfId="0" applyFont="1" applyFill="1" applyBorder="1"/>
    <xf numFmtId="0" fontId="65" fillId="33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40" xfId="0" applyFont="1" applyBorder="1"/>
    <xf numFmtId="0" fontId="48" fillId="0" borderId="40" xfId="0" applyFont="1" applyBorder="1"/>
    <xf numFmtId="43" fontId="48" fillId="0" borderId="40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0" fontId="51" fillId="0" borderId="0" xfId="0" quotePrefix="1" applyFont="1"/>
    <xf numFmtId="43" fontId="51" fillId="0" borderId="0" xfId="0" applyNumberFormat="1" applyFont="1" applyAlignment="1">
      <alignment horizontal="left"/>
    </xf>
    <xf numFmtId="43" fontId="51" fillId="0" borderId="0" xfId="1" applyFont="1" applyBorder="1" applyAlignment="1">
      <alignment horizontal="left"/>
    </xf>
    <xf numFmtId="43" fontId="51" fillId="0" borderId="0" xfId="1" applyFont="1" applyBorder="1" applyAlignment="1">
      <alignment horizontal="center"/>
    </xf>
    <xf numFmtId="43" fontId="51" fillId="0" borderId="0" xfId="0" applyNumberFormat="1" applyFont="1" applyAlignment="1">
      <alignment horizontal="center"/>
    </xf>
    <xf numFmtId="0" fontId="51" fillId="2" borderId="23" xfId="0" applyFont="1" applyFill="1" applyBorder="1" applyAlignment="1">
      <alignment horizontal="left" vertical="top"/>
    </xf>
    <xf numFmtId="0" fontId="49" fillId="0" borderId="32" xfId="0" applyFont="1" applyBorder="1"/>
    <xf numFmtId="0" fontId="49" fillId="0" borderId="33" xfId="0" applyFont="1" applyBorder="1"/>
    <xf numFmtId="0" fontId="49" fillId="0" borderId="34" xfId="0" applyFont="1" applyBorder="1"/>
    <xf numFmtId="0" fontId="51" fillId="0" borderId="35" xfId="0" applyFont="1" applyBorder="1"/>
    <xf numFmtId="0" fontId="51" fillId="0" borderId="36" xfId="0" applyFont="1" applyBorder="1"/>
    <xf numFmtId="43" fontId="51" fillId="0" borderId="36" xfId="0" applyNumberFormat="1" applyFont="1" applyBorder="1"/>
    <xf numFmtId="0" fontId="51" fillId="0" borderId="38" xfId="0" applyFont="1" applyBorder="1"/>
    <xf numFmtId="0" fontId="51" fillId="0" borderId="39" xfId="0" applyFont="1" applyBorder="1"/>
    <xf numFmtId="43" fontId="51" fillId="0" borderId="37" xfId="1" applyFont="1" applyBorder="1" applyAlignment="1"/>
    <xf numFmtId="43" fontId="51" fillId="0" borderId="38" xfId="1" applyFont="1" applyBorder="1" applyAlignment="1"/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0" fontId="51" fillId="0" borderId="0" xfId="0" applyFont="1"/>
    <xf numFmtId="0" fontId="51" fillId="0" borderId="0" xfId="0" applyFont="1"/>
    <xf numFmtId="0" fontId="51" fillId="0" borderId="0" xfId="0" applyFont="1" applyAlignment="1">
      <alignment horizontal="right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43" fontId="51" fillId="0" borderId="0" xfId="0" applyNumberFormat="1" applyFont="1" applyAlignment="1">
      <alignment horizontal="left"/>
    </xf>
    <xf numFmtId="0" fontId="49" fillId="0" borderId="0" xfId="0" applyFont="1" applyAlignment="1">
      <alignment horizontal="center"/>
    </xf>
    <xf numFmtId="43" fontId="51" fillId="0" borderId="0" xfId="1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3" borderId="36" xfId="0" applyFont="1" applyFill="1" applyBorder="1" applyAlignment="1">
      <alignment horizontal="center" vertical="center"/>
    </xf>
    <xf numFmtId="0" fontId="65" fillId="33" borderId="23" xfId="0" applyFont="1" applyFill="1" applyBorder="1" applyAlignment="1">
      <alignment horizontal="center" vertical="center"/>
    </xf>
    <xf numFmtId="0" fontId="65" fillId="33" borderId="36" xfId="0" applyFont="1" applyFill="1" applyBorder="1" applyAlignment="1">
      <alignment horizontal="center"/>
    </xf>
    <xf numFmtId="184" fontId="51" fillId="2" borderId="27" xfId="0" applyNumberFormat="1" applyFont="1" applyFill="1" applyBorder="1" applyAlignment="1">
      <alignment horizontal="right" vertical="center"/>
    </xf>
    <xf numFmtId="184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rate%20analysis%2080-81/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stimate%20FY%2080-81/rate%20analysis%2080-81/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/>
      <sheetData sheetId="1"/>
      <sheetData sheetId="2"/>
      <sheetData sheetId="3"/>
      <sheetData sheetId="4"/>
      <sheetData sheetId="5"/>
      <sheetData sheetId="6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tabSelected="1" view="pageBreakPreview" topLeftCell="A61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34" t="s">
        <v>11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8" ht="20.25">
      <c r="A2" s="135" t="s">
        <v>17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8">
      <c r="A3" s="134" t="s">
        <v>18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8">
      <c r="A4" s="136" t="s">
        <v>23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</row>
    <row r="5" spans="1:18" ht="19.5">
      <c r="A5" s="6"/>
      <c r="B5" s="4" t="s">
        <v>28</v>
      </c>
      <c r="C5" s="57" t="s">
        <v>108</v>
      </c>
      <c r="H5" s="6"/>
      <c r="K5" s="137" t="s">
        <v>84</v>
      </c>
      <c r="L5" s="137"/>
    </row>
    <row r="6" spans="1:18">
      <c r="B6" s="132" t="s">
        <v>29</v>
      </c>
      <c r="C6" s="132"/>
      <c r="D6" s="132"/>
      <c r="E6" s="132"/>
      <c r="F6" s="132"/>
      <c r="G6" s="132"/>
      <c r="H6" s="3"/>
      <c r="I6" s="133" t="s">
        <v>115</v>
      </c>
      <c r="J6" s="133"/>
      <c r="K6" s="133"/>
      <c r="L6" s="133"/>
      <c r="O6" s="133" t="s">
        <v>85</v>
      </c>
      <c r="P6" s="133"/>
      <c r="Q6" s="133"/>
      <c r="R6" s="133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3" t="s">
        <v>0</v>
      </c>
      <c r="C8" s="14" t="s">
        <v>1</v>
      </c>
      <c r="D8" s="18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6" t="s">
        <v>7</v>
      </c>
      <c r="J8" s="15" t="s">
        <v>8</v>
      </c>
      <c r="K8" s="15" t="s">
        <v>9</v>
      </c>
      <c r="L8" s="17" t="s">
        <v>10</v>
      </c>
    </row>
    <row r="9" spans="1:18" s="131" customFormat="1" ht="18">
      <c r="A9" s="2"/>
      <c r="B9" s="155" t="s">
        <v>109</v>
      </c>
      <c r="C9" s="156" t="s">
        <v>110</v>
      </c>
      <c r="D9" s="157"/>
      <c r="E9" s="158"/>
      <c r="F9" s="158"/>
      <c r="G9" s="158"/>
      <c r="H9" s="158"/>
      <c r="I9" s="159"/>
      <c r="J9" s="158"/>
      <c r="K9" s="158"/>
      <c r="L9" s="160"/>
    </row>
    <row r="10" spans="1:18" ht="35.1" customHeight="1">
      <c r="B10" s="152">
        <v>1</v>
      </c>
      <c r="C10" s="130" t="s">
        <v>88</v>
      </c>
      <c r="D10" s="47">
        <v>1</v>
      </c>
      <c r="E10" s="121">
        <v>4.5</v>
      </c>
      <c r="F10" s="121">
        <v>3</v>
      </c>
      <c r="G10" s="121">
        <v>0.1</v>
      </c>
      <c r="H10" s="121">
        <f>D10*E10*F10*G10</f>
        <v>1.35</v>
      </c>
      <c r="I10" s="47" t="s">
        <v>42</v>
      </c>
      <c r="J10" s="121">
        <f>'[1]Table of Content 2'!$H$312</f>
        <v>9900</v>
      </c>
      <c r="K10" s="121">
        <f>H10*J10</f>
        <v>13365</v>
      </c>
      <c r="L10" s="49"/>
    </row>
    <row r="11" spans="1:18" ht="18.75">
      <c r="B11" s="152"/>
      <c r="C11" s="130"/>
      <c r="D11" s="47"/>
      <c r="E11" s="121"/>
      <c r="F11" s="121"/>
      <c r="G11" s="121"/>
      <c r="H11" s="121"/>
      <c r="I11" s="47"/>
      <c r="J11" s="121"/>
      <c r="K11" s="121"/>
      <c r="L11" s="49"/>
    </row>
    <row r="12" spans="1:18" ht="35.1" customHeight="1">
      <c r="B12" s="152">
        <v>2</v>
      </c>
      <c r="C12" s="130" t="s">
        <v>89</v>
      </c>
      <c r="D12" s="47">
        <v>2</v>
      </c>
      <c r="E12" s="121">
        <f>E10</f>
        <v>4.5</v>
      </c>
      <c r="F12" s="121"/>
      <c r="G12" s="121">
        <v>1.4</v>
      </c>
      <c r="H12" s="121">
        <f>D12*E12*G12</f>
        <v>12.6</v>
      </c>
      <c r="I12" s="121"/>
      <c r="J12" s="121"/>
      <c r="K12" s="121"/>
      <c r="L12" s="49"/>
    </row>
    <row r="13" spans="1:18">
      <c r="B13" s="152"/>
      <c r="C13" s="35"/>
      <c r="D13" s="47">
        <v>2</v>
      </c>
      <c r="E13" s="121">
        <f>F10</f>
        <v>3</v>
      </c>
      <c r="F13" s="121"/>
      <c r="G13" s="121">
        <v>1.4</v>
      </c>
      <c r="H13" s="121">
        <f>D13*E13*G13</f>
        <v>8.3999999999999986</v>
      </c>
      <c r="I13" s="121"/>
      <c r="J13" s="121"/>
      <c r="K13" s="121"/>
      <c r="L13" s="49"/>
    </row>
    <row r="14" spans="1:18">
      <c r="B14" s="152"/>
      <c r="C14" s="29"/>
      <c r="D14" s="47"/>
      <c r="E14" s="121"/>
      <c r="F14" s="121"/>
      <c r="G14" s="122"/>
      <c r="H14" s="121">
        <f>SUM(H12:H13)</f>
        <v>21</v>
      </c>
      <c r="I14" s="47" t="s">
        <v>48</v>
      </c>
      <c r="J14" s="121">
        <f>'[1]Table of Content 2'!$H$314</f>
        <v>97.2</v>
      </c>
      <c r="K14" s="121">
        <f>H14*J14</f>
        <v>2041.2</v>
      </c>
      <c r="L14" s="49"/>
    </row>
    <row r="15" spans="1:18">
      <c r="B15" s="152"/>
      <c r="C15" s="55"/>
      <c r="D15" s="47"/>
      <c r="E15" s="121"/>
      <c r="F15" s="121"/>
      <c r="G15" s="122"/>
      <c r="H15" s="121"/>
      <c r="I15" s="47"/>
      <c r="J15" s="121"/>
      <c r="K15" s="121"/>
      <c r="L15" s="49"/>
    </row>
    <row r="16" spans="1:18" ht="35.1" customHeight="1">
      <c r="B16" s="152">
        <v>3</v>
      </c>
      <c r="C16" s="130" t="s">
        <v>90</v>
      </c>
      <c r="D16" s="47">
        <v>2</v>
      </c>
      <c r="E16" s="121">
        <f>E12</f>
        <v>4.5</v>
      </c>
      <c r="F16" s="121">
        <v>0.1</v>
      </c>
      <c r="G16" s="121">
        <v>0.9</v>
      </c>
      <c r="H16" s="121">
        <f>D16*E16*F16*G16</f>
        <v>0.81</v>
      </c>
      <c r="I16" s="123"/>
      <c r="J16" s="123"/>
      <c r="K16" s="123"/>
      <c r="L16" s="49"/>
    </row>
    <row r="17" spans="2:12" ht="18.75">
      <c r="B17" s="152"/>
      <c r="C17" s="130"/>
      <c r="D17" s="47">
        <v>2</v>
      </c>
      <c r="E17" s="121">
        <f>E13</f>
        <v>3</v>
      </c>
      <c r="F17" s="121">
        <v>0.1</v>
      </c>
      <c r="G17" s="121">
        <v>0.9</v>
      </c>
      <c r="H17" s="121">
        <f>D17*E17*F17*G17</f>
        <v>0.54000000000000015</v>
      </c>
      <c r="I17" s="123"/>
      <c r="J17" s="123"/>
      <c r="K17" s="123"/>
      <c r="L17" s="49"/>
    </row>
    <row r="18" spans="2:12" ht="18.75">
      <c r="B18" s="152"/>
      <c r="C18" s="130"/>
      <c r="D18" s="47">
        <v>1</v>
      </c>
      <c r="E18" s="121">
        <f>2*(5+4)/3.28</f>
        <v>5.4878048780487809</v>
      </c>
      <c r="F18" s="121">
        <v>0.23</v>
      </c>
      <c r="G18" s="121">
        <v>0.45</v>
      </c>
      <c r="H18" s="121">
        <f>D18*E18*F18*G18</f>
        <v>0.5679878048780489</v>
      </c>
      <c r="I18" s="123"/>
      <c r="J18" s="123"/>
      <c r="K18" s="123"/>
      <c r="L18" s="49"/>
    </row>
    <row r="19" spans="2:12">
      <c r="B19" s="152"/>
      <c r="C19" s="29"/>
      <c r="D19" s="47"/>
      <c r="E19" s="121"/>
      <c r="F19" s="121"/>
      <c r="G19" s="122"/>
      <c r="H19" s="121">
        <f>SUM(H16:H18)</f>
        <v>1.917987804878049</v>
      </c>
      <c r="I19" s="47" t="s">
        <v>42</v>
      </c>
      <c r="J19" s="124">
        <f>'[1]Table of Content 2'!$H$43</f>
        <v>14911.97</v>
      </c>
      <c r="K19" s="124">
        <f>H19*J19</f>
        <v>28600.976606707318</v>
      </c>
      <c r="L19" s="49"/>
    </row>
    <row r="20" spans="2:12">
      <c r="B20" s="152"/>
      <c r="C20" s="27" t="s">
        <v>31</v>
      </c>
      <c r="D20" s="47"/>
      <c r="E20" s="121"/>
      <c r="F20" s="121"/>
      <c r="G20" s="122"/>
      <c r="H20" s="123"/>
      <c r="I20" s="47"/>
      <c r="J20" s="124"/>
      <c r="K20" s="124">
        <f>'[1]Update Descrip'!$G$397*H19*0.13</f>
        <v>359.82026615853664</v>
      </c>
      <c r="L20" s="49"/>
    </row>
    <row r="21" spans="2:12">
      <c r="B21" s="152"/>
      <c r="C21" s="27" t="s">
        <v>32</v>
      </c>
      <c r="D21" s="123"/>
      <c r="E21" s="123"/>
      <c r="F21" s="123"/>
      <c r="G21" s="123"/>
      <c r="H21" s="123"/>
      <c r="I21" s="123"/>
      <c r="J21" s="124"/>
      <c r="K21" s="124">
        <f>'[1]Update Descrip'!$G$398*H19*0.13</f>
        <v>175.0255935365854</v>
      </c>
      <c r="L21" s="49"/>
    </row>
    <row r="22" spans="2:12">
      <c r="B22" s="152"/>
      <c r="C22" s="27" t="s">
        <v>46</v>
      </c>
      <c r="D22" s="47"/>
      <c r="E22" s="121"/>
      <c r="F22" s="121"/>
      <c r="G22" s="122"/>
      <c r="H22" s="121"/>
      <c r="I22" s="47"/>
      <c r="J22" s="124"/>
      <c r="K22" s="124">
        <f>'[1]Update Descrip'!$G$396*H19*0.13</f>
        <v>2185.4811248780493</v>
      </c>
      <c r="L22" s="49"/>
    </row>
    <row r="23" spans="2:12">
      <c r="B23" s="152"/>
      <c r="C23" s="29"/>
      <c r="D23" s="47"/>
      <c r="E23" s="121"/>
      <c r="F23" s="121"/>
      <c r="G23" s="122"/>
      <c r="H23" s="121"/>
      <c r="I23" s="47"/>
      <c r="J23" s="124"/>
      <c r="K23" s="124"/>
      <c r="L23" s="49"/>
    </row>
    <row r="24" spans="2:12" ht="35.1" customHeight="1">
      <c r="B24" s="152">
        <v>4</v>
      </c>
      <c r="C24" s="130" t="s">
        <v>95</v>
      </c>
      <c r="D24" s="47">
        <f>E25/0.15</f>
        <v>20</v>
      </c>
      <c r="E24" s="121">
        <f>E16</f>
        <v>4.5</v>
      </c>
      <c r="F24" s="121"/>
      <c r="G24" s="122">
        <f>10*10/162</f>
        <v>0.61728395061728392</v>
      </c>
      <c r="H24" s="121">
        <f>D24*E24*G24</f>
        <v>55.55555555555555</v>
      </c>
      <c r="I24" s="47"/>
      <c r="J24" s="124"/>
      <c r="K24" s="124"/>
      <c r="L24" s="49"/>
    </row>
    <row r="25" spans="2:12">
      <c r="B25" s="152"/>
      <c r="C25" s="27"/>
      <c r="D25" s="47">
        <f>E24/0.15</f>
        <v>30</v>
      </c>
      <c r="E25" s="121">
        <f>E17</f>
        <v>3</v>
      </c>
      <c r="F25" s="121"/>
      <c r="G25" s="122">
        <f>10*10/162</f>
        <v>0.61728395061728392</v>
      </c>
      <c r="H25" s="121">
        <f>D25*E25*G25</f>
        <v>55.55555555555555</v>
      </c>
      <c r="I25" s="47"/>
      <c r="J25" s="124"/>
      <c r="K25" s="124"/>
      <c r="L25" s="49"/>
    </row>
    <row r="26" spans="2:12">
      <c r="B26" s="152"/>
      <c r="C26" s="27" t="s">
        <v>96</v>
      </c>
      <c r="D26" s="47"/>
      <c r="E26" s="121"/>
      <c r="F26" s="121"/>
      <c r="G26" s="122"/>
      <c r="H26" s="121">
        <f>SUM(H24:H25)</f>
        <v>111.1111111111111</v>
      </c>
      <c r="I26" s="47" t="s">
        <v>19</v>
      </c>
      <c r="J26" s="124">
        <f>'[1]Table of Content 2'!$H$77/1000</f>
        <v>130.21</v>
      </c>
      <c r="K26" s="124">
        <f>H26*J26</f>
        <v>14467.777777777777</v>
      </c>
      <c r="L26" s="49"/>
    </row>
    <row r="27" spans="2:12">
      <c r="B27" s="152"/>
      <c r="C27" s="27"/>
      <c r="D27" s="47"/>
      <c r="E27" s="121"/>
      <c r="F27" s="121"/>
      <c r="G27" s="122"/>
      <c r="H27" s="121"/>
      <c r="I27" s="47"/>
      <c r="J27" s="124"/>
      <c r="K27" s="124">
        <f>0.13*K26</f>
        <v>1880.8111111111111</v>
      </c>
      <c r="L27" s="49"/>
    </row>
    <row r="28" spans="2:12" ht="35.1" customHeight="1">
      <c r="B28" s="152">
        <v>5</v>
      </c>
      <c r="C28" s="130" t="s">
        <v>91</v>
      </c>
      <c r="D28" s="47">
        <v>1</v>
      </c>
      <c r="E28" s="121">
        <f>E16</f>
        <v>4.5</v>
      </c>
      <c r="F28" s="121">
        <f>E17</f>
        <v>3</v>
      </c>
      <c r="G28" s="121">
        <v>7.4999999999999997E-2</v>
      </c>
      <c r="H28" s="121">
        <f>D28*E28*F28*G28</f>
        <v>1.0125</v>
      </c>
      <c r="I28" s="47"/>
      <c r="J28" s="124"/>
      <c r="K28" s="121"/>
      <c r="L28" s="49"/>
    </row>
    <row r="29" spans="2:12">
      <c r="B29" s="152"/>
      <c r="C29" s="26"/>
      <c r="D29" s="47">
        <v>2</v>
      </c>
      <c r="E29" s="121">
        <f>E16</f>
        <v>4.5</v>
      </c>
      <c r="F29" s="121">
        <v>0.15</v>
      </c>
      <c r="G29" s="121">
        <f>G16</f>
        <v>0.9</v>
      </c>
      <c r="H29" s="121">
        <f>D29*E29*F29*G29</f>
        <v>1.2149999999999999</v>
      </c>
      <c r="I29" s="47"/>
      <c r="J29" s="124"/>
      <c r="K29" s="121"/>
      <c r="L29" s="49"/>
    </row>
    <row r="30" spans="2:12">
      <c r="B30" s="152"/>
      <c r="C30" s="26"/>
      <c r="D30" s="47">
        <v>2</v>
      </c>
      <c r="E30" s="121">
        <f>E17</f>
        <v>3</v>
      </c>
      <c r="F30" s="121">
        <v>0.15</v>
      </c>
      <c r="G30" s="121">
        <f>G17</f>
        <v>0.9</v>
      </c>
      <c r="H30" s="121">
        <f>D30*E30*F30*G30</f>
        <v>0.80999999999999994</v>
      </c>
      <c r="I30" s="47"/>
      <c r="J30" s="124"/>
      <c r="K30" s="121"/>
      <c r="L30" s="49"/>
    </row>
    <row r="31" spans="2:12">
      <c r="B31" s="152"/>
      <c r="C31" s="26"/>
      <c r="D31" s="47"/>
      <c r="E31" s="121"/>
      <c r="F31" s="121" t="s">
        <v>34</v>
      </c>
      <c r="G31" s="121"/>
      <c r="H31" s="121">
        <f>SUM(H28:H30)</f>
        <v>3.0375000000000001</v>
      </c>
      <c r="I31" s="47" t="s">
        <v>25</v>
      </c>
      <c r="J31" s="124">
        <f>'[1]Table of Content 2'!$H$67</f>
        <v>17107.900000000001</v>
      </c>
      <c r="K31" s="124">
        <f>H31*J31</f>
        <v>51965.246250000004</v>
      </c>
      <c r="L31" s="49"/>
    </row>
    <row r="32" spans="2:12">
      <c r="B32" s="152"/>
      <c r="C32" s="27" t="s">
        <v>31</v>
      </c>
      <c r="D32" s="47"/>
      <c r="E32" s="121"/>
      <c r="F32" s="121"/>
      <c r="G32" s="121"/>
      <c r="H32" s="121"/>
      <c r="I32" s="47"/>
      <c r="J32" s="124"/>
      <c r="K32" s="124">
        <f>'[1]Update Descrip'!$G$676*H31*0.13</f>
        <v>2279.3764500000002</v>
      </c>
      <c r="L32" s="49"/>
    </row>
    <row r="33" spans="2:12">
      <c r="B33" s="152"/>
      <c r="C33" s="27" t="s">
        <v>32</v>
      </c>
      <c r="D33" s="47"/>
      <c r="E33" s="121"/>
      <c r="F33" s="121"/>
      <c r="G33" s="121"/>
      <c r="H33" s="121"/>
      <c r="I33" s="47"/>
      <c r="J33" s="124"/>
      <c r="K33" s="124">
        <f>'[1]Update Descrip'!$G$679*H31*0.13</f>
        <v>420.72746625000002</v>
      </c>
      <c r="L33" s="49"/>
    </row>
    <row r="34" spans="2:12">
      <c r="B34" s="152"/>
      <c r="C34" s="27" t="s">
        <v>33</v>
      </c>
      <c r="D34" s="47"/>
      <c r="E34" s="121"/>
      <c r="F34" s="121"/>
      <c r="G34" s="121"/>
      <c r="H34" s="121"/>
      <c r="I34" s="47"/>
      <c r="J34" s="124"/>
      <c r="K34" s="124">
        <f>('[1]Update Descrip'!$G$677+'[1]Update Descrip'!$G$678)*H31*0.13</f>
        <v>1166.4725962500002</v>
      </c>
      <c r="L34" s="49"/>
    </row>
    <row r="35" spans="2:12">
      <c r="B35" s="152"/>
      <c r="C35" s="29"/>
      <c r="D35" s="47"/>
      <c r="E35" s="121"/>
      <c r="F35" s="121"/>
      <c r="G35" s="122"/>
      <c r="H35" s="121"/>
      <c r="I35" s="47"/>
      <c r="J35" s="124"/>
      <c r="K35" s="124"/>
      <c r="L35" s="49"/>
    </row>
    <row r="36" spans="2:12" ht="35.1" customHeight="1">
      <c r="B36" s="153">
        <v>6</v>
      </c>
      <c r="C36" s="130" t="s">
        <v>92</v>
      </c>
      <c r="D36" s="47">
        <v>1</v>
      </c>
      <c r="E36" s="47">
        <f>E28</f>
        <v>4.5</v>
      </c>
      <c r="F36" s="47">
        <f>F28</f>
        <v>3</v>
      </c>
      <c r="G36" s="121"/>
      <c r="H36" s="123">
        <f>F36*E36*D36</f>
        <v>13.5</v>
      </c>
      <c r="I36" s="125" t="s">
        <v>24</v>
      </c>
      <c r="J36" s="124">
        <f>'[1]Table of Content 2'!$H$155</f>
        <v>692.38</v>
      </c>
      <c r="K36" s="123">
        <f>H36*J36</f>
        <v>9347.1299999999992</v>
      </c>
      <c r="L36" s="49"/>
    </row>
    <row r="37" spans="2:12">
      <c r="B37" s="153"/>
      <c r="C37" s="27" t="s">
        <v>31</v>
      </c>
      <c r="D37" s="47"/>
      <c r="E37" s="47"/>
      <c r="F37" s="47"/>
      <c r="G37" s="122"/>
      <c r="H37" s="47"/>
      <c r="I37" s="125"/>
      <c r="J37" s="124"/>
      <c r="K37" s="120">
        <f>'[1]Update Descrip'!$G$1804/10*H36*0.13</f>
        <v>329.24326500000001</v>
      </c>
      <c r="L37" s="49"/>
    </row>
    <row r="38" spans="2:12">
      <c r="B38" s="153"/>
      <c r="C38" s="27" t="s">
        <v>32</v>
      </c>
      <c r="D38" s="47"/>
      <c r="E38" s="47"/>
      <c r="F38" s="47"/>
      <c r="G38" s="122"/>
      <c r="H38" s="47"/>
      <c r="I38" s="125"/>
      <c r="J38" s="124"/>
      <c r="K38" s="120">
        <f>'[1]Update Descrip'!$G$1805/10*H36*0.13</f>
        <v>79.196130000000011</v>
      </c>
      <c r="L38" s="49"/>
    </row>
    <row r="39" spans="2:12">
      <c r="B39" s="153"/>
      <c r="C39" s="27" t="s">
        <v>33</v>
      </c>
      <c r="D39" s="47"/>
      <c r="E39" s="47"/>
      <c r="F39" s="47"/>
      <c r="G39" s="122"/>
      <c r="H39" s="47"/>
      <c r="I39" s="125"/>
      <c r="J39" s="124"/>
      <c r="K39" s="120">
        <f>'[1]Update Descrip'!$G$1806/10*H36*0.13</f>
        <v>227.54978999999997</v>
      </c>
      <c r="L39" s="49"/>
    </row>
    <row r="40" spans="2:12" ht="18" customHeight="1">
      <c r="B40" s="152"/>
      <c r="C40" s="27"/>
      <c r="D40" s="47"/>
      <c r="E40" s="121"/>
      <c r="F40" s="121"/>
      <c r="G40" s="122"/>
      <c r="H40" s="121"/>
      <c r="I40" s="47"/>
      <c r="J40" s="124"/>
      <c r="K40" s="124"/>
      <c r="L40" s="49"/>
    </row>
    <row r="41" spans="2:12" ht="35.1" customHeight="1">
      <c r="B41" s="152">
        <v>7</v>
      </c>
      <c r="C41" s="130" t="s">
        <v>93</v>
      </c>
      <c r="D41" s="47">
        <f>D16</f>
        <v>2</v>
      </c>
      <c r="E41" s="47">
        <f>E16</f>
        <v>4.5</v>
      </c>
      <c r="F41" s="47"/>
      <c r="G41" s="47">
        <f>G48</f>
        <v>1.5</v>
      </c>
      <c r="H41" s="121">
        <f>D41*E41*G41</f>
        <v>13.5</v>
      </c>
      <c r="I41" s="47"/>
      <c r="J41" s="124"/>
      <c r="K41" s="124"/>
      <c r="L41" s="49"/>
    </row>
    <row r="42" spans="2:12">
      <c r="B42" s="152"/>
      <c r="C42" s="35"/>
      <c r="D42" s="47">
        <f>D17</f>
        <v>2</v>
      </c>
      <c r="E42" s="47">
        <f>E17</f>
        <v>3</v>
      </c>
      <c r="F42" s="47"/>
      <c r="G42" s="47">
        <f>G49</f>
        <v>1.5</v>
      </c>
      <c r="H42" s="121">
        <f>D42*E42*G42</f>
        <v>9</v>
      </c>
      <c r="I42" s="47"/>
      <c r="J42" s="126"/>
      <c r="K42" s="124"/>
      <c r="L42" s="49"/>
    </row>
    <row r="43" spans="2:12">
      <c r="B43" s="152"/>
      <c r="C43" s="35"/>
      <c r="D43" s="47"/>
      <c r="E43" s="121"/>
      <c r="F43" s="121"/>
      <c r="G43" s="122"/>
      <c r="H43" s="121">
        <f>SUM(H41:H42)</f>
        <v>22.5</v>
      </c>
      <c r="I43" s="47" t="s">
        <v>48</v>
      </c>
      <c r="J43" s="124">
        <f>'[1]Table of Content 2'!$H$215</f>
        <v>402.23</v>
      </c>
      <c r="K43" s="124">
        <f>H43*J43</f>
        <v>9050.1750000000011</v>
      </c>
      <c r="L43" s="49"/>
    </row>
    <row r="44" spans="2:12">
      <c r="B44" s="152"/>
      <c r="C44" s="27" t="s">
        <v>31</v>
      </c>
      <c r="D44" s="47"/>
      <c r="E44" s="121"/>
      <c r="F44" s="121"/>
      <c r="G44" s="122"/>
      <c r="H44" s="121"/>
      <c r="I44" s="47"/>
      <c r="J44" s="126"/>
      <c r="K44" s="124">
        <f>'[1]Update Descrip'!$G$2611/100*H43*0.13</f>
        <v>227.0931975</v>
      </c>
      <c r="L44" s="49"/>
    </row>
    <row r="45" spans="2:12">
      <c r="B45" s="152"/>
      <c r="C45" s="27" t="s">
        <v>32</v>
      </c>
      <c r="D45" s="47"/>
      <c r="E45" s="121"/>
      <c r="F45" s="121"/>
      <c r="G45" s="122"/>
      <c r="H45" s="121"/>
      <c r="I45" s="47"/>
      <c r="J45" s="126"/>
      <c r="K45" s="124">
        <f>'[1]Update Descrip'!$G$2612/100*H43*0.13</f>
        <v>107.0617275</v>
      </c>
      <c r="L45" s="49"/>
    </row>
    <row r="46" spans="2:12">
      <c r="B46" s="153"/>
      <c r="C46" s="27"/>
      <c r="D46" s="123"/>
      <c r="E46" s="121"/>
      <c r="F46" s="121"/>
      <c r="G46" s="122"/>
      <c r="H46" s="123"/>
      <c r="I46" s="123"/>
      <c r="J46" s="123"/>
      <c r="K46" s="123"/>
      <c r="L46" s="49"/>
    </row>
    <row r="47" spans="2:12" ht="35.1" customHeight="1">
      <c r="B47" s="153">
        <v>8</v>
      </c>
      <c r="C47" s="130" t="s">
        <v>94</v>
      </c>
      <c r="D47" s="123">
        <f t="shared" ref="D47:E49" si="0">D28</f>
        <v>1</v>
      </c>
      <c r="E47" s="123">
        <f t="shared" si="0"/>
        <v>4.5</v>
      </c>
      <c r="F47" s="123"/>
      <c r="G47" s="123">
        <f>F28</f>
        <v>3</v>
      </c>
      <c r="H47" s="123">
        <f>D47*E47*G47</f>
        <v>13.5</v>
      </c>
      <c r="I47" s="123"/>
      <c r="J47" s="123"/>
      <c r="K47" s="123"/>
      <c r="L47" s="49"/>
    </row>
    <row r="48" spans="2:12">
      <c r="B48" s="153"/>
      <c r="C48" s="27"/>
      <c r="D48" s="123">
        <f t="shared" si="0"/>
        <v>2</v>
      </c>
      <c r="E48" s="123">
        <f t="shared" si="0"/>
        <v>4.5</v>
      </c>
      <c r="F48" s="123"/>
      <c r="G48" s="123">
        <f>G29+0.3+0.3</f>
        <v>1.5</v>
      </c>
      <c r="H48" s="123">
        <f t="shared" ref="H48:H49" si="1">D48*E48*G48</f>
        <v>13.5</v>
      </c>
      <c r="I48" s="123"/>
      <c r="J48" s="123"/>
      <c r="K48" s="123"/>
      <c r="L48" s="49"/>
    </row>
    <row r="49" spans="2:14">
      <c r="B49" s="153"/>
      <c r="C49" s="27"/>
      <c r="D49" s="123">
        <f t="shared" si="0"/>
        <v>2</v>
      </c>
      <c r="E49" s="123">
        <f t="shared" si="0"/>
        <v>3</v>
      </c>
      <c r="F49" s="123"/>
      <c r="G49" s="123">
        <f>G30+0.3+0.3</f>
        <v>1.5</v>
      </c>
      <c r="H49" s="123">
        <f t="shared" si="1"/>
        <v>9</v>
      </c>
      <c r="I49" s="123"/>
      <c r="J49" s="123"/>
      <c r="K49" s="123"/>
      <c r="L49" s="49"/>
    </row>
    <row r="50" spans="2:14">
      <c r="B50" s="153"/>
      <c r="C50" s="27"/>
      <c r="D50" s="123"/>
      <c r="E50" s="123"/>
      <c r="F50" s="123"/>
      <c r="G50" s="123"/>
      <c r="H50" s="123">
        <f>SUM(H47:H49)</f>
        <v>36</v>
      </c>
      <c r="I50" s="47" t="s">
        <v>48</v>
      </c>
      <c r="J50" s="123">
        <f>'[1]Table of Content 2'!$H$187</f>
        <v>286.77</v>
      </c>
      <c r="K50" s="123">
        <f>H50*J50</f>
        <v>10323.719999999999</v>
      </c>
      <c r="L50" s="49"/>
    </row>
    <row r="51" spans="2:14">
      <c r="B51" s="153"/>
      <c r="C51" s="27" t="s">
        <v>31</v>
      </c>
      <c r="D51" s="123"/>
      <c r="E51" s="123"/>
      <c r="F51" s="123"/>
      <c r="G51" s="123"/>
      <c r="H51" s="123"/>
      <c r="I51" s="123"/>
      <c r="J51" s="123"/>
      <c r="K51" s="123">
        <f>'[1]Update Descrip'!$H$2269/10*H50*0.13</f>
        <v>359.29296000000005</v>
      </c>
      <c r="L51" s="49"/>
    </row>
    <row r="52" spans="2:14">
      <c r="B52" s="153"/>
      <c r="C52" s="27"/>
      <c r="D52" s="123"/>
      <c r="E52" s="123"/>
      <c r="F52" s="123"/>
      <c r="G52" s="123"/>
      <c r="H52" s="123"/>
      <c r="I52" s="123"/>
      <c r="J52" s="123"/>
      <c r="K52" s="123"/>
      <c r="L52" s="49"/>
    </row>
    <row r="53" spans="2:14">
      <c r="B53" s="153"/>
      <c r="C53" s="27"/>
      <c r="D53" s="123"/>
      <c r="E53" s="123"/>
      <c r="F53" s="123"/>
      <c r="G53" s="123"/>
      <c r="H53" s="123"/>
      <c r="I53" s="123"/>
      <c r="J53" s="123"/>
      <c r="K53" s="123"/>
      <c r="L53" s="49"/>
    </row>
    <row r="54" spans="2:14" ht="33" customHeight="1">
      <c r="B54" s="152">
        <v>9</v>
      </c>
      <c r="C54" s="35" t="s">
        <v>102</v>
      </c>
      <c r="D54" s="47">
        <v>1</v>
      </c>
      <c r="E54" s="121"/>
      <c r="F54" s="121"/>
      <c r="G54" s="122"/>
      <c r="H54" s="121">
        <f>+D54</f>
        <v>1</v>
      </c>
      <c r="I54" s="47" t="s">
        <v>41</v>
      </c>
      <c r="J54" s="124">
        <v>4659</v>
      </c>
      <c r="K54" s="124">
        <f>H54*J54</f>
        <v>4659</v>
      </c>
      <c r="L54" s="49"/>
      <c r="N54" s="1" t="s">
        <v>101</v>
      </c>
    </row>
    <row r="55" spans="2:14">
      <c r="B55" s="152"/>
      <c r="C55" s="66" t="s">
        <v>103</v>
      </c>
      <c r="D55" s="47"/>
      <c r="E55" s="121"/>
      <c r="F55" s="121"/>
      <c r="G55" s="122"/>
      <c r="H55" s="121"/>
      <c r="I55" s="47"/>
      <c r="J55" s="124"/>
      <c r="K55" s="124">
        <f>0.13*K54</f>
        <v>605.67000000000007</v>
      </c>
      <c r="L55" s="49"/>
    </row>
    <row r="56" spans="2:14">
      <c r="B56" s="152"/>
      <c r="C56" s="35"/>
      <c r="D56" s="47"/>
      <c r="E56" s="121"/>
      <c r="F56" s="121"/>
      <c r="G56" s="122"/>
      <c r="H56" s="121"/>
      <c r="I56" s="47"/>
      <c r="J56" s="124"/>
      <c r="K56" s="124"/>
      <c r="L56" s="49"/>
    </row>
    <row r="57" spans="2:14" ht="33" customHeight="1">
      <c r="B57" s="152">
        <v>10</v>
      </c>
      <c r="C57" s="35" t="s">
        <v>99</v>
      </c>
      <c r="D57" s="47"/>
      <c r="E57" s="121"/>
      <c r="F57" s="121"/>
      <c r="G57" s="122"/>
      <c r="H57" s="121">
        <v>1</v>
      </c>
      <c r="I57" s="47" t="s">
        <v>41</v>
      </c>
      <c r="J57" s="124">
        <v>9938</v>
      </c>
      <c r="K57" s="124">
        <f>H57*J57</f>
        <v>9938</v>
      </c>
      <c r="L57" s="49"/>
      <c r="N57" s="1" t="s">
        <v>98</v>
      </c>
    </row>
    <row r="58" spans="2:14">
      <c r="B58" s="153"/>
      <c r="C58" s="65" t="s">
        <v>97</v>
      </c>
      <c r="D58" s="47"/>
      <c r="E58" s="47"/>
      <c r="F58" s="47"/>
      <c r="G58" s="121"/>
      <c r="H58" s="47"/>
      <c r="I58" s="47"/>
      <c r="J58" s="124" t="s">
        <v>100</v>
      </c>
      <c r="K58" s="124">
        <f>0.13*K57</f>
        <v>1291.94</v>
      </c>
      <c r="L58" s="49"/>
    </row>
    <row r="59" spans="2:14">
      <c r="B59" s="153"/>
      <c r="C59" s="65"/>
      <c r="D59" s="47"/>
      <c r="E59" s="47"/>
      <c r="F59" s="47"/>
      <c r="G59" s="121"/>
      <c r="H59" s="47"/>
      <c r="I59" s="47"/>
      <c r="J59" s="124"/>
      <c r="K59" s="124"/>
      <c r="L59" s="49"/>
    </row>
    <row r="60" spans="2:14">
      <c r="B60" s="153"/>
      <c r="C60" s="29"/>
      <c r="D60" s="29"/>
      <c r="E60" s="29"/>
      <c r="F60" s="29"/>
      <c r="G60" s="29"/>
      <c r="H60" s="29"/>
      <c r="I60" s="29"/>
      <c r="J60" s="29"/>
      <c r="K60" s="29"/>
      <c r="L60" s="49"/>
    </row>
    <row r="61" spans="2:14" s="131" customFormat="1" ht="18">
      <c r="B61" s="153" t="s">
        <v>112</v>
      </c>
      <c r="C61" s="154" t="s">
        <v>111</v>
      </c>
      <c r="D61" s="47"/>
      <c r="E61" s="47"/>
      <c r="F61" s="47"/>
      <c r="G61" s="121"/>
      <c r="H61" s="47"/>
      <c r="I61" s="47"/>
      <c r="J61" s="124"/>
      <c r="K61" s="124"/>
      <c r="L61" s="49"/>
    </row>
    <row r="62" spans="2:14" s="131" customFormat="1">
      <c r="B62" s="153"/>
      <c r="C62" s="65"/>
      <c r="D62" s="47"/>
      <c r="E62" s="47"/>
      <c r="F62" s="47"/>
      <c r="G62" s="121"/>
      <c r="H62" s="47"/>
      <c r="I62" s="47"/>
      <c r="J62" s="124"/>
      <c r="K62" s="124"/>
      <c r="L62" s="49"/>
    </row>
    <row r="63" spans="2:14" s="131" customFormat="1" ht="36">
      <c r="B63" s="152">
        <v>11</v>
      </c>
      <c r="C63" s="161" t="s">
        <v>113</v>
      </c>
      <c r="D63" s="121">
        <v>2</v>
      </c>
      <c r="E63" s="121">
        <f>25/3.28</f>
        <v>7.6219512195121952</v>
      </c>
      <c r="F63" s="121">
        <f>17/3.28</f>
        <v>5.1829268292682933</v>
      </c>
      <c r="G63" s="121"/>
      <c r="H63" s="121">
        <f>F63*E63*D63</f>
        <v>79.008030933967888</v>
      </c>
      <c r="I63" s="121" t="s">
        <v>105</v>
      </c>
      <c r="J63" s="121">
        <f>'[2]Table of Content 2'!$H$329</f>
        <v>68.400000000000006</v>
      </c>
      <c r="K63" s="121">
        <f>H63*J63</f>
        <v>5404.1493158834037</v>
      </c>
      <c r="L63" s="49"/>
    </row>
    <row r="64" spans="2:14" s="131" customFormat="1">
      <c r="B64" s="153"/>
      <c r="C64" s="65"/>
      <c r="D64" s="47"/>
      <c r="E64" s="47"/>
      <c r="F64" s="47"/>
      <c r="G64" s="121"/>
      <c r="H64" s="47"/>
      <c r="I64" s="47"/>
      <c r="J64" s="124"/>
      <c r="K64" s="124"/>
      <c r="L64" s="49"/>
    </row>
    <row r="65" spans="2:14" s="131" customFormat="1" ht="36">
      <c r="B65" s="153">
        <v>12</v>
      </c>
      <c r="C65" s="161" t="s">
        <v>114</v>
      </c>
      <c r="D65" s="47">
        <v>2</v>
      </c>
      <c r="E65" s="47">
        <f>E63</f>
        <v>7.6219512195121952</v>
      </c>
      <c r="F65" s="47">
        <f>F63</f>
        <v>5.1829268292682933</v>
      </c>
      <c r="G65" s="121"/>
      <c r="H65" s="121">
        <f>F65*E65*D65</f>
        <v>79.008030933967888</v>
      </c>
      <c r="I65" s="121" t="s">
        <v>105</v>
      </c>
      <c r="J65" s="124">
        <v>369.1</v>
      </c>
      <c r="K65" s="124">
        <f>H65*J65</f>
        <v>29161.864217727551</v>
      </c>
      <c r="L65" s="49"/>
    </row>
    <row r="66" spans="2:14" s="131" customFormat="1">
      <c r="B66" s="153"/>
      <c r="C66" s="65" t="s">
        <v>96</v>
      </c>
      <c r="D66" s="47"/>
      <c r="E66" s="47"/>
      <c r="F66" s="47"/>
      <c r="G66" s="121"/>
      <c r="H66" s="121"/>
      <c r="I66" s="121"/>
      <c r="J66" s="124"/>
      <c r="K66" s="124">
        <f>124.6*H65*0.13</f>
        <v>1279.772085068412</v>
      </c>
      <c r="L66" s="49"/>
    </row>
    <row r="67" spans="2:14" s="131" customFormat="1" ht="72">
      <c r="B67" s="153">
        <v>13</v>
      </c>
      <c r="C67" s="161" t="s">
        <v>107</v>
      </c>
      <c r="D67" s="47">
        <v>1</v>
      </c>
      <c r="E67" s="47">
        <f>E65</f>
        <v>7.6219512195121952</v>
      </c>
      <c r="F67" s="47"/>
      <c r="G67" s="121"/>
      <c r="H67" s="47">
        <f>E67</f>
        <v>7.6219512195121952</v>
      </c>
      <c r="I67" s="47" t="s">
        <v>106</v>
      </c>
      <c r="J67" s="124">
        <f>'[1]Table of Content 2'!$H$412</f>
        <v>2761</v>
      </c>
      <c r="K67" s="124">
        <f>H67*J67</f>
        <v>21044.207317073171</v>
      </c>
      <c r="L67" s="49"/>
    </row>
    <row r="68" spans="2:14" s="131" customFormat="1">
      <c r="B68" s="153"/>
      <c r="C68" s="65" t="s">
        <v>96</v>
      </c>
      <c r="D68" s="47"/>
      <c r="E68" s="47"/>
      <c r="F68" s="47"/>
      <c r="G68" s="121"/>
      <c r="H68" s="47"/>
      <c r="I68" s="47"/>
      <c r="J68" s="124"/>
      <c r="K68" s="124">
        <f>2491*H67*0.13</f>
        <v>2468.2164634146343</v>
      </c>
      <c r="L68" s="49"/>
      <c r="N68" s="131">
        <f>17/3.28</f>
        <v>5.1829268292682933</v>
      </c>
    </row>
    <row r="69" spans="2:14" s="131" customFormat="1">
      <c r="B69" s="153"/>
      <c r="C69" s="65"/>
      <c r="D69" s="47"/>
      <c r="E69" s="47"/>
      <c r="F69" s="47"/>
      <c r="G69" s="121"/>
      <c r="H69" s="47"/>
      <c r="I69" s="47"/>
      <c r="J69" s="124"/>
      <c r="K69" s="124"/>
      <c r="L69" s="49"/>
      <c r="N69" s="131" t="e">
        <f>#REF!*N68*2*68.4</f>
        <v>#REF!</v>
      </c>
    </row>
    <row r="70" spans="2:14" ht="33" customHeight="1">
      <c r="B70" s="153">
        <v>14</v>
      </c>
      <c r="C70" s="26" t="s">
        <v>104</v>
      </c>
      <c r="D70" s="47">
        <v>1</v>
      </c>
      <c r="E70" s="47"/>
      <c r="F70" s="47"/>
      <c r="G70" s="47"/>
      <c r="H70" s="47">
        <v>1</v>
      </c>
      <c r="I70" s="47" t="s">
        <v>41</v>
      </c>
      <c r="J70" s="124">
        <v>1000</v>
      </c>
      <c r="K70" s="124">
        <f>H70*J70</f>
        <v>1000</v>
      </c>
      <c r="L70" s="49"/>
    </row>
    <row r="71" spans="2:14" ht="17.25" thickBot="1">
      <c r="B71" s="37"/>
      <c r="C71" s="51"/>
      <c r="D71" s="127"/>
      <c r="E71" s="128"/>
      <c r="F71" s="128"/>
      <c r="G71" s="128"/>
      <c r="H71" s="128"/>
      <c r="I71" s="127"/>
      <c r="J71" s="128"/>
      <c r="K71" s="129">
        <f>SUM(K8:K70)</f>
        <v>225811.19671183656</v>
      </c>
      <c r="L71" s="42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116" t="s">
        <v>12</v>
      </c>
      <c r="J73" s="116"/>
      <c r="K73" s="116" t="s">
        <v>86</v>
      </c>
      <c r="L73" s="116" t="s">
        <v>87</v>
      </c>
    </row>
    <row r="74" spans="2:14">
      <c r="C74" s="5"/>
      <c r="H74" s="115"/>
      <c r="I74" s="117" t="s">
        <v>14</v>
      </c>
      <c r="J74" s="118"/>
      <c r="K74" s="118">
        <f>+K71</f>
        <v>225811.19671183656</v>
      </c>
      <c r="L74" s="118"/>
    </row>
    <row r="75" spans="2:14">
      <c r="C75" s="5"/>
      <c r="H75" s="115"/>
      <c r="I75" s="117" t="s">
        <v>15</v>
      </c>
      <c r="J75" s="119"/>
      <c r="K75" s="118">
        <v>200000</v>
      </c>
      <c r="L75" s="119">
        <v>100</v>
      </c>
    </row>
    <row r="76" spans="2:14">
      <c r="C76" s="5"/>
      <c r="H76" s="115"/>
      <c r="I76" s="117" t="s">
        <v>20</v>
      </c>
      <c r="J76" s="119"/>
      <c r="K76" s="118">
        <f>0.95*K75</f>
        <v>190000</v>
      </c>
      <c r="L76" s="119">
        <f>K76/K74*100</f>
        <v>84.141089001208329</v>
      </c>
    </row>
    <row r="77" spans="2:14">
      <c r="C77" s="5"/>
      <c r="H77" s="115"/>
      <c r="I77" s="117" t="s">
        <v>16</v>
      </c>
      <c r="J77" s="119"/>
      <c r="K77" s="118">
        <f>K74-K76</f>
        <v>35811.196711836557</v>
      </c>
      <c r="L77" s="119">
        <f>K77/K75*100</f>
        <v>17.905598355918279</v>
      </c>
    </row>
    <row r="78" spans="2:14">
      <c r="C78" s="5"/>
      <c r="H78" s="115"/>
      <c r="I78" s="117" t="s">
        <v>21</v>
      </c>
      <c r="J78" s="119"/>
      <c r="K78" s="118">
        <f>L78*K75/100</f>
        <v>4000</v>
      </c>
      <c r="L78" s="119">
        <v>2</v>
      </c>
    </row>
    <row r="79" spans="2:14">
      <c r="C79" s="5"/>
      <c r="H79" s="114"/>
      <c r="I79" s="117" t="s">
        <v>22</v>
      </c>
      <c r="J79" s="119"/>
      <c r="K79" s="119">
        <f>L79*K75/100</f>
        <v>6000</v>
      </c>
      <c r="L79" s="119">
        <v>3</v>
      </c>
    </row>
    <row r="80" spans="2:14">
      <c r="G80" s="10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view="pageBreakPreview" zoomScaleNormal="100" zoomScaleSheetLayoutView="100" workbookViewId="0">
      <selection activeCell="I10" sqref="I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29.7109375" style="8" customWidth="1"/>
    <col min="4" max="4" width="10" style="1" customWidth="1"/>
    <col min="5" max="5" width="11.85546875" style="1" bestFit="1" customWidth="1"/>
    <col min="6" max="6" width="10.140625" style="1" customWidth="1"/>
    <col min="7" max="7" width="13.7109375" style="1" customWidth="1"/>
    <col min="8" max="8" width="13.140625" style="1" customWidth="1"/>
    <col min="9" max="9" width="7.5703125" style="1" customWidth="1"/>
    <col min="10" max="10" width="14.5703125" style="1" bestFit="1" customWidth="1"/>
    <col min="11" max="11" width="9.140625" style="1"/>
    <col min="12" max="12" width="13.28515625" style="1" bestFit="1" customWidth="1"/>
    <col min="13" max="13" width="9.140625" style="1"/>
    <col min="14" max="14" width="14" style="1" bestFit="1" customWidth="1"/>
    <col min="15" max="15" width="11.7109375" style="1" bestFit="1" customWidth="1"/>
    <col min="16" max="16384" width="9.140625" style="1"/>
  </cols>
  <sheetData>
    <row r="1" spans="1:10">
      <c r="C1" s="52" t="s">
        <v>12</v>
      </c>
      <c r="D1" s="52" t="s">
        <v>36</v>
      </c>
      <c r="E1" s="52" t="s">
        <v>37</v>
      </c>
      <c r="F1" s="52" t="s">
        <v>38</v>
      </c>
      <c r="G1" s="52" t="s">
        <v>6</v>
      </c>
      <c r="H1" s="52" t="s">
        <v>39</v>
      </c>
      <c r="I1" s="52"/>
    </row>
    <row r="2" spans="1:10">
      <c r="C2" s="53" t="s">
        <v>35</v>
      </c>
      <c r="D2" s="54">
        <v>2.25</v>
      </c>
      <c r="E2" s="54">
        <v>2.25</v>
      </c>
      <c r="F2" s="54">
        <v>1.5</v>
      </c>
      <c r="G2" s="52">
        <f>(D2*E2*(F2-0.3))</f>
        <v>6.0750000000000002</v>
      </c>
      <c r="H2" s="52" t="str">
        <f>G2*1000&amp;"litres"</f>
        <v>6075litres</v>
      </c>
      <c r="I2" s="52"/>
    </row>
    <row r="4" spans="1:10">
      <c r="A4" s="134" t="s">
        <v>11</v>
      </c>
      <c r="B4" s="134"/>
      <c r="C4" s="134"/>
      <c r="D4" s="134"/>
      <c r="E4" s="134"/>
      <c r="F4" s="134"/>
      <c r="G4" s="134"/>
      <c r="H4" s="134"/>
      <c r="I4" s="134"/>
      <c r="J4" s="134"/>
    </row>
    <row r="5" spans="1:10" ht="20.25">
      <c r="A5" s="135" t="s">
        <v>17</v>
      </c>
      <c r="B5" s="135"/>
      <c r="C5" s="135"/>
      <c r="D5" s="135"/>
      <c r="E5" s="135"/>
      <c r="F5" s="135"/>
      <c r="G5" s="135"/>
      <c r="H5" s="135"/>
      <c r="I5" s="135"/>
      <c r="J5" s="135"/>
    </row>
    <row r="6" spans="1:10">
      <c r="A6" s="134" t="s">
        <v>18</v>
      </c>
      <c r="B6" s="134"/>
      <c r="C6" s="134"/>
      <c r="D6" s="134"/>
      <c r="E6" s="134"/>
      <c r="F6" s="134"/>
      <c r="G6" s="134"/>
      <c r="H6" s="134"/>
      <c r="I6" s="134"/>
      <c r="J6" s="134"/>
    </row>
    <row r="7" spans="1:10">
      <c r="A7" s="136" t="s">
        <v>80</v>
      </c>
      <c r="B7" s="136"/>
      <c r="C7" s="136"/>
      <c r="D7" s="136"/>
      <c r="E7" s="136"/>
      <c r="F7" s="136"/>
      <c r="G7" s="136"/>
      <c r="H7" s="136"/>
      <c r="I7" s="136"/>
      <c r="J7" s="136"/>
    </row>
    <row r="8" spans="1:10" ht="19.5">
      <c r="A8" s="6"/>
      <c r="B8" s="4" t="s">
        <v>28</v>
      </c>
      <c r="C8" s="57" t="s">
        <v>53</v>
      </c>
      <c r="H8" s="6"/>
      <c r="I8" s="98" t="s">
        <v>30</v>
      </c>
      <c r="J8" s="98"/>
    </row>
    <row r="9" spans="1:10">
      <c r="B9" s="132" t="s">
        <v>29</v>
      </c>
      <c r="C9" s="132"/>
      <c r="D9" s="132"/>
      <c r="E9" s="132"/>
      <c r="F9" s="132"/>
      <c r="G9" s="132"/>
      <c r="H9" s="3"/>
      <c r="I9" s="1" t="s">
        <v>82</v>
      </c>
    </row>
    <row r="10" spans="1:10" ht="17.25" thickBot="1">
      <c r="C10" s="5"/>
      <c r="D10" s="6"/>
      <c r="E10" s="3"/>
      <c r="F10" s="3"/>
      <c r="G10" s="3"/>
      <c r="H10" s="3"/>
      <c r="J10" s="8"/>
    </row>
    <row r="11" spans="1:10" ht="17.25" thickBot="1">
      <c r="A11" s="2"/>
      <c r="B11" s="13" t="s">
        <v>0</v>
      </c>
      <c r="C11" s="14" t="s">
        <v>1</v>
      </c>
      <c r="D11" s="18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6" t="s">
        <v>7</v>
      </c>
      <c r="J11" s="17" t="s">
        <v>10</v>
      </c>
    </row>
    <row r="12" spans="1:10" customFormat="1">
      <c r="B12" s="61">
        <v>1</v>
      </c>
      <c r="C12" s="62" t="s">
        <v>52</v>
      </c>
      <c r="D12" s="21">
        <v>1</v>
      </c>
      <c r="E12" s="24">
        <f>+E16</f>
        <v>8.5</v>
      </c>
      <c r="F12" s="24">
        <v>0.5</v>
      </c>
      <c r="G12" s="24">
        <v>1</v>
      </c>
      <c r="H12" s="24">
        <f>D12*E12*F12*G12</f>
        <v>4.25</v>
      </c>
      <c r="I12" s="21" t="s">
        <v>42</v>
      </c>
      <c r="J12" s="19"/>
    </row>
    <row r="13" spans="1:10">
      <c r="B13" s="20"/>
      <c r="C13" s="35"/>
      <c r="D13" s="23"/>
      <c r="E13" s="22"/>
      <c r="F13" s="22"/>
      <c r="G13" s="33"/>
      <c r="H13" s="22"/>
      <c r="I13" s="23"/>
      <c r="J13" s="49"/>
    </row>
    <row r="14" spans="1:10" ht="33">
      <c r="B14" s="20">
        <v>2</v>
      </c>
      <c r="C14" s="35" t="s">
        <v>51</v>
      </c>
      <c r="D14" s="23">
        <v>1</v>
      </c>
      <c r="E14" s="22">
        <f>3-0.15*2</f>
        <v>2.7</v>
      </c>
      <c r="F14" s="22">
        <f>3-0.15*2</f>
        <v>2.7</v>
      </c>
      <c r="G14" s="22">
        <v>0.1</v>
      </c>
      <c r="H14" s="22">
        <f>D14*E14*F14*G14</f>
        <v>0.72900000000000009</v>
      </c>
      <c r="I14" s="23" t="s">
        <v>42</v>
      </c>
      <c r="J14" s="49"/>
    </row>
    <row r="15" spans="1:10">
      <c r="B15" s="20"/>
      <c r="C15" s="35"/>
      <c r="D15" s="23"/>
      <c r="E15" s="22"/>
      <c r="F15" s="22"/>
      <c r="G15" s="22"/>
      <c r="H15" s="22"/>
      <c r="I15" s="22"/>
      <c r="J15" s="49"/>
    </row>
    <row r="16" spans="1:10">
      <c r="B16" s="20">
        <v>3</v>
      </c>
      <c r="C16" s="29" t="s">
        <v>44</v>
      </c>
      <c r="D16" s="23">
        <v>2</v>
      </c>
      <c r="E16" s="22">
        <f>E18+E19</f>
        <v>8.5</v>
      </c>
      <c r="F16" s="22">
        <v>0.6</v>
      </c>
      <c r="G16" s="33">
        <v>0.15</v>
      </c>
      <c r="H16" s="22">
        <f>D16*E16*F16*G16</f>
        <v>1.5299999999999998</v>
      </c>
      <c r="I16" s="23" t="s">
        <v>42</v>
      </c>
      <c r="J16" s="49"/>
    </row>
    <row r="17" spans="2:10">
      <c r="B17" s="20"/>
      <c r="C17" s="55"/>
      <c r="D17" s="23"/>
      <c r="E17" s="22"/>
      <c r="F17" s="22"/>
      <c r="G17" s="33"/>
      <c r="H17" s="22"/>
      <c r="I17" s="23"/>
      <c r="J17" s="49"/>
    </row>
    <row r="18" spans="2:10">
      <c r="B18" s="20">
        <v>4</v>
      </c>
      <c r="C18" s="29" t="s">
        <v>50</v>
      </c>
      <c r="D18" s="23">
        <v>1</v>
      </c>
      <c r="E18" s="22">
        <v>5</v>
      </c>
      <c r="F18" s="22">
        <v>0.6</v>
      </c>
      <c r="G18" s="33">
        <v>1.5</v>
      </c>
      <c r="H18" s="22">
        <f>D18*E18*F18*G18</f>
        <v>4.5</v>
      </c>
      <c r="I18" s="29"/>
      <c r="J18" s="49"/>
    </row>
    <row r="19" spans="2:10">
      <c r="B19" s="20"/>
      <c r="C19" s="29"/>
      <c r="D19" s="23">
        <v>1</v>
      </c>
      <c r="E19" s="22">
        <v>3.5</v>
      </c>
      <c r="F19" s="22">
        <v>0.6</v>
      </c>
      <c r="G19" s="33">
        <v>0.6</v>
      </c>
      <c r="H19" s="22">
        <f t="shared" ref="H19" si="0">D19*E19*F19*G19</f>
        <v>1.26</v>
      </c>
      <c r="I19" s="23"/>
      <c r="J19" s="49"/>
    </row>
    <row r="20" spans="2:10">
      <c r="B20" s="20"/>
      <c r="C20" s="29"/>
      <c r="D20" s="23"/>
      <c r="E20" s="22"/>
      <c r="F20" s="22"/>
      <c r="G20" s="33"/>
      <c r="H20" s="22">
        <f>SUM(H18:H19)</f>
        <v>5.76</v>
      </c>
      <c r="I20" s="23" t="s">
        <v>42</v>
      </c>
      <c r="J20" s="49"/>
    </row>
    <row r="21" spans="2:10">
      <c r="B21" s="20"/>
      <c r="C21" s="55"/>
      <c r="D21" s="23"/>
      <c r="E21" s="22"/>
      <c r="F21" s="22"/>
      <c r="G21" s="33"/>
      <c r="H21" s="22"/>
      <c r="I21" s="23"/>
      <c r="J21" s="49"/>
    </row>
    <row r="22" spans="2:10">
      <c r="B22" s="20">
        <v>5</v>
      </c>
      <c r="C22" s="29" t="s">
        <v>60</v>
      </c>
      <c r="D22" s="23">
        <v>2</v>
      </c>
      <c r="E22" s="22">
        <f>3-0.15*2</f>
        <v>2.7</v>
      </c>
      <c r="F22" s="22">
        <v>0.23</v>
      </c>
      <c r="G22" s="33">
        <v>0.8</v>
      </c>
      <c r="H22" s="22">
        <f>D22*E22*F22*G22</f>
        <v>0.99360000000000026</v>
      </c>
      <c r="I22" s="29"/>
      <c r="J22" s="49"/>
    </row>
    <row r="23" spans="2:10">
      <c r="B23" s="20"/>
      <c r="C23" s="29"/>
      <c r="D23" s="23"/>
      <c r="E23" s="22"/>
      <c r="F23" s="22"/>
      <c r="G23" s="33"/>
      <c r="H23" s="22">
        <f>SUM(H22:H22)</f>
        <v>0.99360000000000026</v>
      </c>
      <c r="I23" s="23" t="s">
        <v>42</v>
      </c>
      <c r="J23" s="49"/>
    </row>
    <row r="24" spans="2:10">
      <c r="B24" s="20"/>
      <c r="C24" s="27"/>
      <c r="D24" s="23"/>
      <c r="E24" s="22"/>
      <c r="F24" s="22"/>
      <c r="G24" s="33"/>
      <c r="H24" s="22"/>
      <c r="I24" s="23"/>
      <c r="J24" s="49"/>
    </row>
    <row r="25" spans="2:10" ht="49.5">
      <c r="B25" s="20">
        <v>6</v>
      </c>
      <c r="C25" s="26" t="s">
        <v>26</v>
      </c>
      <c r="D25" s="23">
        <v>1</v>
      </c>
      <c r="E25" s="22">
        <f>2.7+0.9</f>
        <v>3.6</v>
      </c>
      <c r="F25" s="22">
        <v>0.15</v>
      </c>
      <c r="G25" s="22">
        <v>0.8</v>
      </c>
      <c r="H25" s="22">
        <f>D25*E25*F25*G25</f>
        <v>0.43200000000000005</v>
      </c>
      <c r="I25" s="23"/>
      <c r="J25" s="49"/>
    </row>
    <row r="26" spans="2:10">
      <c r="B26" s="20"/>
      <c r="C26" s="26"/>
      <c r="D26" s="23">
        <v>1</v>
      </c>
      <c r="E26" s="22">
        <v>2.7</v>
      </c>
      <c r="F26" s="22">
        <v>2.7</v>
      </c>
      <c r="G26" s="22">
        <v>0.1</v>
      </c>
      <c r="H26" s="22">
        <f>D26*E26*F26*G26</f>
        <v>0.72900000000000009</v>
      </c>
      <c r="I26" s="23"/>
      <c r="J26" s="49"/>
    </row>
    <row r="27" spans="2:10">
      <c r="B27" s="20"/>
      <c r="C27" s="26"/>
      <c r="D27" s="23"/>
      <c r="E27" s="22"/>
      <c r="F27" s="22" t="s">
        <v>34</v>
      </c>
      <c r="G27" s="22"/>
      <c r="H27" s="22">
        <f>SUM(H25:H26)</f>
        <v>1.161</v>
      </c>
      <c r="I27" s="23" t="s">
        <v>25</v>
      </c>
      <c r="J27" s="49"/>
    </row>
    <row r="28" spans="2:10">
      <c r="B28" s="20"/>
      <c r="C28" s="27"/>
      <c r="D28" s="23"/>
      <c r="E28" s="22"/>
      <c r="F28" s="22"/>
      <c r="G28" s="33"/>
      <c r="H28" s="22"/>
      <c r="I28" s="23"/>
      <c r="J28" s="49"/>
    </row>
    <row r="29" spans="2:10" ht="33">
      <c r="B29" s="36">
        <v>7</v>
      </c>
      <c r="C29" s="25" t="s">
        <v>27</v>
      </c>
      <c r="D29" s="23">
        <v>1</v>
      </c>
      <c r="E29" s="30">
        <v>2.7</v>
      </c>
      <c r="F29" s="30">
        <v>2.7</v>
      </c>
      <c r="G29" s="22"/>
      <c r="H29" s="32">
        <f>F29*E29*D29</f>
        <v>7.2900000000000009</v>
      </c>
      <c r="I29" s="29"/>
      <c r="J29" s="49"/>
    </row>
    <row r="30" spans="2:10">
      <c r="B30" s="36"/>
      <c r="C30" s="25"/>
      <c r="D30" s="23">
        <v>2</v>
      </c>
      <c r="E30" s="30">
        <f>+E25</f>
        <v>3.6</v>
      </c>
      <c r="G30" s="30">
        <f>+G25</f>
        <v>0.8</v>
      </c>
      <c r="H30" s="32">
        <f>G30*E30*D30</f>
        <v>5.7600000000000007</v>
      </c>
      <c r="I30" s="29"/>
      <c r="J30" s="49"/>
    </row>
    <row r="31" spans="2:10">
      <c r="B31" s="36"/>
      <c r="C31" s="25"/>
      <c r="D31" s="23"/>
      <c r="E31" s="30"/>
      <c r="F31" s="30"/>
      <c r="G31" s="33"/>
      <c r="H31" s="47">
        <f>SUM(H29:H30)</f>
        <v>13.05</v>
      </c>
      <c r="I31" s="34" t="s">
        <v>24</v>
      </c>
      <c r="J31" s="49"/>
    </row>
    <row r="32" spans="2:10" ht="18" customHeight="1">
      <c r="B32" s="20"/>
      <c r="C32" s="27"/>
      <c r="D32" s="23"/>
      <c r="E32" s="22"/>
      <c r="F32" s="22"/>
      <c r="G32" s="33"/>
      <c r="H32" s="22"/>
      <c r="I32" s="23"/>
      <c r="J32" s="49"/>
    </row>
    <row r="33" spans="2:10">
      <c r="B33" s="20">
        <v>8</v>
      </c>
      <c r="C33" s="35" t="s">
        <v>47</v>
      </c>
      <c r="D33" s="23"/>
      <c r="E33" s="22"/>
      <c r="F33" s="22"/>
      <c r="G33" s="33"/>
      <c r="H33" s="22"/>
      <c r="I33" s="23"/>
      <c r="J33" s="49"/>
    </row>
    <row r="34" spans="2:10">
      <c r="B34" s="20"/>
      <c r="C34" s="35"/>
      <c r="D34" s="23">
        <v>2</v>
      </c>
      <c r="E34" s="22">
        <f>+E22</f>
        <v>2.7</v>
      </c>
      <c r="F34" s="22"/>
      <c r="G34" s="33">
        <f>+G22</f>
        <v>0.8</v>
      </c>
      <c r="H34" s="22">
        <f>D34*E34*G34</f>
        <v>4.32</v>
      </c>
      <c r="I34" s="23"/>
      <c r="J34" s="49"/>
    </row>
    <row r="35" spans="2:10">
      <c r="B35" s="20"/>
      <c r="C35" s="35"/>
      <c r="D35" s="23"/>
      <c r="E35" s="22"/>
      <c r="F35" s="22"/>
      <c r="G35" s="33"/>
      <c r="H35" s="22">
        <f>SUM(H34:H34)</f>
        <v>4.32</v>
      </c>
      <c r="I35" s="23" t="s">
        <v>48</v>
      </c>
      <c r="J35" s="49"/>
    </row>
    <row r="36" spans="2:10">
      <c r="B36" s="36"/>
      <c r="C36" s="27"/>
      <c r="D36" s="29"/>
      <c r="E36" s="22"/>
      <c r="F36" s="22"/>
      <c r="G36" s="33"/>
      <c r="H36" s="29"/>
      <c r="I36" s="29"/>
      <c r="J36" s="49"/>
    </row>
    <row r="37" spans="2:10">
      <c r="B37" s="20">
        <v>9</v>
      </c>
      <c r="C37" s="35" t="s">
        <v>49</v>
      </c>
      <c r="D37" s="23">
        <v>1</v>
      </c>
      <c r="E37" s="22"/>
      <c r="F37" s="22"/>
      <c r="G37" s="33"/>
      <c r="H37" s="22">
        <f>+D37</f>
        <v>1</v>
      </c>
      <c r="I37" s="23" t="s">
        <v>43</v>
      </c>
      <c r="J37" s="49"/>
    </row>
    <row r="38" spans="2:10">
      <c r="B38" s="20"/>
      <c r="C38" s="35"/>
      <c r="D38" s="23"/>
      <c r="E38" s="22"/>
      <c r="F38" s="22"/>
      <c r="G38" s="33"/>
      <c r="H38" s="22"/>
      <c r="I38" s="23"/>
      <c r="J38" s="49"/>
    </row>
    <row r="39" spans="2:10">
      <c r="B39" s="36">
        <v>10</v>
      </c>
      <c r="C39" s="25" t="s">
        <v>54</v>
      </c>
      <c r="D39" s="23">
        <v>7</v>
      </c>
      <c r="E39" s="50">
        <v>1</v>
      </c>
      <c r="F39" s="28"/>
      <c r="G39" s="22">
        <v>1.5</v>
      </c>
      <c r="H39" s="46">
        <f>D39*E39*G39</f>
        <v>10.5</v>
      </c>
      <c r="I39" s="23" t="s">
        <v>19</v>
      </c>
      <c r="J39" s="49"/>
    </row>
    <row r="40" spans="2:10">
      <c r="B40" s="36"/>
      <c r="C40" s="25"/>
      <c r="D40" s="23"/>
      <c r="E40" s="50"/>
      <c r="F40" s="28"/>
      <c r="G40" s="22"/>
      <c r="H40" s="46"/>
      <c r="I40" s="23"/>
      <c r="J40" s="49"/>
    </row>
    <row r="41" spans="2:10">
      <c r="B41" s="36">
        <v>11</v>
      </c>
      <c r="C41" s="25" t="s">
        <v>55</v>
      </c>
      <c r="D41" s="23">
        <v>1</v>
      </c>
      <c r="E41" s="46">
        <v>10</v>
      </c>
      <c r="F41" s="28"/>
      <c r="G41" s="22"/>
      <c r="H41" s="29">
        <f>D41*E41</f>
        <v>10</v>
      </c>
      <c r="I41" s="23" t="s">
        <v>56</v>
      </c>
      <c r="J41" s="49"/>
    </row>
    <row r="42" spans="2:10">
      <c r="B42" s="20"/>
      <c r="C42" s="35"/>
      <c r="D42" s="23"/>
      <c r="E42" s="22"/>
      <c r="F42" s="22"/>
      <c r="G42" s="33"/>
      <c r="H42" s="22"/>
      <c r="I42" s="23"/>
      <c r="J42" s="49"/>
    </row>
    <row r="43" spans="2:10">
      <c r="B43" s="63">
        <v>12</v>
      </c>
      <c r="C43" s="64" t="s">
        <v>57</v>
      </c>
      <c r="D43" s="23">
        <v>1</v>
      </c>
      <c r="E43" s="22"/>
      <c r="F43" s="28"/>
      <c r="G43" s="22"/>
      <c r="H43" s="22">
        <v>10000</v>
      </c>
      <c r="I43" s="23" t="s">
        <v>58</v>
      </c>
      <c r="J43" s="49"/>
    </row>
    <row r="44" spans="2:10">
      <c r="B44" s="36"/>
      <c r="C44" s="25"/>
      <c r="D44" s="23"/>
      <c r="E44" s="50"/>
      <c r="F44" s="28"/>
      <c r="G44" s="22"/>
      <c r="H44" s="46"/>
      <c r="I44" s="23"/>
      <c r="J44" s="49"/>
    </row>
    <row r="45" spans="2:10">
      <c r="B45" s="20">
        <v>13</v>
      </c>
      <c r="C45" s="103" t="s">
        <v>40</v>
      </c>
      <c r="D45" s="23">
        <v>1</v>
      </c>
      <c r="E45" s="50"/>
      <c r="F45" s="28"/>
      <c r="G45" s="28"/>
      <c r="H45" s="46">
        <v>0</v>
      </c>
      <c r="I45" s="23" t="s">
        <v>41</v>
      </c>
      <c r="J45" s="49"/>
    </row>
    <row r="46" spans="2:10" ht="17.25" thickBot="1">
      <c r="B46" s="37"/>
      <c r="C46" s="51"/>
      <c r="D46" s="38"/>
      <c r="E46" s="39"/>
      <c r="F46" s="40"/>
      <c r="G46" s="39"/>
      <c r="H46" s="39"/>
      <c r="I46" s="38"/>
      <c r="J46" s="42"/>
    </row>
    <row r="47" spans="2:10">
      <c r="C47" s="9"/>
      <c r="D47" s="10"/>
      <c r="E47" s="10"/>
      <c r="F47" s="10"/>
      <c r="G47" s="10"/>
      <c r="H47" s="10"/>
      <c r="I47" s="10"/>
      <c r="J47" s="8"/>
    </row>
    <row r="48" spans="2:10">
      <c r="C48" s="5"/>
      <c r="D48" s="139"/>
      <c r="E48" s="139"/>
      <c r="F48" s="139"/>
      <c r="G48" s="139"/>
      <c r="H48" s="139"/>
      <c r="I48" s="10"/>
      <c r="J48" s="8"/>
    </row>
    <row r="49" spans="3:10">
      <c r="C49" s="5"/>
      <c r="D49" s="136"/>
      <c r="E49" s="136"/>
      <c r="F49" s="136"/>
      <c r="G49" s="138"/>
      <c r="H49" s="138"/>
      <c r="I49" s="99"/>
      <c r="J49" s="8"/>
    </row>
    <row r="50" spans="3:10">
      <c r="C50" s="5"/>
      <c r="D50" s="136"/>
      <c r="E50" s="136"/>
      <c r="F50" s="136"/>
      <c r="G50" s="138"/>
      <c r="H50" s="138"/>
      <c r="I50" s="100"/>
      <c r="J50" s="12"/>
    </row>
    <row r="51" spans="3:10">
      <c r="C51" s="5"/>
      <c r="D51" s="136"/>
      <c r="E51" s="136"/>
      <c r="F51" s="136"/>
      <c r="G51" s="138"/>
      <c r="H51" s="138"/>
      <c r="I51" s="100"/>
      <c r="J51" s="8"/>
    </row>
    <row r="52" spans="3:10">
      <c r="C52" s="5"/>
      <c r="D52" s="136"/>
      <c r="E52" s="136"/>
      <c r="F52" s="136"/>
      <c r="G52" s="138"/>
      <c r="H52" s="138"/>
      <c r="I52" s="100"/>
      <c r="J52" s="8"/>
    </row>
    <row r="53" spans="3:10">
      <c r="C53" s="5"/>
      <c r="D53" s="136"/>
      <c r="E53" s="136"/>
      <c r="F53" s="136"/>
      <c r="G53" s="138"/>
      <c r="H53" s="138"/>
      <c r="I53" s="100"/>
      <c r="J53" s="8"/>
    </row>
    <row r="54" spans="3:10">
      <c r="C54" s="5"/>
      <c r="D54" s="136"/>
      <c r="E54" s="136"/>
      <c r="F54" s="136"/>
      <c r="G54" s="140"/>
      <c r="H54" s="140"/>
      <c r="I54" s="101"/>
      <c r="J54" s="8"/>
    </row>
    <row r="55" spans="3:10">
      <c r="G55" s="102"/>
    </row>
  </sheetData>
  <mergeCells count="19">
    <mergeCell ref="D54:F54"/>
    <mergeCell ref="G54:H54"/>
    <mergeCell ref="D52:F52"/>
    <mergeCell ref="G52:H52"/>
    <mergeCell ref="D53:F53"/>
    <mergeCell ref="G53:H53"/>
    <mergeCell ref="D50:F50"/>
    <mergeCell ref="G50:H50"/>
    <mergeCell ref="D51:F51"/>
    <mergeCell ref="G51:H51"/>
    <mergeCell ref="D48:F48"/>
    <mergeCell ref="G48:H48"/>
    <mergeCell ref="D49:F49"/>
    <mergeCell ref="G49:H49"/>
    <mergeCell ref="A4:J4"/>
    <mergeCell ref="A5:J5"/>
    <mergeCell ref="A6:J6"/>
    <mergeCell ref="A7:J7"/>
    <mergeCell ref="B9:G9"/>
  </mergeCells>
  <pageMargins left="0.43307086614173201" right="0.23622047244094499" top="0.74803149606299202" bottom="0.74803149606299202" header="0.31496062992126" footer="0.31496062992126"/>
  <pageSetup scale="74" fitToHeight="5" orientation="portrait" r:id="rId1"/>
  <headerFooter>
    <oddFooter>&amp;LPrepared By
Nitesh Basukala
Sub Engineer&amp;CChecked By       
Nabin KC   
Engineer                       &amp;RApproved By
Prakash Singh Saud
 Engineer</oddFooter>
  </headerFooter>
  <rowBreaks count="1" manualBreakCount="1">
    <brk id="46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view="pageBreakPreview" zoomScaleNormal="100" zoomScaleSheetLayoutView="100" workbookViewId="0">
      <selection activeCell="I10" sqref="I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29.7109375" style="8" customWidth="1"/>
    <col min="4" max="4" width="10" style="1" hidden="1" customWidth="1"/>
    <col min="5" max="5" width="11.85546875" style="1" hidden="1" customWidth="1"/>
    <col min="6" max="6" width="10.140625" style="1" hidden="1" customWidth="1"/>
    <col min="7" max="7" width="13.7109375" style="1" hidden="1" customWidth="1"/>
    <col min="8" max="8" width="13.140625" style="1" customWidth="1"/>
    <col min="9" max="9" width="7.5703125" style="1" customWidth="1"/>
    <col min="10" max="10" width="13.28515625" style="2" bestFit="1" customWidth="1"/>
    <col min="11" max="11" width="22.42578125" style="1" bestFit="1" customWidth="1"/>
    <col min="12" max="12" width="14.570312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2">
      <c r="C1" s="52" t="s">
        <v>12</v>
      </c>
      <c r="D1" s="52" t="s">
        <v>36</v>
      </c>
      <c r="E1" s="52" t="s">
        <v>37</v>
      </c>
      <c r="F1" s="52" t="s">
        <v>38</v>
      </c>
      <c r="G1" s="52" t="s">
        <v>6</v>
      </c>
      <c r="H1" s="52" t="s">
        <v>39</v>
      </c>
      <c r="I1" s="52"/>
    </row>
    <row r="2" spans="1:12">
      <c r="C2" s="53" t="s">
        <v>35</v>
      </c>
      <c r="D2" s="54">
        <v>2.25</v>
      </c>
      <c r="E2" s="54">
        <v>2.25</v>
      </c>
      <c r="F2" s="54">
        <v>1.5</v>
      </c>
      <c r="G2" s="52">
        <f>(D2*E2*(F2-0.3))</f>
        <v>6.0750000000000002</v>
      </c>
      <c r="H2" s="52" t="str">
        <f>G2*1000&amp;"litres"</f>
        <v>6075litres</v>
      </c>
      <c r="I2" s="52"/>
    </row>
    <row r="4" spans="1:12">
      <c r="A4" s="134" t="s">
        <v>11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</row>
    <row r="5" spans="1:12" ht="20.25">
      <c r="A5" s="135" t="s">
        <v>17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</row>
    <row r="6" spans="1:12">
      <c r="A6" s="134" t="s">
        <v>18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</row>
    <row r="7" spans="1:12">
      <c r="A7" s="136" t="s">
        <v>61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</row>
    <row r="8" spans="1:12" ht="19.5">
      <c r="A8" s="6"/>
      <c r="B8" s="4" t="s">
        <v>28</v>
      </c>
      <c r="C8" s="57" t="s">
        <v>53</v>
      </c>
      <c r="H8" s="6"/>
      <c r="K8" s="137" t="s">
        <v>30</v>
      </c>
      <c r="L8" s="137"/>
    </row>
    <row r="9" spans="1:12">
      <c r="B9" s="132" t="s">
        <v>29</v>
      </c>
      <c r="C9" s="132"/>
      <c r="D9" s="132"/>
      <c r="E9" s="132"/>
      <c r="F9" s="132"/>
      <c r="G9" s="132"/>
      <c r="H9" s="3"/>
      <c r="I9" s="133" t="s">
        <v>82</v>
      </c>
      <c r="J9" s="133"/>
      <c r="K9" s="133"/>
      <c r="L9" s="133"/>
    </row>
    <row r="10" spans="1:12" ht="17.25" thickBot="1">
      <c r="C10" s="5"/>
      <c r="D10" s="6"/>
      <c r="E10" s="3"/>
      <c r="F10" s="3"/>
      <c r="G10" s="3"/>
      <c r="H10" s="3"/>
      <c r="J10" s="7"/>
      <c r="K10" s="3"/>
      <c r="L10" s="8"/>
    </row>
    <row r="11" spans="1:12" ht="17.25" thickBot="1">
      <c r="A11" s="2"/>
      <c r="B11" s="13" t="s">
        <v>0</v>
      </c>
      <c r="C11" s="14" t="s">
        <v>1</v>
      </c>
      <c r="D11" s="18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6" t="s">
        <v>7</v>
      </c>
      <c r="J11" s="15" t="s">
        <v>8</v>
      </c>
      <c r="K11" s="15" t="s">
        <v>9</v>
      </c>
      <c r="L11" s="17" t="s">
        <v>10</v>
      </c>
    </row>
    <row r="12" spans="1:12" customFormat="1">
      <c r="B12" s="61">
        <v>1</v>
      </c>
      <c r="C12" s="62" t="s">
        <v>52</v>
      </c>
      <c r="D12" s="21">
        <v>1</v>
      </c>
      <c r="E12" s="24">
        <f>+E17</f>
        <v>8.5</v>
      </c>
      <c r="F12" s="24">
        <v>0.5</v>
      </c>
      <c r="G12" s="24">
        <v>1</v>
      </c>
      <c r="H12" s="24">
        <f>D12*E12*F12*G12</f>
        <v>4.25</v>
      </c>
      <c r="I12" s="21" t="s">
        <v>42</v>
      </c>
      <c r="J12" s="24">
        <v>627.27</v>
      </c>
      <c r="K12" s="24">
        <f>H12*J12</f>
        <v>2665.8975</v>
      </c>
      <c r="L12" s="19"/>
    </row>
    <row r="13" spans="1:12">
      <c r="B13" s="20"/>
      <c r="C13" s="35"/>
      <c r="D13" s="23"/>
      <c r="E13" s="22"/>
      <c r="F13" s="22"/>
      <c r="G13" s="33"/>
      <c r="H13" s="22"/>
      <c r="I13" s="23"/>
      <c r="J13" s="45"/>
      <c r="K13" s="44"/>
      <c r="L13" s="49"/>
    </row>
    <row r="14" spans="1:12" ht="33">
      <c r="B14" s="20">
        <v>2</v>
      </c>
      <c r="C14" s="35" t="s">
        <v>51</v>
      </c>
      <c r="D14" s="23">
        <v>1</v>
      </c>
      <c r="E14" s="22">
        <f>3-0.15*2</f>
        <v>2.7</v>
      </c>
      <c r="F14" s="22">
        <f>3-0.15*2</f>
        <v>2.7</v>
      </c>
      <c r="G14" s="22">
        <v>0.1</v>
      </c>
      <c r="H14" s="22">
        <f>D14*E14*F14*G14</f>
        <v>0.72900000000000009</v>
      </c>
      <c r="I14" s="23" t="s">
        <v>42</v>
      </c>
      <c r="J14" s="22">
        <v>9570</v>
      </c>
      <c r="K14" s="22">
        <f>H14*J14</f>
        <v>6976.5300000000007</v>
      </c>
      <c r="L14" s="49"/>
    </row>
    <row r="15" spans="1:12">
      <c r="B15" s="20"/>
      <c r="C15" s="35"/>
      <c r="D15" s="23"/>
      <c r="E15" s="22"/>
      <c r="F15" s="22"/>
      <c r="G15" s="22"/>
      <c r="H15" s="22"/>
      <c r="I15" s="22"/>
      <c r="J15" s="22"/>
      <c r="K15" s="22"/>
      <c r="L15" s="49"/>
    </row>
    <row r="16" spans="1:12">
      <c r="B16" s="20"/>
      <c r="C16" s="35"/>
      <c r="D16" s="23"/>
      <c r="E16" s="22"/>
      <c r="F16" s="22"/>
      <c r="G16" s="22"/>
      <c r="H16" s="22"/>
      <c r="I16" s="22"/>
      <c r="J16" s="22"/>
      <c r="K16" s="22"/>
      <c r="L16" s="49"/>
    </row>
    <row r="17" spans="2:12">
      <c r="B17" s="20">
        <v>3</v>
      </c>
      <c r="C17" s="29" t="s">
        <v>44</v>
      </c>
      <c r="D17" s="23">
        <v>2</v>
      </c>
      <c r="E17" s="22">
        <f>E20+E21</f>
        <v>8.5</v>
      </c>
      <c r="F17" s="22">
        <v>0.6</v>
      </c>
      <c r="G17" s="33">
        <v>0.15</v>
      </c>
      <c r="H17" s="22">
        <f>D17*E17*F17*G17</f>
        <v>1.5299999999999998</v>
      </c>
      <c r="I17" s="23" t="s">
        <v>42</v>
      </c>
      <c r="J17" s="22">
        <v>4567.63</v>
      </c>
      <c r="K17" s="22">
        <f>H17*J17</f>
        <v>6988.473899999999</v>
      </c>
      <c r="L17" s="49"/>
    </row>
    <row r="18" spans="2:12">
      <c r="B18" s="20"/>
      <c r="C18" s="55" t="s">
        <v>45</v>
      </c>
      <c r="D18" s="23"/>
      <c r="E18" s="22"/>
      <c r="F18" s="22"/>
      <c r="G18" s="33"/>
      <c r="H18" s="22"/>
      <c r="I18" s="23"/>
      <c r="J18" s="22"/>
      <c r="K18" s="22">
        <f>3262.64*H17*0.13</f>
        <v>648.93909599999995</v>
      </c>
      <c r="L18" s="49"/>
    </row>
    <row r="19" spans="2:12">
      <c r="B19" s="20"/>
      <c r="C19" s="55"/>
      <c r="D19" s="23"/>
      <c r="E19" s="22"/>
      <c r="F19" s="22"/>
      <c r="G19" s="33"/>
      <c r="H19" s="22"/>
      <c r="I19" s="23"/>
      <c r="J19" s="22"/>
      <c r="K19" s="22"/>
      <c r="L19" s="49"/>
    </row>
    <row r="20" spans="2:12">
      <c r="B20" s="20">
        <v>4</v>
      </c>
      <c r="C20" s="29" t="s">
        <v>50</v>
      </c>
      <c r="D20" s="23">
        <v>1</v>
      </c>
      <c r="E20" s="22">
        <v>5</v>
      </c>
      <c r="F20" s="22">
        <v>0.6</v>
      </c>
      <c r="G20" s="33">
        <v>1.5</v>
      </c>
      <c r="H20" s="22">
        <f>D20*E20*F20*G20</f>
        <v>4.5</v>
      </c>
      <c r="I20" s="29"/>
      <c r="J20" s="29"/>
      <c r="K20" s="29"/>
      <c r="L20" s="49"/>
    </row>
    <row r="21" spans="2:12">
      <c r="B21" s="20"/>
      <c r="C21" s="29"/>
      <c r="D21" s="23">
        <v>1</v>
      </c>
      <c r="E21" s="22">
        <v>3.5</v>
      </c>
      <c r="F21" s="22">
        <v>0.6</v>
      </c>
      <c r="G21" s="33">
        <v>0.6</v>
      </c>
      <c r="H21" s="22">
        <f t="shared" ref="H21" si="0">D21*E21*F21*G21</f>
        <v>1.26</v>
      </c>
      <c r="I21" s="23"/>
      <c r="J21" s="45"/>
      <c r="K21" s="44"/>
      <c r="L21" s="49"/>
    </row>
    <row r="22" spans="2:12">
      <c r="B22" s="20"/>
      <c r="C22" s="29"/>
      <c r="D22" s="23"/>
      <c r="E22" s="22"/>
      <c r="F22" s="22"/>
      <c r="G22" s="33"/>
      <c r="H22" s="22">
        <f>SUM(H20:H21)</f>
        <v>5.76</v>
      </c>
      <c r="I22" s="23" t="s">
        <v>42</v>
      </c>
      <c r="J22" s="45">
        <v>5915.75</v>
      </c>
      <c r="K22" s="44">
        <f>H22*J22</f>
        <v>34074.720000000001</v>
      </c>
      <c r="L22" s="49"/>
    </row>
    <row r="23" spans="2:12">
      <c r="B23" s="20"/>
      <c r="C23" s="27" t="s">
        <v>45</v>
      </c>
      <c r="D23" s="29"/>
      <c r="E23" s="29"/>
      <c r="F23" s="29"/>
      <c r="G23" s="29"/>
      <c r="H23" s="29"/>
      <c r="I23" s="29"/>
      <c r="J23" s="29"/>
      <c r="K23" s="56">
        <f>2990.75*H22*0.13</f>
        <v>2239.4736000000003</v>
      </c>
      <c r="L23" s="49"/>
    </row>
    <row r="24" spans="2:12">
      <c r="B24" s="20"/>
      <c r="C24" s="55"/>
      <c r="D24" s="23"/>
      <c r="E24" s="22"/>
      <c r="F24" s="22"/>
      <c r="G24" s="33"/>
      <c r="H24" s="22"/>
      <c r="I24" s="23"/>
      <c r="J24" s="22"/>
      <c r="K24" s="22"/>
      <c r="L24" s="49"/>
    </row>
    <row r="25" spans="2:12">
      <c r="B25" s="20">
        <v>5</v>
      </c>
      <c r="C25" s="29" t="s">
        <v>60</v>
      </c>
      <c r="D25" s="23">
        <v>2</v>
      </c>
      <c r="E25" s="22">
        <f>3-0.15*2</f>
        <v>2.7</v>
      </c>
      <c r="F25" s="22">
        <v>0.23</v>
      </c>
      <c r="G25" s="33">
        <v>0.8</v>
      </c>
      <c r="H25" s="22">
        <f>D25*E25*F25*G25</f>
        <v>0.99360000000000026</v>
      </c>
      <c r="I25" s="29"/>
      <c r="J25" s="29"/>
      <c r="K25" s="29"/>
      <c r="L25" s="49"/>
    </row>
    <row r="26" spans="2:12">
      <c r="B26" s="20"/>
      <c r="C26" s="29"/>
      <c r="D26" s="23"/>
      <c r="E26" s="22"/>
      <c r="F26" s="22"/>
      <c r="G26" s="33"/>
      <c r="H26" s="22">
        <f>SUM(H25:H25)</f>
        <v>0.99360000000000026</v>
      </c>
      <c r="I26" s="23" t="s">
        <v>42</v>
      </c>
      <c r="J26" s="45">
        <v>14627.37</v>
      </c>
      <c r="K26" s="44">
        <f>H26*J26</f>
        <v>14533.754832000004</v>
      </c>
      <c r="L26" s="49"/>
    </row>
    <row r="27" spans="2:12">
      <c r="B27" s="20"/>
      <c r="C27" s="27" t="s">
        <v>31</v>
      </c>
      <c r="D27" s="23"/>
      <c r="E27" s="22"/>
      <c r="F27" s="22"/>
      <c r="G27" s="33"/>
      <c r="H27" s="29"/>
      <c r="I27" s="23"/>
      <c r="J27" s="45"/>
      <c r="K27" s="44">
        <f>8765.12*H26*0.13</f>
        <v>1132.1730201600005</v>
      </c>
      <c r="L27" s="49"/>
    </row>
    <row r="28" spans="2:12">
      <c r="B28" s="20"/>
      <c r="C28" s="27" t="s">
        <v>46</v>
      </c>
      <c r="D28" s="29"/>
      <c r="E28" s="29"/>
      <c r="F28" s="29"/>
      <c r="G28" s="29"/>
      <c r="H28" s="29"/>
      <c r="I28" s="29"/>
      <c r="J28" s="45"/>
      <c r="K28" s="44">
        <f>1010.17*H26*0.13</f>
        <v>130.48163856000005</v>
      </c>
      <c r="L28" s="49"/>
    </row>
    <row r="29" spans="2:12">
      <c r="B29" s="20"/>
      <c r="C29" s="27" t="s">
        <v>32</v>
      </c>
      <c r="D29" s="23"/>
      <c r="E29" s="22"/>
      <c r="F29" s="22"/>
      <c r="G29" s="33"/>
      <c r="H29" s="22"/>
      <c r="I29" s="23"/>
      <c r="J29" s="45"/>
      <c r="K29" s="44">
        <f>953.37*H26*0.13</f>
        <v>123.14489616000004</v>
      </c>
      <c r="L29" s="49"/>
    </row>
    <row r="30" spans="2:12">
      <c r="B30" s="20"/>
      <c r="C30" s="27"/>
      <c r="D30" s="23"/>
      <c r="E30" s="22"/>
      <c r="F30" s="22"/>
      <c r="G30" s="33"/>
      <c r="H30" s="22"/>
      <c r="I30" s="23"/>
      <c r="J30" s="45"/>
      <c r="K30" s="44"/>
      <c r="L30" s="49"/>
    </row>
    <row r="31" spans="2:12" ht="49.5">
      <c r="B31" s="20">
        <v>6</v>
      </c>
      <c r="C31" s="26" t="s">
        <v>26</v>
      </c>
      <c r="D31" s="23">
        <v>1</v>
      </c>
      <c r="E31" s="22">
        <f>2.7+0.9</f>
        <v>3.6</v>
      </c>
      <c r="F31" s="22">
        <v>0.15</v>
      </c>
      <c r="G31" s="22">
        <v>0.8</v>
      </c>
      <c r="H31" s="22">
        <f>D31*E31*F31*G31</f>
        <v>0.43200000000000005</v>
      </c>
      <c r="I31" s="23"/>
      <c r="J31" s="45"/>
      <c r="K31" s="22"/>
      <c r="L31" s="49"/>
    </row>
    <row r="32" spans="2:12">
      <c r="B32" s="20"/>
      <c r="C32" s="26"/>
      <c r="D32" s="23">
        <v>1</v>
      </c>
      <c r="E32" s="22">
        <v>2.7</v>
      </c>
      <c r="F32" s="22">
        <v>2.7</v>
      </c>
      <c r="G32" s="22">
        <v>0.1</v>
      </c>
      <c r="H32" s="22">
        <f>D32*E32*F32*G32</f>
        <v>0.72900000000000009</v>
      </c>
      <c r="I32" s="23"/>
      <c r="J32" s="45"/>
      <c r="K32" s="22"/>
      <c r="L32" s="49"/>
    </row>
    <row r="33" spans="2:12">
      <c r="B33" s="20"/>
      <c r="C33" s="26"/>
      <c r="D33" s="23"/>
      <c r="E33" s="22"/>
      <c r="F33" s="22" t="s">
        <v>34</v>
      </c>
      <c r="G33" s="22"/>
      <c r="H33" s="22">
        <f>SUM(H31:H32)</f>
        <v>1.161</v>
      </c>
      <c r="I33" s="23" t="s">
        <v>25</v>
      </c>
      <c r="J33" s="45">
        <v>17171.03</v>
      </c>
      <c r="K33" s="44">
        <f>H33*J33</f>
        <v>19935.56583</v>
      </c>
      <c r="L33" s="49"/>
    </row>
    <row r="34" spans="2:12">
      <c r="B34" s="20"/>
      <c r="C34" s="27" t="s">
        <v>31</v>
      </c>
      <c r="D34" s="23"/>
      <c r="E34" s="22"/>
      <c r="F34" s="22"/>
      <c r="G34" s="22"/>
      <c r="H34" s="22"/>
      <c r="I34" s="23"/>
      <c r="J34" s="45"/>
      <c r="K34" s="44">
        <f>5772.4*H33*0.13</f>
        <v>871.22833200000002</v>
      </c>
      <c r="L34" s="49"/>
    </row>
    <row r="35" spans="2:12">
      <c r="B35" s="20"/>
      <c r="C35" s="27" t="s">
        <v>33</v>
      </c>
      <c r="D35" s="23"/>
      <c r="E35" s="22"/>
      <c r="F35" s="22"/>
      <c r="G35" s="22"/>
      <c r="H35" s="22"/>
      <c r="I35" s="23"/>
      <c r="J35" s="45"/>
      <c r="K35" s="44">
        <f>2954.03*H33*0.13</f>
        <v>445.85174790000002</v>
      </c>
      <c r="L35" s="49"/>
    </row>
    <row r="36" spans="2:12">
      <c r="B36" s="20"/>
      <c r="C36" s="27" t="s">
        <v>32</v>
      </c>
      <c r="D36" s="23"/>
      <c r="E36" s="22"/>
      <c r="F36" s="22"/>
      <c r="G36" s="22"/>
      <c r="H36" s="22"/>
      <c r="I36" s="23"/>
      <c r="J36" s="45"/>
      <c r="K36" s="44">
        <f>1350.6*H33*0.13</f>
        <v>203.846058</v>
      </c>
      <c r="L36" s="49"/>
    </row>
    <row r="37" spans="2:12">
      <c r="B37" s="20"/>
      <c r="C37" s="27"/>
      <c r="D37" s="23"/>
      <c r="E37" s="22"/>
      <c r="F37" s="22"/>
      <c r="G37" s="33"/>
      <c r="H37" s="22"/>
      <c r="I37" s="23"/>
      <c r="J37" s="45"/>
      <c r="K37" s="44"/>
      <c r="L37" s="49"/>
    </row>
    <row r="38" spans="2:12" ht="33">
      <c r="B38" s="36">
        <v>7</v>
      </c>
      <c r="C38" s="25" t="s">
        <v>27</v>
      </c>
      <c r="D38" s="23">
        <v>1</v>
      </c>
      <c r="E38" s="30">
        <v>2.7</v>
      </c>
      <c r="F38" s="30">
        <v>2.7</v>
      </c>
      <c r="G38" s="22"/>
      <c r="H38" s="32">
        <f>F38*E38*D38</f>
        <v>7.2900000000000009</v>
      </c>
      <c r="I38" s="29"/>
      <c r="J38" s="45"/>
      <c r="K38" s="29"/>
      <c r="L38" s="49"/>
    </row>
    <row r="39" spans="2:12">
      <c r="B39" s="36"/>
      <c r="C39" s="25"/>
      <c r="D39" s="23">
        <v>2</v>
      </c>
      <c r="E39" s="30">
        <f>+E31</f>
        <v>3.6</v>
      </c>
      <c r="G39" s="30">
        <f>+G31</f>
        <v>0.8</v>
      </c>
      <c r="H39" s="32">
        <f>G39*E39*D39</f>
        <v>5.7600000000000007</v>
      </c>
      <c r="I39" s="29"/>
      <c r="J39" s="45"/>
      <c r="K39" s="29"/>
      <c r="L39" s="49"/>
    </row>
    <row r="40" spans="2:12">
      <c r="B40" s="36"/>
      <c r="C40" s="25"/>
      <c r="D40" s="23"/>
      <c r="E40" s="30"/>
      <c r="F40" s="30"/>
      <c r="G40" s="33"/>
      <c r="H40" s="47">
        <f>SUM(H38:H39)</f>
        <v>13.05</v>
      </c>
      <c r="I40" s="34" t="s">
        <v>24</v>
      </c>
      <c r="J40" s="45">
        <v>282.27</v>
      </c>
      <c r="K40" s="48">
        <f>J40*H40</f>
        <v>3683.6235000000001</v>
      </c>
      <c r="L40" s="49"/>
    </row>
    <row r="41" spans="2:12">
      <c r="B41" s="36"/>
      <c r="C41" s="27" t="s">
        <v>31</v>
      </c>
      <c r="D41" s="23"/>
      <c r="E41" s="30"/>
      <c r="F41" s="30"/>
      <c r="G41" s="33"/>
      <c r="H41" s="47"/>
      <c r="I41" s="34"/>
      <c r="J41" s="45"/>
      <c r="K41" s="48">
        <f>7448*H40*0.13/100</f>
        <v>126.35532000000001</v>
      </c>
      <c r="L41" s="49"/>
    </row>
    <row r="42" spans="2:12" ht="18" customHeight="1">
      <c r="B42" s="20"/>
      <c r="C42" s="27"/>
      <c r="D42" s="23"/>
      <c r="E42" s="22"/>
      <c r="F42" s="22"/>
      <c r="G42" s="33"/>
      <c r="H42" s="22"/>
      <c r="I42" s="23"/>
      <c r="J42" s="45"/>
      <c r="K42" s="44"/>
      <c r="L42" s="49"/>
    </row>
    <row r="43" spans="2:12">
      <c r="B43" s="20">
        <v>8</v>
      </c>
      <c r="C43" s="35" t="s">
        <v>47</v>
      </c>
      <c r="D43" s="23"/>
      <c r="E43" s="22"/>
      <c r="F43" s="22"/>
      <c r="G43" s="33"/>
      <c r="H43" s="22"/>
      <c r="I43" s="23"/>
      <c r="J43" s="45"/>
      <c r="K43" s="44"/>
      <c r="L43" s="49"/>
    </row>
    <row r="44" spans="2:12">
      <c r="B44" s="20"/>
      <c r="C44" s="35"/>
      <c r="D44" s="23">
        <v>2</v>
      </c>
      <c r="E44" s="22">
        <f>+E25</f>
        <v>2.7</v>
      </c>
      <c r="F44" s="22"/>
      <c r="G44" s="33">
        <f>+G25</f>
        <v>0.8</v>
      </c>
      <c r="H44" s="22">
        <f>D44*E44*G44</f>
        <v>4.32</v>
      </c>
      <c r="I44" s="23"/>
      <c r="J44" s="43"/>
      <c r="K44" s="44"/>
      <c r="L44" s="49"/>
    </row>
    <row r="45" spans="2:12">
      <c r="B45" s="20"/>
      <c r="C45" s="35"/>
      <c r="D45" s="23"/>
      <c r="E45" s="22"/>
      <c r="F45" s="22"/>
      <c r="G45" s="33"/>
      <c r="H45" s="22">
        <f>SUM(H44:H44)</f>
        <v>4.32</v>
      </c>
      <c r="I45" s="23" t="s">
        <v>48</v>
      </c>
      <c r="J45" s="45">
        <v>386.42</v>
      </c>
      <c r="K45" s="44">
        <f>H45*J45</f>
        <v>1669.3344000000002</v>
      </c>
      <c r="L45" s="49"/>
    </row>
    <row r="46" spans="2:12">
      <c r="B46" s="20"/>
      <c r="C46" s="27" t="s">
        <v>31</v>
      </c>
      <c r="D46" s="23"/>
      <c r="E46" s="22"/>
      <c r="F46" s="22"/>
      <c r="G46" s="33"/>
      <c r="H46" s="22"/>
      <c r="I46" s="23"/>
      <c r="J46" s="43"/>
      <c r="K46" s="44">
        <f>5512.64*H45*0.13/100</f>
        <v>30.958986240000009</v>
      </c>
      <c r="L46" s="49"/>
    </row>
    <row r="47" spans="2:12">
      <c r="B47" s="20"/>
      <c r="C47" s="27" t="s">
        <v>32</v>
      </c>
      <c r="D47" s="23"/>
      <c r="E47" s="22"/>
      <c r="F47" s="22"/>
      <c r="G47" s="33"/>
      <c r="H47" s="22"/>
      <c r="I47" s="23"/>
      <c r="J47" s="43"/>
      <c r="K47" s="44">
        <f>4989.3*H45*0.13/100</f>
        <v>28.019908800000003</v>
      </c>
      <c r="L47" s="49"/>
    </row>
    <row r="48" spans="2:12">
      <c r="B48" s="36"/>
      <c r="C48" s="27"/>
      <c r="D48" s="29"/>
      <c r="E48" s="22"/>
      <c r="F48" s="22"/>
      <c r="G48" s="33"/>
      <c r="H48" s="29"/>
      <c r="I48" s="29"/>
      <c r="J48" s="29"/>
      <c r="K48" s="29"/>
      <c r="L48" s="49"/>
    </row>
    <row r="49" spans="2:12">
      <c r="B49" s="20">
        <v>9</v>
      </c>
      <c r="C49" s="35" t="s">
        <v>49</v>
      </c>
      <c r="D49" s="23">
        <v>1</v>
      </c>
      <c r="E49" s="22"/>
      <c r="F49" s="22"/>
      <c r="G49" s="33"/>
      <c r="H49" s="22">
        <f>+D49</f>
        <v>1</v>
      </c>
      <c r="I49" s="23" t="s">
        <v>43</v>
      </c>
      <c r="J49" s="45">
        <v>2000</v>
      </c>
      <c r="K49" s="44">
        <f>H49*J49</f>
        <v>2000</v>
      </c>
      <c r="L49" s="49"/>
    </row>
    <row r="50" spans="2:12">
      <c r="B50" s="20"/>
      <c r="C50" s="35"/>
      <c r="D50" s="23"/>
      <c r="E50" s="22"/>
      <c r="F50" s="22"/>
      <c r="G50" s="33"/>
      <c r="H50" s="22"/>
      <c r="I50" s="23"/>
      <c r="J50" s="45"/>
      <c r="K50" s="44"/>
      <c r="L50" s="49"/>
    </row>
    <row r="51" spans="2:12">
      <c r="B51" s="36">
        <v>10</v>
      </c>
      <c r="C51" s="25" t="s">
        <v>54</v>
      </c>
      <c r="D51" s="23">
        <v>7</v>
      </c>
      <c r="E51" s="50">
        <v>1</v>
      </c>
      <c r="F51" s="28"/>
      <c r="G51" s="22">
        <v>1.5</v>
      </c>
      <c r="H51" s="46">
        <f>D51*E51*G51</f>
        <v>10.5</v>
      </c>
      <c r="I51" s="23" t="s">
        <v>19</v>
      </c>
      <c r="J51" s="45">
        <v>177.66</v>
      </c>
      <c r="K51" s="44">
        <f>H51*J51</f>
        <v>1865.43</v>
      </c>
      <c r="L51" s="49"/>
    </row>
    <row r="52" spans="2:12">
      <c r="B52" s="36"/>
      <c r="C52" s="65" t="s">
        <v>62</v>
      </c>
      <c r="D52" s="23"/>
      <c r="E52" s="50"/>
      <c r="F52" s="28"/>
      <c r="G52" s="22"/>
      <c r="H52" s="46"/>
      <c r="I52" s="23"/>
      <c r="J52" s="45"/>
      <c r="K52" s="44">
        <f>1871.42*H51*0.13/18.94</f>
        <v>134.87266631467793</v>
      </c>
      <c r="L52" s="49"/>
    </row>
    <row r="53" spans="2:12">
      <c r="B53" s="36"/>
      <c r="C53" s="25"/>
      <c r="D53" s="23"/>
      <c r="E53" s="50"/>
      <c r="F53" s="28"/>
      <c r="G53" s="22"/>
      <c r="H53" s="46"/>
      <c r="I53" s="23"/>
      <c r="J53" s="45"/>
      <c r="K53" s="44"/>
      <c r="L53" s="49"/>
    </row>
    <row r="54" spans="2:12">
      <c r="B54" s="36">
        <v>11</v>
      </c>
      <c r="C54" s="25" t="s">
        <v>55</v>
      </c>
      <c r="D54" s="23">
        <v>1</v>
      </c>
      <c r="E54" s="46">
        <v>10</v>
      </c>
      <c r="F54" s="28"/>
      <c r="G54" s="22"/>
      <c r="H54" s="29">
        <f>D54*E54</f>
        <v>10</v>
      </c>
      <c r="I54" s="23" t="s">
        <v>56</v>
      </c>
      <c r="J54" s="45">
        <v>79.47</v>
      </c>
      <c r="K54" s="44">
        <f>H54*J54</f>
        <v>794.7</v>
      </c>
      <c r="L54" s="49"/>
    </row>
    <row r="55" spans="2:12">
      <c r="B55" s="20"/>
      <c r="C55" s="66" t="s">
        <v>63</v>
      </c>
      <c r="D55" s="23"/>
      <c r="E55" s="22"/>
      <c r="F55" s="22"/>
      <c r="G55" s="33"/>
      <c r="H55" s="22"/>
      <c r="I55" s="23"/>
      <c r="J55" s="45"/>
      <c r="K55" s="44">
        <f>1992.14/100*H54*0.13</f>
        <v>25.897820000000003</v>
      </c>
      <c r="L55" s="49"/>
    </row>
    <row r="56" spans="2:12">
      <c r="B56" s="20"/>
      <c r="C56" s="35"/>
      <c r="D56" s="23"/>
      <c r="E56" s="22"/>
      <c r="F56" s="22"/>
      <c r="G56" s="33"/>
      <c r="H56" s="22"/>
      <c r="I56" s="23"/>
      <c r="J56" s="45"/>
      <c r="K56" s="44"/>
      <c r="L56" s="49"/>
    </row>
    <row r="57" spans="2:12">
      <c r="B57" s="63">
        <v>12</v>
      </c>
      <c r="C57" s="64" t="s">
        <v>57</v>
      </c>
      <c r="D57" s="23">
        <v>1</v>
      </c>
      <c r="E57" s="22"/>
      <c r="F57" s="28"/>
      <c r="G57" s="22"/>
      <c r="H57" s="22">
        <v>10000</v>
      </c>
      <c r="I57" s="23" t="s">
        <v>58</v>
      </c>
      <c r="J57" s="22">
        <v>11</v>
      </c>
      <c r="K57" s="22">
        <f>H57*J57</f>
        <v>110000</v>
      </c>
      <c r="L57" s="49"/>
    </row>
    <row r="58" spans="2:12">
      <c r="B58" s="31"/>
      <c r="C58" s="60" t="s">
        <v>59</v>
      </c>
      <c r="D58" s="23"/>
      <c r="E58" s="22"/>
      <c r="F58" s="22"/>
      <c r="G58" s="22"/>
      <c r="H58" s="22"/>
      <c r="I58" s="23"/>
      <c r="J58" s="22"/>
      <c r="K58" s="22">
        <f>0.13*K57</f>
        <v>14300</v>
      </c>
      <c r="L58" s="49"/>
    </row>
    <row r="59" spans="2:12">
      <c r="B59" s="36"/>
      <c r="C59" s="25"/>
      <c r="D59" s="23"/>
      <c r="E59" s="50"/>
      <c r="F59" s="28"/>
      <c r="G59" s="22"/>
      <c r="H59" s="46"/>
      <c r="I59" s="23"/>
      <c r="J59" s="45"/>
      <c r="K59" s="44"/>
      <c r="L59" s="49"/>
    </row>
    <row r="60" spans="2:12">
      <c r="B60" s="59">
        <v>12</v>
      </c>
      <c r="C60" s="58" t="s">
        <v>40</v>
      </c>
      <c r="D60" s="23">
        <v>1</v>
      </c>
      <c r="E60" s="50"/>
      <c r="F60" s="28"/>
      <c r="G60" s="28"/>
      <c r="H60" s="46">
        <v>1</v>
      </c>
      <c r="I60" s="23" t="s">
        <v>41</v>
      </c>
      <c r="J60" s="45">
        <v>500</v>
      </c>
      <c r="K60" s="44">
        <f>H60*J60</f>
        <v>500</v>
      </c>
      <c r="L60" s="49"/>
    </row>
    <row r="61" spans="2:12" ht="17.25" thickBot="1">
      <c r="B61" s="37"/>
      <c r="C61" s="51"/>
      <c r="D61" s="38"/>
      <c r="E61" s="39"/>
      <c r="F61" s="40"/>
      <c r="G61" s="39"/>
      <c r="H61" s="39"/>
      <c r="I61" s="38"/>
      <c r="J61" s="39"/>
      <c r="K61" s="41">
        <f>SUM(K12:K60)</f>
        <v>226129.27305213467</v>
      </c>
      <c r="L61" s="42"/>
    </row>
    <row r="62" spans="2:12" ht="17.25" thickBot="1">
      <c r="C62" s="9"/>
      <c r="D62" s="10"/>
      <c r="E62" s="10"/>
      <c r="F62" s="10"/>
      <c r="G62" s="10"/>
      <c r="H62" s="10"/>
      <c r="I62" s="10"/>
      <c r="J62" s="10"/>
      <c r="K62" s="11"/>
      <c r="L62" s="8"/>
    </row>
    <row r="63" spans="2:12">
      <c r="C63" s="5"/>
      <c r="F63" s="2"/>
      <c r="I63" s="104" t="s">
        <v>12</v>
      </c>
      <c r="J63" s="105"/>
      <c r="K63" s="106" t="s">
        <v>13</v>
      </c>
      <c r="L63" s="105" t="s">
        <v>81</v>
      </c>
    </row>
    <row r="64" spans="2:12">
      <c r="C64" s="5"/>
      <c r="I64" s="107" t="s">
        <v>14</v>
      </c>
      <c r="J64" s="108"/>
      <c r="K64" s="109">
        <f>+K61</f>
        <v>226129.27305213467</v>
      </c>
      <c r="L64" s="109"/>
    </row>
    <row r="65" spans="3:12">
      <c r="C65" s="5"/>
      <c r="I65" s="36" t="s">
        <v>15</v>
      </c>
      <c r="J65" s="29"/>
      <c r="K65" s="56">
        <v>200000</v>
      </c>
      <c r="L65" s="44">
        <v>100</v>
      </c>
    </row>
    <row r="66" spans="3:12">
      <c r="C66" s="5"/>
      <c r="I66" s="36" t="s">
        <v>20</v>
      </c>
      <c r="J66" s="29"/>
      <c r="K66" s="56">
        <f>0.95*K65</f>
        <v>190000</v>
      </c>
      <c r="L66" s="44">
        <f>K66/K64*100</f>
        <v>84.02273506455532</v>
      </c>
    </row>
    <row r="67" spans="3:12">
      <c r="C67" s="5"/>
      <c r="I67" s="36" t="s">
        <v>16</v>
      </c>
      <c r="J67" s="29"/>
      <c r="K67" s="56">
        <f>K64-K66</f>
        <v>36129.273052134668</v>
      </c>
      <c r="L67" s="44">
        <f>K67/K64*100</f>
        <v>15.97726493544468</v>
      </c>
    </row>
    <row r="68" spans="3:12">
      <c r="C68" s="5"/>
      <c r="I68" s="36" t="s">
        <v>21</v>
      </c>
      <c r="J68" s="29"/>
      <c r="K68" s="56">
        <f>L68*K65/100</f>
        <v>4000</v>
      </c>
      <c r="L68" s="44">
        <v>2</v>
      </c>
    </row>
    <row r="69" spans="3:12" ht="17.25" thickBot="1">
      <c r="C69" s="5"/>
      <c r="I69" s="110" t="s">
        <v>22</v>
      </c>
      <c r="J69" s="111"/>
      <c r="K69" s="112">
        <f>L69*K65/100</f>
        <v>6000</v>
      </c>
      <c r="L69" s="113">
        <v>3</v>
      </c>
    </row>
    <row r="70" spans="3:12">
      <c r="G70" s="102"/>
    </row>
  </sheetData>
  <mergeCells count="7">
    <mergeCell ref="B9:G9"/>
    <mergeCell ref="I9:L9"/>
    <mergeCell ref="A4:L4"/>
    <mergeCell ref="A5:L5"/>
    <mergeCell ref="A6:L6"/>
    <mergeCell ref="A7:L7"/>
    <mergeCell ref="K8:L8"/>
  </mergeCells>
  <pageMargins left="0.43307086614173201" right="0.23622047244094499" top="0.74803149606299202" bottom="0.74803149606299202" header="0.31496062992126" footer="0.31496062992126"/>
  <pageSetup scale="85" fitToHeight="5" orientation="portrait" r:id="rId1"/>
  <headerFooter>
    <oddFooter>&amp;LPrepared By
Nitesh Basukala
Sub Engineer&amp;CChecked By         Submitted By
Nabin KC   Prakash Singh Saud
Engineer                        Engineer&amp;RApproved By
Basudev Khanal
CAO</oddFooter>
  </headerFooter>
  <rowBreaks count="1" manualBreakCount="1">
    <brk id="4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view="pageBreakPreview" zoomScale="60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41" t="s">
        <v>11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ht="25.5">
      <c r="A2" s="142" t="s">
        <v>64</v>
      </c>
      <c r="B2" s="142"/>
      <c r="C2" s="142"/>
      <c r="D2" s="142"/>
      <c r="E2" s="142"/>
      <c r="F2" s="142"/>
      <c r="G2" s="142"/>
      <c r="H2" s="142"/>
      <c r="I2" s="142"/>
      <c r="J2" s="142"/>
    </row>
    <row r="3" spans="1:10" ht="18.75">
      <c r="A3" s="143" t="s">
        <v>65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>
      <c r="A4" s="144" t="s">
        <v>66</v>
      </c>
      <c r="B4" s="144"/>
      <c r="C4" s="144"/>
      <c r="D4" s="144"/>
      <c r="E4" s="144"/>
      <c r="F4" s="144"/>
      <c r="G4" s="144"/>
      <c r="H4" s="144"/>
      <c r="I4" s="144"/>
      <c r="J4" s="144"/>
    </row>
    <row r="5" spans="1:10">
      <c r="A5" s="73"/>
      <c r="B5" s="73"/>
      <c r="C5" s="73"/>
      <c r="D5" s="73"/>
      <c r="E5" s="73"/>
      <c r="F5" s="73"/>
      <c r="G5" s="73"/>
      <c r="H5" s="73"/>
      <c r="I5" s="73"/>
      <c r="J5" s="73"/>
    </row>
    <row r="6" spans="1:10" ht="15.75">
      <c r="A6" s="67" t="s">
        <v>67</v>
      </c>
      <c r="B6" s="67"/>
      <c r="C6" s="145" t="e">
        <f>E51</f>
        <v>#REF!</v>
      </c>
      <c r="D6" s="146"/>
      <c r="E6" s="67"/>
      <c r="F6" s="67"/>
      <c r="G6" s="67" t="s">
        <v>68</v>
      </c>
      <c r="H6" s="67"/>
      <c r="I6" s="145">
        <f>H51</f>
        <v>226129.27305213467</v>
      </c>
      <c r="J6" s="146"/>
    </row>
    <row r="7" spans="1:10">
      <c r="A7" s="68"/>
      <c r="B7" s="68"/>
      <c r="C7" s="147"/>
      <c r="D7" s="147"/>
      <c r="E7" s="147"/>
      <c r="F7" s="147"/>
      <c r="H7" s="148"/>
      <c r="I7" s="148"/>
      <c r="J7" s="148"/>
    </row>
    <row r="8" spans="1:10" ht="16.5">
      <c r="A8" t="s">
        <v>69</v>
      </c>
      <c r="B8" s="69" t="str">
        <f>valuation!C8</f>
        <v>hut] vfg]kfgL</v>
      </c>
      <c r="D8" s="70"/>
      <c r="G8" s="71"/>
      <c r="J8" s="72" t="s">
        <v>70</v>
      </c>
    </row>
    <row r="9" spans="1:10">
      <c r="A9" t="s">
        <v>71</v>
      </c>
      <c r="D9" s="70"/>
      <c r="G9" s="71"/>
      <c r="J9" s="72" t="s">
        <v>83</v>
      </c>
    </row>
    <row r="10" spans="1:10">
      <c r="A10" s="149" t="s">
        <v>72</v>
      </c>
      <c r="B10" s="149" t="s">
        <v>12</v>
      </c>
      <c r="C10" s="151" t="s">
        <v>73</v>
      </c>
      <c r="D10" s="151"/>
      <c r="E10" s="151"/>
      <c r="F10" s="151" t="s">
        <v>74</v>
      </c>
      <c r="G10" s="151"/>
      <c r="H10" s="151"/>
      <c r="I10" s="149" t="s">
        <v>75</v>
      </c>
      <c r="J10" s="149" t="s">
        <v>10</v>
      </c>
    </row>
    <row r="11" spans="1:10">
      <c r="A11" s="150"/>
      <c r="B11" s="150"/>
      <c r="C11" s="75" t="s">
        <v>76</v>
      </c>
      <c r="D11" s="76" t="s">
        <v>8</v>
      </c>
      <c r="E11" s="75" t="s">
        <v>77</v>
      </c>
      <c r="F11" s="75" t="s">
        <v>76</v>
      </c>
      <c r="G11" s="75" t="s">
        <v>8</v>
      </c>
      <c r="H11" s="75" t="s">
        <v>78</v>
      </c>
      <c r="I11" s="150"/>
      <c r="J11" s="150"/>
    </row>
    <row r="12" spans="1:10" ht="15.75">
      <c r="A12" s="83">
        <v>1</v>
      </c>
      <c r="B12" s="84" t="s">
        <v>52</v>
      </c>
      <c r="C12" s="77" t="e">
        <f>ESTIMATE!#REF!</f>
        <v>#REF!</v>
      </c>
      <c r="D12" s="77" t="e">
        <f>ESTIMATE!#REF!</f>
        <v>#REF!</v>
      </c>
      <c r="E12" s="77" t="e">
        <f>ESTIMATE!#REF!</f>
        <v>#REF!</v>
      </c>
      <c r="F12" s="77">
        <f>valuation!H12</f>
        <v>4.25</v>
      </c>
      <c r="G12" s="77">
        <f>valuation!J12</f>
        <v>627.27</v>
      </c>
      <c r="H12" s="77">
        <f>valuation!K12</f>
        <v>2665.8975</v>
      </c>
      <c r="I12" s="78" t="e">
        <f>F12-C12</f>
        <v>#REF!</v>
      </c>
      <c r="J12" s="79"/>
    </row>
    <row r="13" spans="1:10" ht="15.75">
      <c r="A13" s="85"/>
      <c r="B13" s="86"/>
      <c r="C13" s="79"/>
      <c r="D13" s="79"/>
      <c r="E13" s="79"/>
      <c r="F13" s="79"/>
      <c r="G13" s="79"/>
      <c r="H13" s="79"/>
      <c r="I13" s="78"/>
      <c r="J13" s="79"/>
    </row>
    <row r="14" spans="1:10" ht="31.5">
      <c r="A14" s="85">
        <v>2</v>
      </c>
      <c r="B14" s="86" t="s">
        <v>51</v>
      </c>
      <c r="C14" s="77">
        <f>ESTIMATE!H10</f>
        <v>1.35</v>
      </c>
      <c r="D14" s="77">
        <f>ESTIMATE!J10</f>
        <v>9900</v>
      </c>
      <c r="E14" s="77">
        <f>ESTIMATE!K10</f>
        <v>13365</v>
      </c>
      <c r="F14" s="77">
        <f>valuation!H14</f>
        <v>0.72900000000000009</v>
      </c>
      <c r="G14" s="77">
        <f>valuation!J14</f>
        <v>9570</v>
      </c>
      <c r="H14" s="77">
        <f>valuation!K14</f>
        <v>6976.5300000000007</v>
      </c>
      <c r="I14" s="78">
        <f>F14-C14</f>
        <v>-0.621</v>
      </c>
      <c r="J14" s="79"/>
    </row>
    <row r="15" spans="1:10" ht="15.75">
      <c r="A15" s="85"/>
      <c r="B15" s="86"/>
      <c r="C15" s="77"/>
      <c r="D15" s="79"/>
      <c r="E15" s="79"/>
      <c r="F15" s="79"/>
      <c r="G15" s="79"/>
      <c r="H15" s="79"/>
      <c r="I15" s="78"/>
      <c r="J15" s="79"/>
    </row>
    <row r="16" spans="1:10" ht="15.75">
      <c r="A16" s="85">
        <v>3</v>
      </c>
      <c r="B16" s="87" t="s">
        <v>44</v>
      </c>
      <c r="C16" s="77">
        <f>ESTIMATE!H14</f>
        <v>21</v>
      </c>
      <c r="D16" s="77">
        <f>ESTIMATE!J14</f>
        <v>97.2</v>
      </c>
      <c r="E16" s="77">
        <f>ESTIMATE!K14</f>
        <v>2041.2</v>
      </c>
      <c r="F16" s="77">
        <f>valuation!H17</f>
        <v>1.5299999999999998</v>
      </c>
      <c r="G16" s="77">
        <f>valuation!J17</f>
        <v>4567.63</v>
      </c>
      <c r="H16" s="77">
        <f>valuation!K17</f>
        <v>6988.473899999999</v>
      </c>
      <c r="I16" s="78">
        <f>F16-C16</f>
        <v>-19.47</v>
      </c>
      <c r="J16" s="79"/>
    </row>
    <row r="17" spans="1:13" ht="15.75">
      <c r="A17" s="85"/>
      <c r="B17" s="88" t="s">
        <v>45</v>
      </c>
      <c r="C17" s="79"/>
      <c r="D17" s="79"/>
      <c r="E17" s="77">
        <f>ESTIMATE!K15</f>
        <v>0</v>
      </c>
      <c r="F17" s="79"/>
      <c r="G17" s="79"/>
      <c r="H17" s="77">
        <f>valuation!K18</f>
        <v>648.93909599999995</v>
      </c>
      <c r="I17" s="78"/>
      <c r="J17" s="79"/>
    </row>
    <row r="18" spans="1:13" ht="15.75">
      <c r="A18" s="85"/>
      <c r="B18" s="88"/>
      <c r="C18" s="79"/>
      <c r="D18" s="79"/>
      <c r="E18" s="79"/>
      <c r="F18" s="79"/>
      <c r="G18" s="79"/>
      <c r="H18" s="79"/>
      <c r="I18" s="78"/>
      <c r="J18" s="79"/>
    </row>
    <row r="19" spans="1:13" ht="15.75">
      <c r="A19" s="85">
        <v>4</v>
      </c>
      <c r="B19" s="87" t="s">
        <v>50</v>
      </c>
      <c r="C19" s="77" t="e">
        <f>ESTIMATE!#REF!</f>
        <v>#REF!</v>
      </c>
      <c r="D19" s="77" t="e">
        <f>ESTIMATE!#REF!</f>
        <v>#REF!</v>
      </c>
      <c r="E19" s="77" t="e">
        <f>ESTIMATE!#REF!</f>
        <v>#REF!</v>
      </c>
      <c r="F19" s="77">
        <f>valuation!H22</f>
        <v>5.76</v>
      </c>
      <c r="G19" s="77">
        <f>valuation!J22</f>
        <v>5915.75</v>
      </c>
      <c r="H19" s="77">
        <f>valuation!K22</f>
        <v>34074.720000000001</v>
      </c>
      <c r="I19" s="78" t="e">
        <f>F19-C19</f>
        <v>#REF!</v>
      </c>
      <c r="J19" s="79"/>
      <c r="M19" s="74"/>
    </row>
    <row r="20" spans="1:13" ht="15.75">
      <c r="A20" s="85"/>
      <c r="B20" s="89" t="s">
        <v>45</v>
      </c>
      <c r="C20" s="79"/>
      <c r="D20" s="79"/>
      <c r="E20" s="77" t="e">
        <f>ESTIMATE!#REF!</f>
        <v>#REF!</v>
      </c>
      <c r="F20" s="79"/>
      <c r="G20" s="79"/>
      <c r="H20" s="77">
        <f>valuation!K23</f>
        <v>2239.4736000000003</v>
      </c>
      <c r="I20" s="78"/>
      <c r="J20" s="79"/>
    </row>
    <row r="21" spans="1:13" ht="15.75">
      <c r="A21" s="85"/>
      <c r="B21" s="88"/>
      <c r="C21" s="79"/>
      <c r="D21" s="79"/>
      <c r="E21" s="79"/>
      <c r="F21" s="79"/>
      <c r="G21" s="79"/>
      <c r="H21" s="79"/>
      <c r="I21" s="78"/>
      <c r="J21" s="79"/>
    </row>
    <row r="22" spans="1:13" ht="15.75">
      <c r="A22" s="85">
        <v>5</v>
      </c>
      <c r="B22" s="87" t="s">
        <v>60</v>
      </c>
      <c r="C22" s="77">
        <f>ESTIMATE!H19</f>
        <v>1.917987804878049</v>
      </c>
      <c r="D22" s="77">
        <f>ESTIMATE!J19</f>
        <v>14911.97</v>
      </c>
      <c r="E22" s="77">
        <f>ESTIMATE!K19</f>
        <v>28600.976606707318</v>
      </c>
      <c r="F22" s="77">
        <f>valuation!H26</f>
        <v>0.99360000000000026</v>
      </c>
      <c r="G22" s="77">
        <f>valuation!J26</f>
        <v>14627.37</v>
      </c>
      <c r="H22" s="77">
        <f>valuation!K26</f>
        <v>14533.754832000004</v>
      </c>
      <c r="I22" s="78">
        <f>F22-C22</f>
        <v>-0.92438780487804872</v>
      </c>
      <c r="J22" s="79"/>
    </row>
    <row r="23" spans="1:13" ht="15.75">
      <c r="A23" s="85"/>
      <c r="B23" s="89" t="s">
        <v>31</v>
      </c>
      <c r="C23" s="79"/>
      <c r="D23" s="79"/>
      <c r="E23" s="77">
        <f>ESTIMATE!K20</f>
        <v>359.82026615853664</v>
      </c>
      <c r="F23" s="79"/>
      <c r="G23" s="79"/>
      <c r="H23" s="77">
        <f>valuation!K27</f>
        <v>1132.1730201600005</v>
      </c>
      <c r="I23" s="78"/>
      <c r="J23" s="79"/>
    </row>
    <row r="24" spans="1:13" ht="15.75">
      <c r="A24" s="85"/>
      <c r="B24" s="89" t="s">
        <v>46</v>
      </c>
      <c r="C24" s="79"/>
      <c r="D24" s="79"/>
      <c r="E24" s="77">
        <f>ESTIMATE!K21</f>
        <v>175.0255935365854</v>
      </c>
      <c r="F24" s="79"/>
      <c r="G24" s="79"/>
      <c r="H24" s="77">
        <f>valuation!K28</f>
        <v>130.48163856000005</v>
      </c>
      <c r="I24" s="78"/>
      <c r="J24" s="79"/>
    </row>
    <row r="25" spans="1:13" ht="15.75">
      <c r="A25" s="85"/>
      <c r="B25" s="89" t="s">
        <v>32</v>
      </c>
      <c r="C25" s="79"/>
      <c r="D25" s="79"/>
      <c r="E25" s="77">
        <f>ESTIMATE!K22</f>
        <v>2185.4811248780493</v>
      </c>
      <c r="F25" s="79"/>
      <c r="G25" s="79"/>
      <c r="H25" s="77">
        <f>valuation!K29</f>
        <v>123.14489616000004</v>
      </c>
      <c r="I25" s="78"/>
      <c r="J25" s="79"/>
    </row>
    <row r="26" spans="1:13" ht="15.75">
      <c r="A26" s="85"/>
      <c r="B26" s="89"/>
      <c r="C26" s="79"/>
      <c r="D26" s="79"/>
      <c r="E26" s="79"/>
      <c r="F26" s="79"/>
      <c r="G26" s="79"/>
      <c r="H26" s="79"/>
      <c r="I26" s="78"/>
      <c r="J26" s="79"/>
    </row>
    <row r="27" spans="1:13" ht="31.5">
      <c r="A27" s="85">
        <v>6</v>
      </c>
      <c r="B27" s="90" t="s">
        <v>26</v>
      </c>
      <c r="C27" s="77">
        <f>ESTIMATE!H31</f>
        <v>3.0375000000000001</v>
      </c>
      <c r="D27" s="77">
        <f>ESTIMATE!J31</f>
        <v>17107.900000000001</v>
      </c>
      <c r="E27" s="77">
        <f>ESTIMATE!K31</f>
        <v>51965.246250000004</v>
      </c>
      <c r="F27" s="77">
        <f>valuation!H33</f>
        <v>1.161</v>
      </c>
      <c r="G27" s="77">
        <f>valuation!J33</f>
        <v>17171.03</v>
      </c>
      <c r="H27" s="77">
        <f>valuation!K33</f>
        <v>19935.56583</v>
      </c>
      <c r="I27" s="78">
        <f>F27-C27</f>
        <v>-1.8765000000000001</v>
      </c>
      <c r="J27" s="79"/>
    </row>
    <row r="28" spans="1:13" ht="15.75">
      <c r="A28" s="85"/>
      <c r="B28" s="89" t="s">
        <v>31</v>
      </c>
      <c r="C28" s="79"/>
      <c r="D28" s="79"/>
      <c r="E28" s="77">
        <f>ESTIMATE!K32</f>
        <v>2279.3764500000002</v>
      </c>
      <c r="F28" s="79"/>
      <c r="G28" s="79"/>
      <c r="H28" s="77">
        <f>valuation!K34</f>
        <v>871.22833200000002</v>
      </c>
      <c r="I28" s="78"/>
      <c r="J28" s="79"/>
    </row>
    <row r="29" spans="1:13" ht="15.75">
      <c r="A29" s="85"/>
      <c r="B29" s="89" t="s">
        <v>33</v>
      </c>
      <c r="C29" s="79"/>
      <c r="D29" s="79"/>
      <c r="E29" s="77">
        <f>ESTIMATE!K33</f>
        <v>420.72746625000002</v>
      </c>
      <c r="F29" s="79"/>
      <c r="G29" s="79"/>
      <c r="H29" s="77">
        <f>valuation!K35</f>
        <v>445.85174790000002</v>
      </c>
      <c r="I29" s="78"/>
      <c r="J29" s="79"/>
    </row>
    <row r="30" spans="1:13" ht="15.75">
      <c r="A30" s="85"/>
      <c r="B30" s="89" t="s">
        <v>32</v>
      </c>
      <c r="C30" s="79"/>
      <c r="D30" s="79"/>
      <c r="E30" s="77">
        <f>ESTIMATE!K34</f>
        <v>1166.4725962500002</v>
      </c>
      <c r="F30" s="79"/>
      <c r="G30" s="79"/>
      <c r="H30" s="77">
        <f>valuation!K36</f>
        <v>203.846058</v>
      </c>
      <c r="I30" s="78"/>
      <c r="J30" s="79"/>
    </row>
    <row r="31" spans="1:13" ht="15.75">
      <c r="A31" s="85"/>
      <c r="B31" s="89"/>
      <c r="C31" s="79"/>
      <c r="D31" s="79"/>
      <c r="E31" s="79"/>
      <c r="F31" s="79"/>
      <c r="G31" s="79"/>
      <c r="H31" s="79"/>
      <c r="I31" s="78"/>
      <c r="J31" s="79"/>
    </row>
    <row r="32" spans="1:13" ht="15.75">
      <c r="A32" s="87">
        <v>7</v>
      </c>
      <c r="B32" s="91" t="s">
        <v>27</v>
      </c>
      <c r="C32" s="78" t="e">
        <f>ESTIMATE!#REF!</f>
        <v>#REF!</v>
      </c>
      <c r="D32" s="77" t="e">
        <f>ESTIMATE!#REF!</f>
        <v>#REF!</v>
      </c>
      <c r="E32" s="77" t="e">
        <f>ESTIMATE!#REF!</f>
        <v>#REF!</v>
      </c>
      <c r="F32" s="78">
        <f>valuation!H40</f>
        <v>13.05</v>
      </c>
      <c r="G32" s="77">
        <f>valuation!J40</f>
        <v>282.27</v>
      </c>
      <c r="H32" s="77">
        <f>valuation!K40</f>
        <v>3683.6235000000001</v>
      </c>
      <c r="I32" s="78" t="e">
        <f>F32-C32</f>
        <v>#REF!</v>
      </c>
      <c r="J32" s="79"/>
    </row>
    <row r="33" spans="1:10" ht="15.75">
      <c r="A33" s="87"/>
      <c r="B33" s="89" t="s">
        <v>31</v>
      </c>
      <c r="C33" s="79"/>
      <c r="D33" s="79"/>
      <c r="E33" s="77">
        <f>ESTIMATE!K37</f>
        <v>329.24326500000001</v>
      </c>
      <c r="F33" s="79"/>
      <c r="G33" s="79"/>
      <c r="H33" s="77">
        <f>valuation!K41</f>
        <v>126.35532000000001</v>
      </c>
      <c r="I33" s="78"/>
      <c r="J33" s="79"/>
    </row>
    <row r="34" spans="1:10" ht="15.75">
      <c r="A34" s="85"/>
      <c r="B34" s="89"/>
      <c r="C34" s="79"/>
      <c r="D34" s="79"/>
      <c r="E34" s="79"/>
      <c r="F34" s="79"/>
      <c r="G34" s="79"/>
      <c r="H34" s="79"/>
      <c r="I34" s="78"/>
      <c r="J34" s="79"/>
    </row>
    <row r="35" spans="1:10" ht="15.75">
      <c r="A35" s="85">
        <v>8</v>
      </c>
      <c r="B35" s="86" t="s">
        <v>47</v>
      </c>
      <c r="C35" s="77">
        <f>ESTIMATE!H43</f>
        <v>22.5</v>
      </c>
      <c r="D35" s="77">
        <f>ESTIMATE!J43</f>
        <v>402.23</v>
      </c>
      <c r="E35" s="77">
        <f>ESTIMATE!K43</f>
        <v>9050.1750000000011</v>
      </c>
      <c r="F35" s="77">
        <f>valuation!H45</f>
        <v>4.32</v>
      </c>
      <c r="G35" s="77">
        <f>valuation!J45</f>
        <v>386.42</v>
      </c>
      <c r="H35" s="77">
        <f>valuation!K45</f>
        <v>1669.3344000000002</v>
      </c>
      <c r="I35" s="78">
        <f>F35-C35</f>
        <v>-18.18</v>
      </c>
      <c r="J35" s="79"/>
    </row>
    <row r="36" spans="1:10" ht="15.75">
      <c r="A36" s="85"/>
      <c r="B36" s="89" t="s">
        <v>31</v>
      </c>
      <c r="C36" s="79"/>
      <c r="D36" s="79"/>
      <c r="E36" s="77">
        <f>ESTIMATE!K44</f>
        <v>227.0931975</v>
      </c>
      <c r="F36" s="79"/>
      <c r="G36" s="79"/>
      <c r="H36" s="77">
        <f>valuation!K46</f>
        <v>30.958986240000009</v>
      </c>
      <c r="I36" s="78"/>
      <c r="J36" s="79"/>
    </row>
    <row r="37" spans="1:10" ht="15.75">
      <c r="A37" s="85"/>
      <c r="B37" s="89" t="s">
        <v>32</v>
      </c>
      <c r="C37" s="79"/>
      <c r="D37" s="79"/>
      <c r="E37" s="77">
        <f>ESTIMATE!K45</f>
        <v>107.0617275</v>
      </c>
      <c r="F37" s="79"/>
      <c r="G37" s="79"/>
      <c r="H37" s="77">
        <f>valuation!K47</f>
        <v>28.019908800000003</v>
      </c>
      <c r="I37" s="78"/>
      <c r="J37" s="79"/>
    </row>
    <row r="38" spans="1:10" ht="15.75">
      <c r="A38" s="87"/>
      <c r="B38" s="89"/>
      <c r="C38" s="79"/>
      <c r="D38" s="79"/>
      <c r="E38" s="79"/>
      <c r="F38" s="79"/>
      <c r="G38" s="79"/>
      <c r="H38" s="79"/>
      <c r="I38" s="78"/>
      <c r="J38" s="79"/>
    </row>
    <row r="39" spans="1:10" ht="15.75">
      <c r="A39" s="85">
        <v>9</v>
      </c>
      <c r="B39" s="86" t="s">
        <v>49</v>
      </c>
      <c r="C39" s="77">
        <f>ESTIMATE!H54</f>
        <v>1</v>
      </c>
      <c r="D39" s="77">
        <f>ESTIMATE!J54</f>
        <v>4659</v>
      </c>
      <c r="E39" s="77">
        <f>ESTIMATE!K54</f>
        <v>4659</v>
      </c>
      <c r="F39" s="77">
        <f>valuation!H49</f>
        <v>1</v>
      </c>
      <c r="G39" s="77">
        <f>valuation!J49</f>
        <v>2000</v>
      </c>
      <c r="H39" s="77">
        <f>valuation!K49</f>
        <v>2000</v>
      </c>
      <c r="I39" s="78">
        <f>F39-C39</f>
        <v>0</v>
      </c>
      <c r="J39" s="79"/>
    </row>
    <row r="40" spans="1:10" ht="15.75">
      <c r="A40" s="85"/>
      <c r="B40" s="86"/>
      <c r="C40" s="79"/>
      <c r="D40" s="79"/>
      <c r="E40" s="79"/>
      <c r="F40" s="79"/>
      <c r="G40" s="79"/>
      <c r="H40" s="79"/>
      <c r="I40" s="78"/>
      <c r="J40" s="79"/>
    </row>
    <row r="41" spans="1:10" ht="15.75">
      <c r="A41" s="87">
        <v>10</v>
      </c>
      <c r="B41" s="91" t="s">
        <v>54</v>
      </c>
      <c r="C41" s="78" t="e">
        <f>ESTIMATE!#REF!</f>
        <v>#REF!</v>
      </c>
      <c r="D41" s="77" t="e">
        <f>ESTIMATE!#REF!</f>
        <v>#REF!</v>
      </c>
      <c r="E41" s="77" t="e">
        <f>ESTIMATE!#REF!</f>
        <v>#REF!</v>
      </c>
      <c r="F41" s="78">
        <f>valuation!H51</f>
        <v>10.5</v>
      </c>
      <c r="G41" s="77">
        <f>valuation!J51</f>
        <v>177.66</v>
      </c>
      <c r="H41" s="77">
        <f>valuation!K51</f>
        <v>1865.43</v>
      </c>
      <c r="I41" s="78" t="e">
        <f>F41-C41</f>
        <v>#REF!</v>
      </c>
      <c r="J41" s="79"/>
    </row>
    <row r="42" spans="1:10" ht="15.75">
      <c r="A42" s="87"/>
      <c r="B42" s="92" t="s">
        <v>62</v>
      </c>
      <c r="C42" s="79"/>
      <c r="D42" s="77"/>
      <c r="E42" s="77" t="e">
        <f>ESTIMATE!#REF!</f>
        <v>#REF!</v>
      </c>
      <c r="F42" s="79"/>
      <c r="G42" s="79"/>
      <c r="H42" s="77">
        <f>valuation!K52</f>
        <v>134.87266631467793</v>
      </c>
      <c r="I42" s="78"/>
      <c r="J42" s="79"/>
    </row>
    <row r="43" spans="1:10" ht="15.75">
      <c r="A43" s="87"/>
      <c r="B43" s="91"/>
      <c r="C43" s="79"/>
      <c r="D43" s="79"/>
      <c r="E43" s="79"/>
      <c r="F43" s="79"/>
      <c r="G43" s="79"/>
      <c r="H43" s="79"/>
      <c r="I43" s="78"/>
      <c r="J43" s="79"/>
    </row>
    <row r="44" spans="1:10" ht="15.75">
      <c r="A44" s="87">
        <v>11</v>
      </c>
      <c r="B44" s="91" t="s">
        <v>55</v>
      </c>
      <c r="C44" s="79" t="e">
        <f>ESTIMATE!#REF!</f>
        <v>#REF!</v>
      </c>
      <c r="D44" s="77" t="e">
        <f>ESTIMATE!#REF!</f>
        <v>#REF!</v>
      </c>
      <c r="E44" s="77" t="e">
        <f>ESTIMATE!#REF!</f>
        <v>#REF!</v>
      </c>
      <c r="F44" s="79">
        <f>valuation!H54</f>
        <v>10</v>
      </c>
      <c r="G44" s="77">
        <f>valuation!J54</f>
        <v>79.47</v>
      </c>
      <c r="H44" s="77">
        <f>valuation!K54</f>
        <v>794.7</v>
      </c>
      <c r="I44" s="78" t="e">
        <f>F44-C44</f>
        <v>#REF!</v>
      </c>
      <c r="J44" s="79"/>
    </row>
    <row r="45" spans="1:10" ht="15.75">
      <c r="A45" s="85"/>
      <c r="B45" s="93" t="s">
        <v>63</v>
      </c>
      <c r="C45" s="79"/>
      <c r="D45" s="79"/>
      <c r="E45" s="77" t="e">
        <f>ESTIMATE!#REF!</f>
        <v>#REF!</v>
      </c>
      <c r="F45" s="79"/>
      <c r="G45" s="79"/>
      <c r="H45" s="77">
        <f>valuation!K55</f>
        <v>25.897820000000003</v>
      </c>
      <c r="I45" s="78"/>
      <c r="J45" s="79"/>
    </row>
    <row r="46" spans="1:10" ht="15.75">
      <c r="A46" s="85"/>
      <c r="B46" s="86"/>
      <c r="C46" s="79"/>
      <c r="D46" s="79"/>
      <c r="E46" s="79"/>
      <c r="F46" s="79"/>
      <c r="G46" s="79"/>
      <c r="H46" s="79"/>
      <c r="I46" s="78"/>
      <c r="J46" s="79"/>
    </row>
    <row r="47" spans="1:10" ht="15.75">
      <c r="A47" s="94">
        <v>12</v>
      </c>
      <c r="B47" s="95" t="s">
        <v>57</v>
      </c>
      <c r="C47" s="77" t="e">
        <f>ESTIMATE!#REF!</f>
        <v>#REF!</v>
      </c>
      <c r="D47" s="77" t="e">
        <f>ESTIMATE!#REF!</f>
        <v>#REF!</v>
      </c>
      <c r="E47" s="77" t="e">
        <f>ESTIMATE!#REF!</f>
        <v>#REF!</v>
      </c>
      <c r="F47" s="77">
        <f>valuation!H57</f>
        <v>10000</v>
      </c>
      <c r="G47" s="77">
        <f>valuation!J57</f>
        <v>11</v>
      </c>
      <c r="H47" s="77">
        <f>valuation!K57</f>
        <v>110000</v>
      </c>
      <c r="I47" s="78" t="e">
        <f>F47-C47</f>
        <v>#REF!</v>
      </c>
      <c r="J47" s="79"/>
    </row>
    <row r="48" spans="1:10" ht="15.75">
      <c r="A48" s="83"/>
      <c r="B48" s="96" t="s">
        <v>59</v>
      </c>
      <c r="C48" s="79"/>
      <c r="D48" s="79"/>
      <c r="E48" s="77" t="e">
        <f>ESTIMATE!#REF!</f>
        <v>#REF!</v>
      </c>
      <c r="F48" s="79"/>
      <c r="G48" s="79"/>
      <c r="H48" s="77">
        <f>valuation!K58</f>
        <v>14300</v>
      </c>
      <c r="I48" s="78"/>
      <c r="J48" s="79"/>
    </row>
    <row r="49" spans="1:10" ht="15.75">
      <c r="A49" s="87"/>
      <c r="B49" s="91"/>
      <c r="C49" s="79"/>
      <c r="D49" s="79"/>
      <c r="E49" s="79"/>
      <c r="F49" s="79"/>
      <c r="G49" s="79"/>
      <c r="H49" s="79"/>
      <c r="I49" s="78"/>
      <c r="J49" s="79"/>
    </row>
    <row r="50" spans="1:10" ht="15.75">
      <c r="A50" s="85">
        <v>12</v>
      </c>
      <c r="B50" s="97" t="s">
        <v>40</v>
      </c>
      <c r="C50" s="79">
        <v>1</v>
      </c>
      <c r="D50" s="79">
        <v>500</v>
      </c>
      <c r="E50" s="79">
        <v>500</v>
      </c>
      <c r="F50" s="78">
        <f>valuation!H60</f>
        <v>1</v>
      </c>
      <c r="G50" s="77">
        <f>valuation!J60</f>
        <v>500</v>
      </c>
      <c r="H50" s="77">
        <f>valuation!K60</f>
        <v>500</v>
      </c>
      <c r="I50" s="78">
        <f>F50-C50</f>
        <v>0</v>
      </c>
      <c r="J50" s="79"/>
    </row>
    <row r="51" spans="1:10" ht="15.75">
      <c r="A51" s="80"/>
      <c r="B51" s="81" t="s">
        <v>79</v>
      </c>
      <c r="C51" s="81"/>
      <c r="D51" s="81"/>
      <c r="E51" s="82" t="e">
        <f>SUM(E12:E50)</f>
        <v>#REF!</v>
      </c>
      <c r="F51" s="81"/>
      <c r="G51" s="81"/>
      <c r="H51" s="82">
        <f>SUM(H12:H50)</f>
        <v>226129.27305213467</v>
      </c>
      <c r="I51" s="81"/>
      <c r="J51" s="81"/>
    </row>
  </sheetData>
  <mergeCells count="15">
    <mergeCell ref="C7:D7"/>
    <mergeCell ref="E7:F7"/>
    <mergeCell ref="H7:J7"/>
    <mergeCell ref="A10:A11"/>
    <mergeCell ref="B10:B11"/>
    <mergeCell ref="C10:E10"/>
    <mergeCell ref="F10:H10"/>
    <mergeCell ref="I10:I11"/>
    <mergeCell ref="J10:J11"/>
    <mergeCell ref="A1:J1"/>
    <mergeCell ref="A2:J2"/>
    <mergeCell ref="A3:J3"/>
    <mergeCell ref="A4:J4"/>
    <mergeCell ref="C6:D6"/>
    <mergeCell ref="I6:J6"/>
  </mergeCells>
  <pageMargins left="0.7" right="0.7" top="0.75" bottom="0.75" header="0.3" footer="0.3"/>
  <pageSetup scale="88" orientation="landscape" horizontalDpi="0" verticalDpi="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ESTIMATE</vt:lpstr>
      <vt:lpstr>mb</vt:lpstr>
      <vt:lpstr>valuation</vt:lpstr>
      <vt:lpstr>WCR</vt:lpstr>
      <vt:lpstr>ESTIMATE!Print_Area</vt:lpstr>
      <vt:lpstr>mb!Print_Area</vt:lpstr>
      <vt:lpstr>valuation!Print_Area</vt:lpstr>
      <vt:lpstr>ESTIMATE!Print_Titles</vt:lpstr>
      <vt:lpstr>mb!Print_Titles</vt:lpstr>
      <vt:lpstr>valuation!Print_Titles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2024-06-03T07:34:32Z</cp:lastPrinted>
  <dcterms:created xsi:type="dcterms:W3CDTF">2015-02-11T06:39:48Z</dcterms:created>
  <dcterms:modified xsi:type="dcterms:W3CDTF">2024-06-03T07:34:43Z</dcterms:modified>
</cp:coreProperties>
</file>