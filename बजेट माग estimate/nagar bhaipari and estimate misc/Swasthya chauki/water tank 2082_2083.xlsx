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082_083\ward1\बजेट माग estimate\Swasthya chauki\"/>
    </mc:Choice>
  </mc:AlternateContent>
  <bookViews>
    <workbookView xWindow="-132" yWindow="0" windowWidth="15120" windowHeight="10908" activeTab="2"/>
  </bookViews>
  <sheets>
    <sheet name="ESTIMATE" sheetId="25" r:id="rId1"/>
    <sheet name="WCR" sheetId="27" r:id="rId2"/>
    <sheet name="me" sheetId="29" r:id="rId3"/>
    <sheet name="Sheet1" sheetId="30" r:id="rId4"/>
  </sheets>
  <externalReferences>
    <externalReference r:id="rId5"/>
    <externalReference r:id="rId6"/>
  </externalReferences>
  <definedNames>
    <definedName name="_xlnm.Print_Area" localSheetId="0">ESTIMATE!$A$1:$L$71</definedName>
    <definedName name="_xlnm.Print_Area" localSheetId="2">me!$A$1:$L$162</definedName>
    <definedName name="_xlnm.Print_Titles" localSheetId="0">ESTIMATE!$1:$8</definedName>
    <definedName name="_xlnm.Print_Titles" localSheetId="2">me!$1:$8</definedName>
    <definedName name="_xlnm.Print_Titles" localSheetId="1">WCR!$1:$11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9" i="29" l="1"/>
  <c r="E109" i="29"/>
  <c r="H109" i="29" s="1"/>
  <c r="G101" i="29"/>
  <c r="G107" i="29" s="1"/>
  <c r="D101" i="29"/>
  <c r="D107" i="29" s="1"/>
  <c r="K151" i="29"/>
  <c r="J148" i="29"/>
  <c r="E147" i="29"/>
  <c r="F147" i="29"/>
  <c r="G146" i="29"/>
  <c r="E146" i="29"/>
  <c r="H146" i="29" s="1"/>
  <c r="J142" i="29"/>
  <c r="E141" i="29"/>
  <c r="H141" i="29" s="1"/>
  <c r="H142" i="29" s="1"/>
  <c r="G18" i="29"/>
  <c r="E18" i="29"/>
  <c r="F11" i="29"/>
  <c r="E11" i="29"/>
  <c r="G17" i="29"/>
  <c r="E17" i="29"/>
  <c r="G136" i="29"/>
  <c r="E136" i="29"/>
  <c r="G131" i="29"/>
  <c r="E131" i="29"/>
  <c r="G93" i="29"/>
  <c r="G108" i="29" s="1"/>
  <c r="D87" i="29"/>
  <c r="D102" i="29" s="1"/>
  <c r="D108" i="29" s="1"/>
  <c r="C87" i="29"/>
  <c r="C102" i="29" s="1"/>
  <c r="C108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H147" i="29" l="1"/>
  <c r="H148" i="29" s="1"/>
  <c r="H17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C76" i="29"/>
  <c r="C86" i="29" s="1"/>
  <c r="C93" i="29" s="1"/>
  <c r="C101" i="29" s="1"/>
  <c r="C107" i="29" s="1"/>
  <c r="G21" i="29"/>
  <c r="E21" i="29"/>
  <c r="H21" i="29" s="1"/>
  <c r="G20" i="29"/>
  <c r="E20" i="29"/>
  <c r="G19" i="29"/>
  <c r="E19" i="29"/>
  <c r="K148" i="29" l="1"/>
  <c r="K149" i="29"/>
  <c r="K137" i="29"/>
  <c r="H101" i="29"/>
  <c r="E107" i="29"/>
  <c r="H107" i="29" s="1"/>
  <c r="K132" i="29"/>
  <c r="H86" i="29"/>
  <c r="E93" i="29"/>
  <c r="H77" i="29"/>
  <c r="E87" i="29"/>
  <c r="H84" i="29"/>
  <c r="H114" i="29"/>
  <c r="H20" i="29"/>
  <c r="H19" i="29"/>
  <c r="H93" i="29" l="1"/>
  <c r="H94" i="29" s="1"/>
  <c r="K94" i="29" s="1"/>
  <c r="E108" i="29"/>
  <c r="H108" i="29" s="1"/>
  <c r="H110" i="29" s="1"/>
  <c r="H87" i="29"/>
  <c r="E102" i="29"/>
  <c r="H102" i="29" s="1"/>
  <c r="H103" i="29" s="1"/>
  <c r="K114" i="29"/>
  <c r="K117" i="29"/>
  <c r="K115" i="29"/>
  <c r="K116" i="29"/>
  <c r="K96" i="29" l="1"/>
  <c r="K97" i="29"/>
  <c r="K95" i="29"/>
  <c r="K98" i="29"/>
  <c r="K111" i="29"/>
  <c r="K110" i="29"/>
  <c r="K103" i="29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H59" i="29" l="1"/>
  <c r="K59" i="29" s="1"/>
  <c r="E33" i="29"/>
  <c r="E63" i="29"/>
  <c r="E64" i="29" s="1"/>
  <c r="H9" i="30"/>
  <c r="H10" i="30" s="1"/>
  <c r="B10" i="30" s="1"/>
  <c r="D10" i="30" s="1"/>
  <c r="H16" i="29"/>
  <c r="K60" i="29" l="1"/>
  <c r="F10" i="29"/>
  <c r="D162" i="29"/>
  <c r="D161" i="29"/>
  <c r="D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K35" i="29" l="1"/>
  <c r="K36" i="29"/>
  <c r="K34" i="29"/>
  <c r="K37" i="29"/>
  <c r="K90" i="29"/>
  <c r="K89" i="29"/>
  <c r="K81" i="29"/>
  <c r="K80" i="29"/>
  <c r="K79" i="29"/>
  <c r="K52" i="29"/>
  <c r="H65" i="29"/>
  <c r="H68" i="29" s="1"/>
  <c r="K68" i="29" s="1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D157" i="29" s="1"/>
  <c r="F159" i="29" l="1"/>
  <c r="D160" i="29"/>
  <c r="F160" i="29" s="1"/>
</calcChain>
</file>

<file path=xl/comments1.xml><?xml version="1.0" encoding="utf-8"?>
<comments xmlns="http://schemas.openxmlformats.org/spreadsheetml/2006/main">
  <authors>
    <author>DELL</author>
  </authors>
  <commentList>
    <comment ref="F10" authorId="0" shapeId="0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<sst xmlns="http://schemas.openxmlformats.org/spreadsheetml/2006/main" count="291" uniqueCount="171">
  <si>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</si>
  <si>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</si>
  <si>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</si>
  <si>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</si>
  <si>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</si>
  <si>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</si>
  <si>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</si>
  <si>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</si>
  <si>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</si>
  <si>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</si>
  <si>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</si>
  <si>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</si>
  <si>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</si>
  <si>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</si>
  <si>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</si>
  <si>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</si>
  <si>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</si>
  <si>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</si>
  <si>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</si>
  <si>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</si>
  <si>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</si>
  <si>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</si>
  <si>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</si>
  <si>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</si>
  <si>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</si>
  <si>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</si>
  <si>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</si>
  <si>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</si>
  <si>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</si>
  <si>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</si>
  <si>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</si>
  <si>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</si>
  <si>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</si>
  <si>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</si>
  <si>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</si>
  <si>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</si>
  <si>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</si>
  <si>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</si>
  <si>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</si>
  <si>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</si>
  <si>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</si>
  <si>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</si>
  <si>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</si>
  <si>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</si>
  <si>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</si>
  <si>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</si>
  <si>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</si>
  <si>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</si>
  <si>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</si>
  <si>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</si>
  <si>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</si>
  <si>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</si>
  <si>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</si>
  <si>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</si>
  <si>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</si>
  <si>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</si>
  <si>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</si>
  <si>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</si>
  <si>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</si>
  <si>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</si>
  <si>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</si>
  <si>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</si>
  <si>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</si>
  <si>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</si>
  <si>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</si>
  <si>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</si>
  <si>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</si>
  <si>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</si>
  <si>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</si>
  <si>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</si>
  <si>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</si>
  <si>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</si>
  <si>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</si>
  <si>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</si>
  <si>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</si>
  <si>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</si>
  <si>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</si>
  <si>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</si>
  <si>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</si>
  <si>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</si>
  <si>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</si>
  <si>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</si>
  <si>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</si>
  <si>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</si>
  <si>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</si>
  <si>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</si>
  <si>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</si>
  <si>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</si>
  <si>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</si>
  <si>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</si>
  <si>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</si>
  <si>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</si>
  <si>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</si>
  <si>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</si>
  <si>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</si>
  <si>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</si>
  <si>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</si>
  <si>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</si>
  <si>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</si>
  <si>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</si>
  <si>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</si>
  <si>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</si>
  <si>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</si>
  <si>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</si>
  <si>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</si>
  <si>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</si>
  <si>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</si>
  <si>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</si>
  <si>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</si>
  <si>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</si>
  <si>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</si>
  <si>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</si>
  <si>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</si>
  <si>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</si>
  <si>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</si>
  <si>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</si>
  <si>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</si>
  <si>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</si>
  <si>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</si>
  <si>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</si>
  <si>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</si>
  <si>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</si>
  <si>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</si>
  <si>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</si>
  <si>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</si>
  <si>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</si>
  <si>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</si>
  <si>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</si>
  <si>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</si>
  <si>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</si>
  <si>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</si>
  <si>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</si>
  <si>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</si>
  <si>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</si>
  <si>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</si>
  <si>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</si>
  <si>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</si>
  <si>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</si>
  <si>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</si>
  <si>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</si>
  <si>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</si>
  <si>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</si>
  <si>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</si>
  <si>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</si>
  <si>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</si>
  <si>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</si>
  <si>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</si>
  <si>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</si>
  <si>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</si>
  <si>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</si>
  <si>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</si>
  <si>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</si>
  <si>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</si>
  <si>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#*X&amp;% dL=dL=lr/fg ;fn sf7sf] k|m]d $ dL=dL= P]gf vfkf agfO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</si>
  <si>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</si>
  <si>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</si>
  <si>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</si>
  <si>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</si>
  <si>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</si>
  <si>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</si>
  <si>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</si>
  <si>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</si>
  <si>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</si>
  <si>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</si>
  <si>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</si>
  <si>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</si>
  <si>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</si>
  <si>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</si>
  <si>
    <t>Date: 2082/08/19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</si>
  <si>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cGo lalaw dd{t</t>
    </r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</si>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</sst>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1">
    <numFmt numFmtId="43" formatCode="_-* #,##0.00_-;\-* #,##0.00_-;_-* &quot;-&quot;??_-;_-@_-"/>
    <numFmt numFmtId="164" formatCode="&quot;$&quot;#,##0_);\(&quot;$&quot;#,##0\)"/>
    <numFmt numFmtId="165" formatCode="_(* #,##0.00_);_(* \(#,##0.00\);_(* &quot;-&quot;??_);_(@_)"/>
    <numFmt numFmtId="166" formatCode="_(* #,##0.000_);_(* \(#,##0.000\);_(* &quot;-&quot;??_);_(@_)"/>
    <numFmt numFmtId="167" formatCode="0.000"/>
    <numFmt numFmtId="168" formatCode="#."/>
    <numFmt numFmtId="169" formatCode="0.00_)"/>
    <numFmt numFmtId="170" formatCode="_-&quot;$&quot;* #,##0_-;\-&quot;$&quot;* #,##0_-;_-&quot;$&quot;* &quot;-&quot;_-;_-@_-"/>
    <numFmt numFmtId="171" formatCode="_-&quot;$&quot;* #,##0.00_-;\-&quot;$&quot;* #,##0.00_-;_-&quot;$&quot;* &quot;-&quot;??_-;_-@_-"/>
    <numFmt numFmtId="172" formatCode="_ * #,##0_)&quot;$&quot;_ ;_ * \(#,##0\)&quot;$&quot;_ ;_ * &quot;-&quot;_)&quot;$&quot;_ ;_ @_ "/>
    <numFmt numFmtId="173" formatCode="General_)"/>
    <numFmt numFmtId="174" formatCode="_ * #,##0_)_$_ ;_ * \(#,##0\)_$_ ;_ * &quot;-&quot;_)_$_ ;_ @_ "/>
    <numFmt numFmtId="175" formatCode="_ * #,##0.00_)&quot;$&quot;_ ;_ * \(#,##0.00\)&quot;$&quot;_ ;_ * &quot;-&quot;??_)&quot;$&quot;_ ;_ @_ "/>
    <numFmt numFmtId="176" formatCode="_ * #,##0.00_)_$_ ;_ * \(#,##0.00\)_$_ ;_ * &quot;-&quot;??_)_$_ ;_ @_ "/>
    <numFmt numFmtId="177" formatCode="mmmm\ d\,\ yyyy"/>
    <numFmt numFmtId="178" formatCode="&quot;$&quot;#,##0.00_);\(&quot;$&quot;#.##0\)"/>
    <numFmt numFmtId="179" formatCode="_ * #,##0_ ;_ * \-#,##0_ ;_ * &quot;-&quot;_ ;_ @_ "/>
    <numFmt numFmtId="180" formatCode="_ * #,##0.00_ ;_ * \-#,##0.00_ ;_ * &quot;-&quot;??_ ;_ @_ "/>
    <numFmt numFmtId="181" formatCode="_ &quot;\&quot;* #,##0_ ;_ &quot;\&quot;* \-#,##0_ ;_ &quot;\&quot;* &quot;-&quot;_ ;_ @_ "/>
    <numFmt numFmtId="182" formatCode="_ &quot;\&quot;* #,##0.00_ ;_ &quot;\&quot;* \-#,##0.00_ ;_ &quot;\&quot;* &quot;-&quot;??_ ;_ @_ "/>
    <numFmt numFmtId="183" formatCode="0.0"/>
  </numFmts>
  <fonts count="8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  <font>
      <sz val="14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165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165" fontId="3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8" fontId="12" fillId="0" borderId="0">
      <protection locked="0"/>
    </xf>
    <xf numFmtId="168" fontId="12" fillId="0" borderId="0">
      <protection locked="0"/>
    </xf>
    <xf numFmtId="168" fontId="13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9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2" fontId="2" fillId="0" borderId="0" applyFill="0" applyBorder="0" applyAlignment="0"/>
    <xf numFmtId="173" fontId="36" fillId="0" borderId="0" applyFill="0" applyBorder="0" applyAlignment="0"/>
    <xf numFmtId="167" fontId="36" fillId="0" borderId="0" applyFill="0" applyBorder="0" applyAlignment="0"/>
    <xf numFmtId="174" fontId="2" fillId="0" borderId="0" applyFill="0" applyBorder="0" applyAlignment="0"/>
    <xf numFmtId="175" fontId="2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172" fontId="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3" fontId="36" fillId="0" borderId="0" applyFont="0" applyFill="0" applyBorder="0" applyAlignment="0" applyProtection="0"/>
    <xf numFmtId="164" fontId="2" fillId="0" borderId="0" applyFill="0" applyBorder="0" applyAlignment="0" applyProtection="0"/>
    <xf numFmtId="0" fontId="39" fillId="0" borderId="0"/>
    <xf numFmtId="0" fontId="39" fillId="0" borderId="15"/>
    <xf numFmtId="177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2" fontId="2" fillId="0" borderId="0" applyFill="0" applyBorder="0" applyAlignment="0"/>
    <xf numFmtId="173" fontId="36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2" fontId="2" fillId="0" borderId="0" applyFill="0" applyBorder="0" applyAlignment="0"/>
    <xf numFmtId="173" fontId="36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178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9" fontId="57" fillId="0" borderId="0"/>
    <xf numFmtId="180" fontId="2" fillId="0" borderId="0" applyFont="0" applyFill="0" applyBorder="0" applyAlignment="0" applyProtection="0"/>
    <xf numFmtId="166" fontId="57" fillId="0" borderId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58" fillId="0" borderId="0"/>
    <xf numFmtId="165" fontId="58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55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</cellStyleXfs>
  <cellXfs count="200">
    <xf numFmtId="0" fontId="0" fillId="0" borderId="0" xfId="0"/>
    <xf numFmtId="0" fontId="51" fillId="0" borderId="0" xfId="0" applyFont="1"/>
    <xf numFmtId="0" fontId="49" fillId="0" borderId="0" xfId="0" applyFont="1"/>
    <xf numFmtId="165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165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165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165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165" fontId="0" fillId="0" borderId="0" xfId="1" applyFont="1"/>
    <xf numFmtId="165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165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165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165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165" fontId="51" fillId="0" borderId="0" xfId="0" applyNumberFormat="1" applyFont="1" applyAlignment="1">
      <alignment horizontal="center"/>
    </xf>
    <xf numFmtId="165" fontId="51" fillId="0" borderId="0" xfId="1" applyFont="1" applyBorder="1" applyAlignment="1"/>
    <xf numFmtId="165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165" fontId="51" fillId="0" borderId="1" xfId="0" applyNumberFormat="1" applyFont="1" applyBorder="1"/>
    <xf numFmtId="165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3" fontId="51" fillId="2" borderId="27" xfId="0" applyNumberFormat="1" applyFont="1" applyFill="1" applyBorder="1" applyAlignment="1">
      <alignment horizontal="right" vertical="center"/>
    </xf>
    <xf numFmtId="183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165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0" fontId="51" fillId="0" borderId="0" xfId="0" applyFont="1" applyAlignment="1">
      <alignment horizontal="right"/>
    </xf>
    <xf numFmtId="0" fontId="51" fillId="0" borderId="0" xfId="0" applyFont="1"/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165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48" fillId="0" borderId="0" xfId="0" applyFont="1" applyFill="1" applyAlignment="1">
      <alignment horizontal="center"/>
    </xf>
    <xf numFmtId="0" fontId="51" fillId="0" borderId="0" xfId="0" applyFont="1" applyFill="1"/>
    <xf numFmtId="0" fontId="53" fillId="0" borderId="0" xfId="0" applyFont="1" applyFill="1" applyAlignment="1">
      <alignment horizontal="center"/>
    </xf>
    <xf numFmtId="0" fontId="51" fillId="0" borderId="0" xfId="0" applyFont="1" applyFill="1" applyAlignment="1">
      <alignment horizontal="center"/>
    </xf>
    <xf numFmtId="0" fontId="51" fillId="0" borderId="0" xfId="0" applyFont="1" applyFill="1" applyAlignment="1">
      <alignment horizontal="center"/>
    </xf>
    <xf numFmtId="0" fontId="51" fillId="0" borderId="0" xfId="0" applyFont="1" applyFill="1" applyAlignment="1">
      <alignment vertical="center"/>
    </xf>
    <xf numFmtId="0" fontId="54" fillId="0" borderId="0" xfId="0" applyFont="1" applyFill="1"/>
    <xf numFmtId="0" fontId="49" fillId="0" borderId="0" xfId="0" applyFont="1" applyFill="1"/>
    <xf numFmtId="0" fontId="51" fillId="0" borderId="0" xfId="0" quotePrefix="1" applyFont="1" applyFill="1" applyAlignment="1">
      <alignment horizontal="right"/>
    </xf>
    <xf numFmtId="0" fontId="51" fillId="0" borderId="0" xfId="0" applyFont="1" applyFill="1"/>
    <xf numFmtId="165" fontId="51" fillId="0" borderId="0" xfId="1" applyFont="1" applyFill="1"/>
    <xf numFmtId="0" fontId="51" fillId="0" borderId="0" xfId="0" applyFont="1" applyFill="1" applyAlignment="1">
      <alignment horizontal="right"/>
    </xf>
    <xf numFmtId="0" fontId="51" fillId="0" borderId="0" xfId="0" applyFont="1" applyFill="1" applyAlignment="1">
      <alignment horizontal="left" vertical="top" wrapText="1"/>
    </xf>
    <xf numFmtId="165" fontId="49" fillId="0" borderId="0" xfId="1" applyFont="1" applyFill="1"/>
    <xf numFmtId="0" fontId="51" fillId="0" borderId="0" xfId="0" applyFont="1" applyFill="1" applyAlignment="1">
      <alignment wrapText="1"/>
    </xf>
    <xf numFmtId="0" fontId="67" fillId="0" borderId="19" xfId="0" applyFont="1" applyFill="1" applyBorder="1" applyAlignment="1">
      <alignment wrapText="1"/>
    </xf>
    <xf numFmtId="0" fontId="67" fillId="0" borderId="19" xfId="0" applyFont="1" applyFill="1" applyBorder="1"/>
    <xf numFmtId="0" fontId="70" fillId="0" borderId="19" xfId="0" applyFont="1" applyFill="1" applyBorder="1" applyAlignment="1">
      <alignment vertical="top" wrapText="1"/>
    </xf>
    <xf numFmtId="0" fontId="49" fillId="0" borderId="0" xfId="0" applyFont="1" applyFill="1" applyAlignment="1">
      <alignment horizontal="left" vertical="top" wrapText="1"/>
    </xf>
    <xf numFmtId="0" fontId="49" fillId="0" borderId="0" xfId="0" applyFont="1" applyFill="1" applyAlignment="1">
      <alignment horizontal="center"/>
    </xf>
    <xf numFmtId="165" fontId="49" fillId="0" borderId="0" xfId="1" applyFont="1" applyFill="1" applyBorder="1"/>
    <xf numFmtId="165" fontId="51" fillId="0" borderId="0" xfId="0" applyNumberFormat="1" applyFont="1" applyFill="1"/>
    <xf numFmtId="165" fontId="51" fillId="0" borderId="0" xfId="1" applyFont="1" applyFill="1" applyBorder="1" applyAlignment="1"/>
    <xf numFmtId="165" fontId="51" fillId="0" borderId="0" xfId="0" applyNumberFormat="1" applyFont="1" applyFill="1" applyAlignment="1">
      <alignment horizontal="center"/>
    </xf>
    <xf numFmtId="0" fontId="49" fillId="0" borderId="19" xfId="0" applyFont="1" applyFill="1" applyBorder="1" applyAlignment="1">
      <alignment vertical="center"/>
    </xf>
    <xf numFmtId="0" fontId="49" fillId="0" borderId="19" xfId="0" applyFont="1" applyFill="1" applyBorder="1" applyAlignment="1">
      <alignment horizontal="left" vertical="top" wrapText="1"/>
    </xf>
    <xf numFmtId="0" fontId="49" fillId="0" borderId="19" xfId="0" applyFont="1" applyFill="1" applyBorder="1" applyAlignment="1">
      <alignment horizontal="center"/>
    </xf>
    <xf numFmtId="165" fontId="49" fillId="0" borderId="19" xfId="1" applyFont="1" applyFill="1" applyBorder="1"/>
    <xf numFmtId="0" fontId="49" fillId="0" borderId="19" xfId="0" applyFont="1" applyFill="1" applyBorder="1"/>
    <xf numFmtId="0" fontId="49" fillId="0" borderId="19" xfId="0" applyFont="1" applyFill="1" applyBorder="1" applyAlignment="1">
      <alignment wrapText="1"/>
    </xf>
    <xf numFmtId="0" fontId="74" fillId="0" borderId="19" xfId="0" applyFont="1" applyFill="1" applyBorder="1" applyAlignment="1">
      <alignment horizontal="left" vertical="top" wrapText="1"/>
    </xf>
    <xf numFmtId="183" fontId="51" fillId="0" borderId="19" xfId="0" applyNumberFormat="1" applyFont="1" applyFill="1" applyBorder="1" applyAlignment="1">
      <alignment horizontal="right" vertical="center"/>
    </xf>
    <xf numFmtId="0" fontId="67" fillId="0" borderId="19" xfId="0" quotePrefix="1" applyFont="1" applyFill="1" applyBorder="1" applyAlignment="1">
      <alignment wrapText="1"/>
    </xf>
    <xf numFmtId="2" fontId="51" fillId="0" borderId="19" xfId="0" applyNumberFormat="1" applyFont="1" applyFill="1" applyBorder="1" applyAlignment="1">
      <alignment horizontal="right"/>
    </xf>
    <xf numFmtId="2" fontId="51" fillId="0" borderId="19" xfId="1" applyNumberFormat="1" applyFont="1" applyFill="1" applyBorder="1" applyAlignment="1">
      <alignment horizontal="right"/>
    </xf>
    <xf numFmtId="0" fontId="52" fillId="0" borderId="19" xfId="0" applyFont="1" applyFill="1" applyBorder="1"/>
    <xf numFmtId="0" fontId="52" fillId="0" borderId="19" xfId="0" quotePrefix="1" applyFont="1" applyFill="1" applyBorder="1" applyAlignment="1">
      <alignment horizontal="right" vertical="justify"/>
    </xf>
    <xf numFmtId="0" fontId="52" fillId="0" borderId="19" xfId="0" applyFont="1" applyFill="1" applyBorder="1" applyAlignment="1">
      <alignment horizontal="right" vertical="justify"/>
    </xf>
    <xf numFmtId="0" fontId="51" fillId="0" borderId="19" xfId="0" applyFont="1" applyFill="1" applyBorder="1"/>
    <xf numFmtId="2" fontId="52" fillId="0" borderId="19" xfId="0" applyNumberFormat="1" applyFont="1" applyFill="1" applyBorder="1" applyAlignment="1">
      <alignment horizontal="right"/>
    </xf>
    <xf numFmtId="0" fontId="51" fillId="0" borderId="19" xfId="0" applyFont="1" applyFill="1" applyBorder="1" applyAlignment="1">
      <alignment horizontal="right"/>
    </xf>
    <xf numFmtId="183" fontId="52" fillId="0" borderId="19" xfId="0" applyNumberFormat="1" applyFont="1" applyFill="1" applyBorder="1" applyAlignment="1">
      <alignment horizontal="right" vertical="center"/>
    </xf>
    <xf numFmtId="2" fontId="52" fillId="0" borderId="19" xfId="1" applyNumberFormat="1" applyFont="1" applyFill="1" applyBorder="1" applyAlignment="1">
      <alignment horizontal="right"/>
    </xf>
    <xf numFmtId="0" fontId="52" fillId="0" borderId="19" xfId="0" quotePrefix="1" applyFont="1" applyFill="1" applyBorder="1" applyAlignment="1">
      <alignment horizontal="right"/>
    </xf>
    <xf numFmtId="0" fontId="51" fillId="0" borderId="19" xfId="0" applyFont="1" applyFill="1" applyBorder="1" applyAlignment="1">
      <alignment horizontal="right" vertical="top" wrapText="1"/>
    </xf>
    <xf numFmtId="0" fontId="51" fillId="0" borderId="19" xfId="0" applyFont="1" applyFill="1" applyBorder="1" applyAlignment="1">
      <alignment horizontal="left" vertical="top" wrapText="1"/>
    </xf>
    <xf numFmtId="0" fontId="51" fillId="0" borderId="19" xfId="0" quotePrefix="1" applyFont="1" applyFill="1" applyBorder="1" applyAlignment="1">
      <alignment horizontal="right" vertical="top" wrapText="1"/>
    </xf>
    <xf numFmtId="183" fontId="51" fillId="0" borderId="19" xfId="0" applyNumberFormat="1" applyFont="1" applyFill="1" applyBorder="1" applyAlignment="1">
      <alignment horizontal="right"/>
    </xf>
    <xf numFmtId="0" fontId="52" fillId="0" borderId="19" xfId="0" applyFont="1" applyFill="1" applyBorder="1" applyAlignment="1">
      <alignment horizontal="justify" vertical="justify"/>
    </xf>
    <xf numFmtId="2" fontId="3" fillId="0" borderId="19" xfId="734" applyNumberFormat="1" applyFont="1" applyFill="1" applyBorder="1" applyAlignment="1">
      <alignment horizontal="right"/>
    </xf>
    <xf numFmtId="2" fontId="51" fillId="0" borderId="19" xfId="32" applyNumberFormat="1" applyFont="1" applyFill="1" applyBorder="1" applyAlignment="1">
      <alignment horizontal="right"/>
    </xf>
    <xf numFmtId="0" fontId="52" fillId="0" borderId="19" xfId="0" applyFont="1" applyFill="1" applyBorder="1" applyAlignment="1">
      <alignment horizontal="right" vertical="top" wrapText="1"/>
    </xf>
    <xf numFmtId="0" fontId="51" fillId="0" borderId="19" xfId="0" applyFont="1" applyFill="1" applyBorder="1" applyAlignment="1">
      <alignment vertical="center"/>
    </xf>
    <xf numFmtId="0" fontId="50" fillId="0" borderId="19" xfId="0" applyFont="1" applyFill="1" applyBorder="1" applyAlignment="1">
      <alignment horizontal="left" vertical="top" wrapText="1"/>
    </xf>
    <xf numFmtId="2" fontId="49" fillId="0" borderId="19" xfId="1" applyNumberFormat="1" applyFont="1" applyFill="1" applyBorder="1" applyAlignment="1">
      <alignment horizontal="right"/>
    </xf>
    <xf numFmtId="0" fontId="51" fillId="0" borderId="19" xfId="0" applyFont="1" applyFill="1" applyBorder="1" applyAlignment="1">
      <alignment wrapText="1"/>
    </xf>
    <xf numFmtId="0" fontId="49" fillId="0" borderId="19" xfId="0" applyFont="1" applyFill="1" applyBorder="1" applyAlignment="1">
      <alignment horizontal="center"/>
    </xf>
    <xf numFmtId="165" fontId="51" fillId="0" borderId="19" xfId="0" applyNumberFormat="1" applyFont="1" applyFill="1" applyBorder="1" applyAlignment="1">
      <alignment horizontal="center"/>
    </xf>
    <xf numFmtId="165" fontId="51" fillId="0" borderId="19" xfId="0" applyNumberFormat="1" applyFont="1" applyFill="1" applyBorder="1"/>
    <xf numFmtId="165" fontId="51" fillId="0" borderId="19" xfId="1" applyFont="1" applyFill="1" applyBorder="1" applyAlignment="1"/>
    <xf numFmtId="165" fontId="51" fillId="0" borderId="19" xfId="1" applyFont="1" applyFill="1" applyBorder="1" applyAlignment="1">
      <alignment horizontal="center"/>
    </xf>
    <xf numFmtId="165" fontId="49" fillId="0" borderId="19" xfId="1" applyFont="1" applyFill="1" applyBorder="1" applyAlignment="1">
      <alignment horizontal="center" vertical="center"/>
    </xf>
  </cellXfs>
  <cellStyles count="759">
    <cellStyle name="??" xfId="476"/>
    <cellStyle name="?? [0.00]_PERSONAL" xfId="477"/>
    <cellStyle name="???? [0.00]_PERSONAL" xfId="478"/>
    <cellStyle name="????_PERSONAL" xfId="479"/>
    <cellStyle name="??_PERSONAL" xfId="480"/>
    <cellStyle name="20% - Accent1 10" xfId="457"/>
    <cellStyle name="20% - Accent1 11" xfId="592"/>
    <cellStyle name="20% - Accent1 12" xfId="638"/>
    <cellStyle name="20% - Accent1 13" xfId="724"/>
    <cellStyle name="20% - Accent1 2" xfId="2"/>
    <cellStyle name="20% - Accent1 3" xfId="138"/>
    <cellStyle name="20% - Accent1 4" xfId="209"/>
    <cellStyle name="20% - Accent1 5" xfId="241"/>
    <cellStyle name="20% - Accent1 6" xfId="267"/>
    <cellStyle name="20% - Accent1 7" xfId="328"/>
    <cellStyle name="20% - Accent1 8" xfId="370"/>
    <cellStyle name="20% - Accent1 9" xfId="396"/>
    <cellStyle name="20% - Accent2 10" xfId="467"/>
    <cellStyle name="20% - Accent2 11" xfId="593"/>
    <cellStyle name="20% - Accent2 12" xfId="639"/>
    <cellStyle name="20% - Accent2 13" xfId="723"/>
    <cellStyle name="20% - Accent2 2" xfId="3"/>
    <cellStyle name="20% - Accent2 3" xfId="139"/>
    <cellStyle name="20% - Accent2 4" xfId="222"/>
    <cellStyle name="20% - Accent2 5" xfId="251"/>
    <cellStyle name="20% - Accent2 6" xfId="268"/>
    <cellStyle name="20% - Accent2 7" xfId="340"/>
    <cellStyle name="20% - Accent2 8" xfId="380"/>
    <cellStyle name="20% - Accent2 9" xfId="397"/>
    <cellStyle name="20% - Accent3 10" xfId="456"/>
    <cellStyle name="20% - Accent3 11" xfId="594"/>
    <cellStyle name="20% - Accent3 12" xfId="640"/>
    <cellStyle name="20% - Accent3 13" xfId="722"/>
    <cellStyle name="20% - Accent3 2" xfId="4"/>
    <cellStyle name="20% - Accent3 3" xfId="140"/>
    <cellStyle name="20% - Accent3 4" xfId="208"/>
    <cellStyle name="20% - Accent3 5" xfId="240"/>
    <cellStyle name="20% - Accent3 6" xfId="269"/>
    <cellStyle name="20% - Accent3 7" xfId="327"/>
    <cellStyle name="20% - Accent3 8" xfId="369"/>
    <cellStyle name="20% - Accent3 9" xfId="398"/>
    <cellStyle name="20% - Accent4 10" xfId="455"/>
    <cellStyle name="20% - Accent4 11" xfId="595"/>
    <cellStyle name="20% - Accent4 12" xfId="641"/>
    <cellStyle name="20% - Accent4 13" xfId="721"/>
    <cellStyle name="20% - Accent4 2" xfId="5"/>
    <cellStyle name="20% - Accent4 3" xfId="141"/>
    <cellStyle name="20% - Accent4 4" xfId="207"/>
    <cellStyle name="20% - Accent4 5" xfId="239"/>
    <cellStyle name="20% - Accent4 6" xfId="270"/>
    <cellStyle name="20% - Accent4 7" xfId="326"/>
    <cellStyle name="20% - Accent4 8" xfId="368"/>
    <cellStyle name="20% - Accent4 9" xfId="399"/>
    <cellStyle name="20% - Accent5 10" xfId="452"/>
    <cellStyle name="20% - Accent5 11" xfId="596"/>
    <cellStyle name="20% - Accent5 12" xfId="642"/>
    <cellStyle name="20% - Accent5 13" xfId="720"/>
    <cellStyle name="20% - Accent5 2" xfId="6"/>
    <cellStyle name="20% - Accent5 3" xfId="142"/>
    <cellStyle name="20% - Accent5 4" xfId="204"/>
    <cellStyle name="20% - Accent5 5" xfId="236"/>
    <cellStyle name="20% - Accent5 6" xfId="271"/>
    <cellStyle name="20% - Accent5 7" xfId="325"/>
    <cellStyle name="20% - Accent5 8" xfId="365"/>
    <cellStyle name="20% - Accent5 9" xfId="400"/>
    <cellStyle name="20% - Accent6 10" xfId="451"/>
    <cellStyle name="20% - Accent6 11" xfId="597"/>
    <cellStyle name="20% - Accent6 12" xfId="643"/>
    <cellStyle name="20% - Accent6 13" xfId="719"/>
    <cellStyle name="20% - Accent6 2" xfId="7"/>
    <cellStyle name="20% - Accent6 3" xfId="143"/>
    <cellStyle name="20% - Accent6 4" xfId="231"/>
    <cellStyle name="20% - Accent6 5" xfId="260"/>
    <cellStyle name="20% - Accent6 6" xfId="272"/>
    <cellStyle name="20% - Accent6 7" xfId="324"/>
    <cellStyle name="20% - Accent6 8" xfId="389"/>
    <cellStyle name="20% - Accent6 9" xfId="401"/>
    <cellStyle name="40% - Accent1 10" xfId="466"/>
    <cellStyle name="40% - Accent1 11" xfId="598"/>
    <cellStyle name="40% - Accent1 12" xfId="644"/>
    <cellStyle name="40% - Accent1 13" xfId="718"/>
    <cellStyle name="40% - Accent1 2" xfId="8"/>
    <cellStyle name="40% - Accent1 3" xfId="144"/>
    <cellStyle name="40% - Accent1 4" xfId="203"/>
    <cellStyle name="40% - Accent1 5" xfId="235"/>
    <cellStyle name="40% - Accent1 6" xfId="273"/>
    <cellStyle name="40% - Accent1 7" xfId="348"/>
    <cellStyle name="40% - Accent1 8" xfId="364"/>
    <cellStyle name="40% - Accent1 9" xfId="402"/>
    <cellStyle name="40% - Accent2 10" xfId="450"/>
    <cellStyle name="40% - Accent2 11" xfId="599"/>
    <cellStyle name="40% - Accent2 12" xfId="645"/>
    <cellStyle name="40% - Accent2 13" xfId="717"/>
    <cellStyle name="40% - Accent2 2" xfId="9"/>
    <cellStyle name="40% - Accent2 3" xfId="145"/>
    <cellStyle name="40% - Accent2 4" xfId="221"/>
    <cellStyle name="40% - Accent2 5" xfId="250"/>
    <cellStyle name="40% - Accent2 6" xfId="274"/>
    <cellStyle name="40% - Accent2 7" xfId="351"/>
    <cellStyle name="40% - Accent2 8" xfId="379"/>
    <cellStyle name="40% - Accent2 9" xfId="403"/>
    <cellStyle name="40% - Accent3 10" xfId="449"/>
    <cellStyle name="40% - Accent3 11" xfId="600"/>
    <cellStyle name="40% - Accent3 12" xfId="646"/>
    <cellStyle name="40% - Accent3 13" xfId="716"/>
    <cellStyle name="40% - Accent3 2" xfId="10"/>
    <cellStyle name="40% - Accent3 3" xfId="146"/>
    <cellStyle name="40% - Accent3 4" xfId="202"/>
    <cellStyle name="40% - Accent3 5" xfId="234"/>
    <cellStyle name="40% - Accent3 6" xfId="275"/>
    <cellStyle name="40% - Accent3 7" xfId="347"/>
    <cellStyle name="40% - Accent3 8" xfId="363"/>
    <cellStyle name="40% - Accent3 9" xfId="404"/>
    <cellStyle name="40% - Accent4 10" xfId="469"/>
    <cellStyle name="40% - Accent4 11" xfId="601"/>
    <cellStyle name="40% - Accent4 12" xfId="647"/>
    <cellStyle name="40% - Accent4 13" xfId="715"/>
    <cellStyle name="40% - Accent4 2" xfId="11"/>
    <cellStyle name="40% - Accent4 3" xfId="147"/>
    <cellStyle name="40% - Accent4 4" xfId="201"/>
    <cellStyle name="40% - Accent4 5" xfId="233"/>
    <cellStyle name="40% - Accent4 6" xfId="276"/>
    <cellStyle name="40% - Accent4 7" xfId="323"/>
    <cellStyle name="40% - Accent4 8" xfId="362"/>
    <cellStyle name="40% - Accent4 9" xfId="405"/>
    <cellStyle name="40% - Accent5 10" xfId="448"/>
    <cellStyle name="40% - Accent5 11" xfId="602"/>
    <cellStyle name="40% - Accent5 12" xfId="648"/>
    <cellStyle name="40% - Accent5 13" xfId="714"/>
    <cellStyle name="40% - Accent5 2" xfId="12"/>
    <cellStyle name="40% - Accent5 3" xfId="148"/>
    <cellStyle name="40% - Accent5 4" xfId="224"/>
    <cellStyle name="40% - Accent5 5" xfId="253"/>
    <cellStyle name="40% - Accent5 6" xfId="277"/>
    <cellStyle name="40% - Accent5 7" xfId="322"/>
    <cellStyle name="40% - Accent5 8" xfId="382"/>
    <cellStyle name="40% - Accent5 9" xfId="406"/>
    <cellStyle name="40% - Accent6 10" xfId="465"/>
    <cellStyle name="40% - Accent6 11" xfId="603"/>
    <cellStyle name="40% - Accent6 12" xfId="649"/>
    <cellStyle name="40% - Accent6 13" xfId="713"/>
    <cellStyle name="40% - Accent6 2" xfId="13"/>
    <cellStyle name="40% - Accent6 3" xfId="149"/>
    <cellStyle name="40% - Accent6 4" xfId="200"/>
    <cellStyle name="40% - Accent6 5" xfId="232"/>
    <cellStyle name="40% - Accent6 6" xfId="278"/>
    <cellStyle name="40% - Accent6 7" xfId="321"/>
    <cellStyle name="40% - Accent6 8" xfId="361"/>
    <cellStyle name="40% - Accent6 9" xfId="407"/>
    <cellStyle name="60% - Accent1 10" xfId="447"/>
    <cellStyle name="60% - Accent1 11" xfId="604"/>
    <cellStyle name="60% - Accent1 12" xfId="650"/>
    <cellStyle name="60% - Accent1 13" xfId="712"/>
    <cellStyle name="60% - Accent1 2" xfId="14"/>
    <cellStyle name="60% - Accent1 3" xfId="150"/>
    <cellStyle name="60% - Accent1 4" xfId="220"/>
    <cellStyle name="60% - Accent1 5" xfId="249"/>
    <cellStyle name="60% - Accent1 6" xfId="279"/>
    <cellStyle name="60% - Accent1 7" xfId="339"/>
    <cellStyle name="60% - Accent1 8" xfId="378"/>
    <cellStyle name="60% - Accent1 9" xfId="408"/>
    <cellStyle name="60% - Accent2 10" xfId="446"/>
    <cellStyle name="60% - Accent2 11" xfId="605"/>
    <cellStyle name="60% - Accent2 12" xfId="651"/>
    <cellStyle name="60% - Accent2 13" xfId="711"/>
    <cellStyle name="60% - Accent2 2" xfId="15"/>
    <cellStyle name="60% - Accent2 3" xfId="151"/>
    <cellStyle name="60% - Accent2 4" xfId="199"/>
    <cellStyle name="60% - Accent2 5" xfId="165"/>
    <cellStyle name="60% - Accent2 6" xfId="280"/>
    <cellStyle name="60% - Accent2 7" xfId="320"/>
    <cellStyle name="60% - Accent2 8" xfId="360"/>
    <cellStyle name="60% - Accent2 9" xfId="409"/>
    <cellStyle name="60% - Accent3 10" xfId="445"/>
    <cellStyle name="60% - Accent3 11" xfId="606"/>
    <cellStyle name="60% - Accent3 12" xfId="652"/>
    <cellStyle name="60% - Accent3 13" xfId="710"/>
    <cellStyle name="60% - Accent3 2" xfId="16"/>
    <cellStyle name="60% - Accent3 3" xfId="152"/>
    <cellStyle name="60% - Accent3 4" xfId="198"/>
    <cellStyle name="60% - Accent3 5" xfId="166"/>
    <cellStyle name="60% - Accent3 6" xfId="281"/>
    <cellStyle name="60% - Accent3 7" xfId="350"/>
    <cellStyle name="60% - Accent3 8" xfId="359"/>
    <cellStyle name="60% - Accent3 9" xfId="410"/>
    <cellStyle name="60% - Accent4 10" xfId="444"/>
    <cellStyle name="60% - Accent4 11" xfId="607"/>
    <cellStyle name="60% - Accent4 12" xfId="653"/>
    <cellStyle name="60% - Accent4 13" xfId="698"/>
    <cellStyle name="60% - Accent4 2" xfId="17"/>
    <cellStyle name="60% - Accent4 3" xfId="153"/>
    <cellStyle name="60% - Accent4 4" xfId="197"/>
    <cellStyle name="60% - Accent4 5" xfId="167"/>
    <cellStyle name="60% - Accent4 6" xfId="282"/>
    <cellStyle name="60% - Accent4 7" xfId="319"/>
    <cellStyle name="60% - Accent4 8" xfId="358"/>
    <cellStyle name="60% - Accent4 9" xfId="411"/>
    <cellStyle name="60% - Accent5 10" xfId="471"/>
    <cellStyle name="60% - Accent5 11" xfId="608"/>
    <cellStyle name="60% - Accent5 12" xfId="654"/>
    <cellStyle name="60% - Accent5 13" xfId="688"/>
    <cellStyle name="60% - Accent5 2" xfId="18"/>
    <cellStyle name="60% - Accent5 3" xfId="154"/>
    <cellStyle name="60% - Accent5 4" xfId="196"/>
    <cellStyle name="60% - Accent5 5" xfId="213"/>
    <cellStyle name="60% - Accent5 6" xfId="283"/>
    <cellStyle name="60% - Accent5 7" xfId="349"/>
    <cellStyle name="60% - Accent5 8" xfId="357"/>
    <cellStyle name="60% - Accent5 9" xfId="412"/>
    <cellStyle name="60% - Accent6 10" xfId="474"/>
    <cellStyle name="60% - Accent6 11" xfId="609"/>
    <cellStyle name="60% - Accent6 12" xfId="655"/>
    <cellStyle name="60% - Accent6 13" xfId="693"/>
    <cellStyle name="60% - Accent6 2" xfId="19"/>
    <cellStyle name="60% - Accent6 3" xfId="155"/>
    <cellStyle name="60% - Accent6 4" xfId="227"/>
    <cellStyle name="60% - Accent6 5" xfId="256"/>
    <cellStyle name="60% - Accent6 6" xfId="284"/>
    <cellStyle name="60% - Accent6 7" xfId="318"/>
    <cellStyle name="60% - Accent6 8" xfId="385"/>
    <cellStyle name="60% - Accent6 9" xfId="413"/>
    <cellStyle name="Accent1 10" xfId="470"/>
    <cellStyle name="Accent1 11" xfId="610"/>
    <cellStyle name="Accent1 12" xfId="656"/>
    <cellStyle name="Accent1 13" xfId="687"/>
    <cellStyle name="Accent1 2" xfId="20"/>
    <cellStyle name="Accent1 3" xfId="156"/>
    <cellStyle name="Accent1 4" xfId="229"/>
    <cellStyle name="Accent1 5" xfId="258"/>
    <cellStyle name="Accent1 6" xfId="285"/>
    <cellStyle name="Accent1 7" xfId="317"/>
    <cellStyle name="Accent1 8" xfId="387"/>
    <cellStyle name="Accent1 9" xfId="414"/>
    <cellStyle name="Accent2 10" xfId="443"/>
    <cellStyle name="Accent2 11" xfId="611"/>
    <cellStyle name="Accent2 12" xfId="657"/>
    <cellStyle name="Accent2 13" xfId="686"/>
    <cellStyle name="Accent2 2" xfId="21"/>
    <cellStyle name="Accent2 3" xfId="157"/>
    <cellStyle name="Accent2 4" xfId="226"/>
    <cellStyle name="Accent2 5" xfId="255"/>
    <cellStyle name="Accent2 6" xfId="286"/>
    <cellStyle name="Accent2 7" xfId="345"/>
    <cellStyle name="Accent2 8" xfId="384"/>
    <cellStyle name="Accent2 9" xfId="415"/>
    <cellStyle name="Accent3 10" xfId="442"/>
    <cellStyle name="Accent3 11" xfId="612"/>
    <cellStyle name="Accent3 12" xfId="658"/>
    <cellStyle name="Accent3 13" xfId="683"/>
    <cellStyle name="Accent3 2" xfId="22"/>
    <cellStyle name="Accent3 3" xfId="158"/>
    <cellStyle name="Accent3 4" xfId="195"/>
    <cellStyle name="Accent3 5" xfId="168"/>
    <cellStyle name="Accent3 6" xfId="287"/>
    <cellStyle name="Accent3 7" xfId="344"/>
    <cellStyle name="Accent3 8" xfId="356"/>
    <cellStyle name="Accent3 9" xfId="416"/>
    <cellStyle name="Accent4 10" xfId="441"/>
    <cellStyle name="Accent4 11" xfId="613"/>
    <cellStyle name="Accent4 12" xfId="659"/>
    <cellStyle name="Accent4 13" xfId="709"/>
    <cellStyle name="Accent4 2" xfId="23"/>
    <cellStyle name="Accent4 3" xfId="159"/>
    <cellStyle name="Accent4 4" xfId="194"/>
    <cellStyle name="Accent4 5" xfId="169"/>
    <cellStyle name="Accent4 6" xfId="288"/>
    <cellStyle name="Accent4 7" xfId="316"/>
    <cellStyle name="Accent4 8" xfId="355"/>
    <cellStyle name="Accent4 9" xfId="417"/>
    <cellStyle name="Accent5 10" xfId="464"/>
    <cellStyle name="Accent5 11" xfId="614"/>
    <cellStyle name="Accent5 12" xfId="660"/>
    <cellStyle name="Accent5 13" xfId="682"/>
    <cellStyle name="Accent5 2" xfId="24"/>
    <cellStyle name="Accent5 3" xfId="160"/>
    <cellStyle name="Accent5 4" xfId="193"/>
    <cellStyle name="Accent5 5" xfId="170"/>
    <cellStyle name="Accent5 6" xfId="289"/>
    <cellStyle name="Accent5 7" xfId="315"/>
    <cellStyle name="Accent5 8" xfId="354"/>
    <cellStyle name="Accent5 9" xfId="418"/>
    <cellStyle name="Accent6 10" xfId="440"/>
    <cellStyle name="Accent6 11" xfId="615"/>
    <cellStyle name="Accent6 12" xfId="661"/>
    <cellStyle name="Accent6 13" xfId="692"/>
    <cellStyle name="Accent6 2" xfId="25"/>
    <cellStyle name="Accent6 3" xfId="161"/>
    <cellStyle name="Accent6 4" xfId="219"/>
    <cellStyle name="Accent6 5" xfId="248"/>
    <cellStyle name="Accent6 6" xfId="290"/>
    <cellStyle name="Accent6 7" xfId="314"/>
    <cellStyle name="Accent6 8" xfId="377"/>
    <cellStyle name="Accent6 9" xfId="419"/>
    <cellStyle name="as" xfId="481"/>
    <cellStyle name="Bad 10" xfId="473"/>
    <cellStyle name="Bad 11" xfId="616"/>
    <cellStyle name="Bad 12" xfId="662"/>
    <cellStyle name="Bad 13" xfId="681"/>
    <cellStyle name="Bad 2" xfId="26"/>
    <cellStyle name="Bad 3" xfId="162"/>
    <cellStyle name="Bad 4" xfId="192"/>
    <cellStyle name="Bad 5" xfId="214"/>
    <cellStyle name="Bad 6" xfId="291"/>
    <cellStyle name="Bad 7" xfId="343"/>
    <cellStyle name="Bad 8" xfId="353"/>
    <cellStyle name="Bad 9" xfId="420"/>
    <cellStyle name="Calc Currency (0)" xfId="482"/>
    <cellStyle name="Calc Currency (2)" xfId="483"/>
    <cellStyle name="Calc Percent (0)" xfId="484"/>
    <cellStyle name="Calc Percent (1)" xfId="485"/>
    <cellStyle name="Calc Percent (2)" xfId="486"/>
    <cellStyle name="Calc Units (0)" xfId="487"/>
    <cellStyle name="Calc Units (1)" xfId="488"/>
    <cellStyle name="Calc Units (2)" xfId="489"/>
    <cellStyle name="Calculation 10" xfId="439"/>
    <cellStyle name="Calculation 11" xfId="617"/>
    <cellStyle name="Calculation 12" xfId="663"/>
    <cellStyle name="Calculation 13" xfId="680"/>
    <cellStyle name="Calculation 2" xfId="27"/>
    <cellStyle name="Calculation 3" xfId="163"/>
    <cellStyle name="Calculation 4" xfId="228"/>
    <cellStyle name="Calculation 5" xfId="257"/>
    <cellStyle name="Calculation 6" xfId="292"/>
    <cellStyle name="Calculation 7" xfId="313"/>
    <cellStyle name="Calculation 8" xfId="386"/>
    <cellStyle name="Calculation 9" xfId="421"/>
    <cellStyle name="Check Cell 10" xfId="472"/>
    <cellStyle name="Check Cell 11" xfId="618"/>
    <cellStyle name="Check Cell 12" xfId="664"/>
    <cellStyle name="Check Cell 13" xfId="708"/>
    <cellStyle name="Check Cell 2" xfId="28"/>
    <cellStyle name="Check Cell 3" xfId="164"/>
    <cellStyle name="Check Cell 4" xfId="191"/>
    <cellStyle name="Check Cell 5" xfId="171"/>
    <cellStyle name="Check Cell 6" xfId="293"/>
    <cellStyle name="Check Cell 7" xfId="312"/>
    <cellStyle name="Check Cell 8" xfId="352"/>
    <cellStyle name="Check Cell 9" xfId="422"/>
    <cellStyle name="Comma" xfId="1" builtinId="3"/>
    <cellStyle name="Comma [00]" xfId="490"/>
    <cellStyle name="Comma 10" xfId="732"/>
    <cellStyle name="Comma 11" xfId="731"/>
    <cellStyle name="Comma 12" xfId="752"/>
    <cellStyle name="Comma 13" xfId="753"/>
    <cellStyle name="Comma 14" xfId="754"/>
    <cellStyle name="Comma 15" xfId="758"/>
    <cellStyle name="Comma 2" xfId="29"/>
    <cellStyle name="Comma 2 2" xfId="30"/>
    <cellStyle name="Comma 2 2 2" xfId="491"/>
    <cellStyle name="Comma 2 2 2 2" xfId="739"/>
    <cellStyle name="Comma 2 2 2 2 2" xfId="749"/>
    <cellStyle name="Comma 2 3" xfId="31"/>
    <cellStyle name="Comma 2 3 2" xfId="109"/>
    <cellStyle name="Comma 2 4" xfId="492"/>
    <cellStyle name="Comma 2 5" xfId="737"/>
    <cellStyle name="Comma 3" xfId="32"/>
    <cellStyle name="Comma 3 2" xfId="33"/>
    <cellStyle name="Comma 3 2 2" xfId="493"/>
    <cellStyle name="Comma 3 3" xfId="34"/>
    <cellStyle name="Comma 3 4" xfId="110"/>
    <cellStyle name="Comma 3 5" xfId="745"/>
    <cellStyle name="Comma 4" xfId="35"/>
    <cellStyle name="Comma 4 2" xfId="36"/>
    <cellStyle name="Comma 4 3" xfId="111"/>
    <cellStyle name="Comma 4 4" xfId="747"/>
    <cellStyle name="Comma 5" xfId="37"/>
    <cellStyle name="Comma 5 2" xfId="494"/>
    <cellStyle name="Comma 6" xfId="112"/>
    <cellStyle name="Comma 6 2" xfId="495"/>
    <cellStyle name="Comma 7" xfId="496"/>
    <cellStyle name="Comma 7 2" xfId="497"/>
    <cellStyle name="Comma 8" xfId="498"/>
    <cellStyle name="Comma 9" xfId="730"/>
    <cellStyle name="Comma0" xfId="499"/>
    <cellStyle name="Comma0 - Modelo1" xfId="500"/>
    <cellStyle name="Comma0 - Style1" xfId="501"/>
    <cellStyle name="Comma1 - Modelo2" xfId="502"/>
    <cellStyle name="Comma1 - Style2" xfId="503"/>
    <cellStyle name="ContentsHyperlink" xfId="124"/>
    <cellStyle name="Currency [00]" xfId="504"/>
    <cellStyle name="Currency0" xfId="505"/>
    <cellStyle name="Custom - Style1" xfId="506"/>
    <cellStyle name="Data   - Style2" xfId="507"/>
    <cellStyle name="Date" xfId="508"/>
    <cellStyle name="Date Short" xfId="509"/>
    <cellStyle name="DELTA" xfId="510"/>
    <cellStyle name="Dia" xfId="511"/>
    <cellStyle name="Encabez1" xfId="512"/>
    <cellStyle name="Encabez2" xfId="513"/>
    <cellStyle name="Enter Currency (0)" xfId="514"/>
    <cellStyle name="Enter Currency (2)" xfId="515"/>
    <cellStyle name="Enter Units (0)" xfId="516"/>
    <cellStyle name="Enter Units (1)" xfId="517"/>
    <cellStyle name="Enter Units (2)" xfId="518"/>
    <cellStyle name="Explanatory Text 10" xfId="437"/>
    <cellStyle name="Explanatory Text 11" xfId="619"/>
    <cellStyle name="Explanatory Text 12" xfId="665"/>
    <cellStyle name="Explanatory Text 13" xfId="707"/>
    <cellStyle name="Explanatory Text 2" xfId="38"/>
    <cellStyle name="Explanatory Text 3" xfId="172"/>
    <cellStyle name="Explanatory Text 4" xfId="190"/>
    <cellStyle name="Explanatory Text 5" xfId="173"/>
    <cellStyle name="Explanatory Text 6" xfId="296"/>
    <cellStyle name="Explanatory Text 7" xfId="311"/>
    <cellStyle name="Explanatory Text 8" xfId="294"/>
    <cellStyle name="Explanatory Text 9" xfId="423"/>
    <cellStyle name="F2" xfId="39"/>
    <cellStyle name="F3" xfId="40"/>
    <cellStyle name="F4" xfId="41"/>
    <cellStyle name="F5" xfId="42"/>
    <cellStyle name="F6" xfId="43"/>
    <cellStyle name="F7" xfId="44"/>
    <cellStyle name="F8" xfId="45"/>
    <cellStyle name="Fijo" xfId="519"/>
    <cellStyle name="Financiero" xfId="520"/>
    <cellStyle name="Fixed" xfId="521"/>
    <cellStyle name="Formulas" xfId="522"/>
    <cellStyle name="General" xfId="46"/>
    <cellStyle name="Good 10" xfId="463"/>
    <cellStyle name="Good 11" xfId="620"/>
    <cellStyle name="Good 12" xfId="666"/>
    <cellStyle name="Good 13" xfId="679"/>
    <cellStyle name="Good 2" xfId="47"/>
    <cellStyle name="Good 3" xfId="174"/>
    <cellStyle name="Good 4" xfId="225"/>
    <cellStyle name="Good 5" xfId="254"/>
    <cellStyle name="Good 6" xfId="299"/>
    <cellStyle name="Good 7" xfId="310"/>
    <cellStyle name="Good 8" xfId="383"/>
    <cellStyle name="Good 9" xfId="424"/>
    <cellStyle name="Grey" xfId="48"/>
    <cellStyle name="Grey 2" xfId="523"/>
    <cellStyle name="Header1" xfId="524"/>
    <cellStyle name="Header2" xfId="525"/>
    <cellStyle name="Heading 1 10" xfId="436"/>
    <cellStyle name="Heading 1 11" xfId="621"/>
    <cellStyle name="Heading 1 12" xfId="667"/>
    <cellStyle name="Heading 1 13" xfId="697"/>
    <cellStyle name="Heading 1 2" xfId="49"/>
    <cellStyle name="Heading 1 3" xfId="175"/>
    <cellStyle name="Heading 1 4" xfId="189"/>
    <cellStyle name="Heading 1 5" xfId="179"/>
    <cellStyle name="Heading 1 6" xfId="300"/>
    <cellStyle name="Heading 1 7" xfId="341"/>
    <cellStyle name="Heading 1 8" xfId="334"/>
    <cellStyle name="Heading 1 9" xfId="425"/>
    <cellStyle name="Heading 2 10" xfId="435"/>
    <cellStyle name="Heading 2 11" xfId="622"/>
    <cellStyle name="Heading 2 12" xfId="668"/>
    <cellStyle name="Heading 2 13" xfId="678"/>
    <cellStyle name="Heading 2 2" xfId="50"/>
    <cellStyle name="Heading 2 3" xfId="176"/>
    <cellStyle name="Heading 2 4" xfId="188"/>
    <cellStyle name="Heading 2 5" xfId="180"/>
    <cellStyle name="Heading 2 6" xfId="301"/>
    <cellStyle name="Heading 2 7" xfId="338"/>
    <cellStyle name="Heading 2 8" xfId="295"/>
    <cellStyle name="Heading 2 9" xfId="426"/>
    <cellStyle name="Heading 3 10" xfId="434"/>
    <cellStyle name="Heading 3 11" xfId="623"/>
    <cellStyle name="Heading 3 12" xfId="669"/>
    <cellStyle name="Heading 3 13" xfId="706"/>
    <cellStyle name="Heading 3 2" xfId="51"/>
    <cellStyle name="Heading 3 3" xfId="177"/>
    <cellStyle name="Heading 3 4" xfId="218"/>
    <cellStyle name="Heading 3 5" xfId="247"/>
    <cellStyle name="Heading 3 6" xfId="302"/>
    <cellStyle name="Heading 3 7" xfId="337"/>
    <cellStyle name="Heading 3 8" xfId="376"/>
    <cellStyle name="Heading 3 9" xfId="427"/>
    <cellStyle name="Heading 4 10" xfId="462"/>
    <cellStyle name="Heading 4 11" xfId="624"/>
    <cellStyle name="Heading 4 12" xfId="670"/>
    <cellStyle name="Heading 4 13" xfId="696"/>
    <cellStyle name="Heading 4 2" xfId="52"/>
    <cellStyle name="Heading 4 3" xfId="178"/>
    <cellStyle name="Heading 4 4" xfId="187"/>
    <cellStyle name="Heading 4 5" xfId="215"/>
    <cellStyle name="Heading 4 6" xfId="303"/>
    <cellStyle name="Heading 4 7" xfId="342"/>
    <cellStyle name="Heading 4 8" xfId="335"/>
    <cellStyle name="Heading 4 9" xfId="428"/>
    <cellStyle name="HEADING1" xfId="526"/>
    <cellStyle name="HEADING2" xfId="527"/>
    <cellStyle name="Hyperlink 2" xfId="53"/>
    <cellStyle name="Hyperlink 2 2" xfId="54"/>
    <cellStyle name="Hyperlink 2 3" xfId="55"/>
    <cellStyle name="Hyperlink 2 4" xfId="113"/>
    <cellStyle name="Hyperlink 3" xfId="528"/>
    <cellStyle name="Input [yellow]" xfId="57"/>
    <cellStyle name="Input [yellow] 2" xfId="529"/>
    <cellStyle name="Input 10" xfId="433"/>
    <cellStyle name="Input 11" xfId="625"/>
    <cellStyle name="Input 12" xfId="671"/>
    <cellStyle name="Input 13" xfId="695"/>
    <cellStyle name="Input 2" xfId="56"/>
    <cellStyle name="Input 3" xfId="181"/>
    <cellStyle name="Input 4" xfId="217"/>
    <cellStyle name="Input 5" xfId="246"/>
    <cellStyle name="Input 6" xfId="305"/>
    <cellStyle name="Input 7" xfId="308"/>
    <cellStyle name="Input 8" xfId="375"/>
    <cellStyle name="Input 9" xfId="429"/>
    <cellStyle name="Item" xfId="530"/>
    <cellStyle name="Labels - Style3" xfId="531"/>
    <cellStyle name="Labels - Style3 2" xfId="532"/>
    <cellStyle name="Link Currency (0)" xfId="533"/>
    <cellStyle name="Link Currency (2)" xfId="534"/>
    <cellStyle name="Link Units (0)" xfId="535"/>
    <cellStyle name="Link Units (1)" xfId="536"/>
    <cellStyle name="Link Units (2)" xfId="537"/>
    <cellStyle name="Linked Cell 10" xfId="546"/>
    <cellStyle name="Linked Cell 11" xfId="626"/>
    <cellStyle name="Linked Cell 12" xfId="672"/>
    <cellStyle name="Linked Cell 13" xfId="705"/>
    <cellStyle name="Linked Cell 2" xfId="58"/>
    <cellStyle name="Linked Cell 3" xfId="182"/>
    <cellStyle name="Linked Cell 4" xfId="223"/>
    <cellStyle name="Linked Cell 5" xfId="252"/>
    <cellStyle name="Linked Cell 6" xfId="306"/>
    <cellStyle name="Linked Cell 7" xfId="336"/>
    <cellStyle name="Linked Cell 8" xfId="381"/>
    <cellStyle name="Linked Cell 9" xfId="430"/>
    <cellStyle name="Millares [0]_10 AVERIAS MASIVAS + ANT" xfId="538"/>
    <cellStyle name="Neutral 10" xfId="461"/>
    <cellStyle name="Neutral 11" xfId="627"/>
    <cellStyle name="Neutral 12" xfId="673"/>
    <cellStyle name="Neutral 13" xfId="694"/>
    <cellStyle name="Neutral 2" xfId="59"/>
    <cellStyle name="Neutral 3" xfId="183"/>
    <cellStyle name="Neutral 4" xfId="186"/>
    <cellStyle name="Neutral 5" xfId="184"/>
    <cellStyle name="Neutral 6" xfId="307"/>
    <cellStyle name="Neutral 7" xfId="304"/>
    <cellStyle name="Neutral 8" xfId="297"/>
    <cellStyle name="Neutral 9" xfId="431"/>
    <cellStyle name="Normal" xfId="0" builtinId="0"/>
    <cellStyle name="Normal - Style1" xfId="60"/>
    <cellStyle name="Normal 10" xfId="61"/>
    <cellStyle name="Normal 10 2" xfId="742"/>
    <cellStyle name="Normal 11" xfId="62"/>
    <cellStyle name="Normal 11 2" xfId="736"/>
    <cellStyle name="Normal 12" xfId="63"/>
    <cellStyle name="Normal 12 2" xfId="125"/>
    <cellStyle name="Normal 12 2 2" xfId="539"/>
    <cellStyle name="Normal 12 3" xfId="540"/>
    <cellStyle name="Normal 13" xfId="114"/>
    <cellStyle name="Normal 13 2" xfId="541"/>
    <cellStyle name="Normal 14" xfId="115"/>
    <cellStyle name="Normal 15" xfId="123"/>
    <cellStyle name="Normal 15 4 4" xfId="740"/>
    <cellStyle name="Normal 16" xfId="65"/>
    <cellStyle name="Normal 16 2" xfId="542"/>
    <cellStyle name="Normal 16 3" xfId="588"/>
    <cellStyle name="Normal 16 4" xfId="634"/>
    <cellStyle name="Normal 16 5" xfId="702"/>
    <cellStyle name="Normal 16 6" xfId="726"/>
    <cellStyle name="Normal 17" xfId="230"/>
    <cellStyle name="Normal 17 2" xfId="543"/>
    <cellStyle name="Normal 17 2 2" xfId="544"/>
    <cellStyle name="Normal 17 3" xfId="589"/>
    <cellStyle name="Normal 17 4" xfId="635"/>
    <cellStyle name="Normal 17 5" xfId="703"/>
    <cellStyle name="Normal 17 6" xfId="727"/>
    <cellStyle name="Normal 18" xfId="259"/>
    <cellStyle name="Normal 18 2" xfId="545"/>
    <cellStyle name="Normal 18 3" xfId="590"/>
    <cellStyle name="Normal 18 4" xfId="636"/>
    <cellStyle name="Normal 18 5" xfId="704"/>
    <cellStyle name="Normal 18 6" xfId="728"/>
    <cellStyle name="Normal 19" xfId="346"/>
    <cellStyle name="Normal 2" xfId="266"/>
    <cellStyle name="Normal 2 10" xfId="116"/>
    <cellStyle name="Normal 2 11" xfId="185"/>
    <cellStyle name="Normal 2 11 2" xfId="547"/>
    <cellStyle name="Normal 2 12" xfId="216"/>
    <cellStyle name="Normal 2 13" xfId="245"/>
    <cellStyle name="Normal 2 14" xfId="309"/>
    <cellStyle name="Normal 2 15" xfId="298"/>
    <cellStyle name="Normal 2 16" xfId="374"/>
    <cellStyle name="Normal 2 17" xfId="432"/>
    <cellStyle name="Normal 2 18" xfId="468"/>
    <cellStyle name="Normal 2 19" xfId="628"/>
    <cellStyle name="Normal 2 2" xfId="64"/>
    <cellStyle name="Normal 2 2 2" xfId="66"/>
    <cellStyle name="Normal 2 2 2 2" xfId="67"/>
    <cellStyle name="Normal 2 2 2 2 2" xfId="126"/>
    <cellStyle name="Normal 2 2 2 2 2 2" xfId="548"/>
    <cellStyle name="Normal 2 2 2 2 3" xfId="549"/>
    <cellStyle name="Normal 2 2 2 26" xfId="748"/>
    <cellStyle name="Normal 2 2 2 3" xfId="68"/>
    <cellStyle name="Normal 2 2 2 4" xfId="117"/>
    <cellStyle name="Normal 2 2 2_0.JHOR JAHANIYA ESTIMATE" xfId="69"/>
    <cellStyle name="Normal 2 2 3" xfId="70"/>
    <cellStyle name="Normal 2 2 4" xfId="71"/>
    <cellStyle name="Normal 2 2 5" xfId="72"/>
    <cellStyle name="Normal 2 2 6" xfId="118"/>
    <cellStyle name="Normal 2 2_Estimated BOQ, cost, summary" xfId="73"/>
    <cellStyle name="Normal 2 20" xfId="676"/>
    <cellStyle name="Normal 2 21" xfId="677"/>
    <cellStyle name="Normal 2 3" xfId="74"/>
    <cellStyle name="Normal 2 3 2" xfId="75"/>
    <cellStyle name="Normal 2 3 3" xfId="131"/>
    <cellStyle name="Normal 2 4" xfId="76"/>
    <cellStyle name="Normal 2 4 2" xfId="743"/>
    <cellStyle name="Normal 2 5" xfId="77"/>
    <cellStyle name="Normal 2 6" xfId="78"/>
    <cellStyle name="Normal 2 7" xfId="79"/>
    <cellStyle name="Normal 2 7 2" xfId="550"/>
    <cellStyle name="Normal 2 8" xfId="80"/>
    <cellStyle name="Normal 2 8 2" xfId="551"/>
    <cellStyle name="Normal 2 9" xfId="81"/>
    <cellStyle name="Normal 2 9 2" xfId="127"/>
    <cellStyle name="Normal 2 9 2 2" xfId="552"/>
    <cellStyle name="Normal 2 9 3" xfId="553"/>
    <cellStyle name="Normal 2_150m3" xfId="438"/>
    <cellStyle name="Normal 20" xfId="388"/>
    <cellStyle name="Normal 21" xfId="395"/>
    <cellStyle name="Normal 22" xfId="475"/>
    <cellStyle name="Normal 23" xfId="591"/>
    <cellStyle name="Normal 24" xfId="637"/>
    <cellStyle name="Normal 25" xfId="725"/>
    <cellStyle name="Normal 25 4" xfId="738"/>
    <cellStyle name="Normal 26" xfId="729"/>
    <cellStyle name="Normal 27" xfId="735"/>
    <cellStyle name="Normal 28" xfId="751"/>
    <cellStyle name="Normal 29" xfId="756"/>
    <cellStyle name="Normal 3" xfId="82"/>
    <cellStyle name="Normal 3 2" xfId="83"/>
    <cellStyle name="Normal 3 2 2" xfId="554"/>
    <cellStyle name="Normal 3 22" xfId="741"/>
    <cellStyle name="Normal 3 3" xfId="84"/>
    <cellStyle name="Normal 3 3 2" xfId="128"/>
    <cellStyle name="Normal 3 3 3" xfId="555"/>
    <cellStyle name="Normal 3 3 4" xfId="556"/>
    <cellStyle name="Normal 3 4" xfId="129"/>
    <cellStyle name="Normal 3_Cost Estimate for ghat renovation" xfId="557"/>
    <cellStyle name="Normal 30" xfId="757"/>
    <cellStyle name="Normal 31" xfId="755"/>
    <cellStyle name="Normal 32" xfId="750"/>
    <cellStyle name="Normal 4" xfId="85"/>
    <cellStyle name="Normal 4 2" xfId="86"/>
    <cellStyle name="Normal 4 2 2" xfId="134"/>
    <cellStyle name="Normal 4 2 3" xfId="558"/>
    <cellStyle name="Normal 4 3" xfId="87"/>
    <cellStyle name="Normal 4 3 2" xfId="135"/>
    <cellStyle name="Normal 4 3 3" xfId="559"/>
    <cellStyle name="Normal 4 4" xfId="88"/>
    <cellStyle name="Normal 4 5" xfId="119"/>
    <cellStyle name="Normal 4 6" xfId="733"/>
    <cellStyle name="Normal 4_0.JHOR JAHANIYA ESTIMATE" xfId="89"/>
    <cellStyle name="Normal 5" xfId="90"/>
    <cellStyle name="Normal 5 2" xfId="91"/>
    <cellStyle name="Normal 5 2 2" xfId="132"/>
    <cellStyle name="Normal 5 2 2 2" xfId="136"/>
    <cellStyle name="Normal 5 2 3" xfId="560"/>
    <cellStyle name="Normal 5 2 3 2" xfId="561"/>
    <cellStyle name="Normal 5 2 4" xfId="562"/>
    <cellStyle name="Normal 5 2_Setidevi-1" xfId="133"/>
    <cellStyle name="Normal 5 3" xfId="92"/>
    <cellStyle name="Normal 5 6" xfId="563"/>
    <cellStyle name="Normal 5_Setidevi-1" xfId="93"/>
    <cellStyle name="Normal 6" xfId="94"/>
    <cellStyle name="Normal 6 2" xfId="95"/>
    <cellStyle name="Normal 6 3" xfId="120"/>
    <cellStyle name="Normal 6 4" xfId="744"/>
    <cellStyle name="Normal 7" xfId="96"/>
    <cellStyle name="Normal 7 2" xfId="130"/>
    <cellStyle name="Normal 7 3" xfId="564"/>
    <cellStyle name="Normal 7 4" xfId="746"/>
    <cellStyle name="Normal 8" xfId="97"/>
    <cellStyle name="Normal 8 2" xfId="98"/>
    <cellStyle name="Normal 8 3" xfId="121"/>
    <cellStyle name="Normal 9" xfId="99"/>
    <cellStyle name="Normal 9 2" xfId="565"/>
    <cellStyle name="Normal_Rates" xfId="734"/>
    <cellStyle name="Normalaprom-lat" xfId="100"/>
    <cellStyle name="Note 10" xfId="583"/>
    <cellStyle name="Note 11" xfId="629"/>
    <cellStyle name="Note 12" xfId="684"/>
    <cellStyle name="Note 13" xfId="701"/>
    <cellStyle name="Note 2" xfId="101"/>
    <cellStyle name="Note 3" xfId="205"/>
    <cellStyle name="Note 4" xfId="237"/>
    <cellStyle name="Note 5" xfId="261"/>
    <cellStyle name="Note 6" xfId="329"/>
    <cellStyle name="Note 7" xfId="366"/>
    <cellStyle name="Note 8" xfId="390"/>
    <cellStyle name="Note 9" xfId="453"/>
    <cellStyle name="Output 10" xfId="584"/>
    <cellStyle name="Output 11" xfId="630"/>
    <cellStyle name="Output 12" xfId="685"/>
    <cellStyle name="Output 13" xfId="700"/>
    <cellStyle name="Output 2" xfId="102"/>
    <cellStyle name="Output 3" xfId="206"/>
    <cellStyle name="Output 4" xfId="238"/>
    <cellStyle name="Output 5" xfId="262"/>
    <cellStyle name="Output 6" xfId="330"/>
    <cellStyle name="Output 7" xfId="367"/>
    <cellStyle name="Output 8" xfId="391"/>
    <cellStyle name="Output 9" xfId="454"/>
    <cellStyle name="Percent [2]" xfId="103"/>
    <cellStyle name="Percent [2] 2" xfId="104"/>
    <cellStyle name="Percent [2] 3" xfId="122"/>
    <cellStyle name="Percent 2" xfId="105"/>
    <cellStyle name="Percent 2 2" xfId="137"/>
    <cellStyle name="Percent 3" xfId="566"/>
    <cellStyle name="Reset  - Style4" xfId="567"/>
    <cellStyle name="special" xfId="568"/>
    <cellStyle name="STYL1 - Style1" xfId="569"/>
    <cellStyle name="STYL2 - Style2" xfId="570"/>
    <cellStyle name="Table  - Style5" xfId="571"/>
    <cellStyle name="Title  - Style6" xfId="572"/>
    <cellStyle name="Title  - Style6 2" xfId="573"/>
    <cellStyle name="Title 10" xfId="585"/>
    <cellStyle name="Title 11" xfId="631"/>
    <cellStyle name="Title 12" xfId="689"/>
    <cellStyle name="Title 13" xfId="675"/>
    <cellStyle name="Title 2" xfId="106"/>
    <cellStyle name="Title 3" xfId="210"/>
    <cellStyle name="Title 4" xfId="242"/>
    <cellStyle name="Title 5" xfId="263"/>
    <cellStyle name="Title 6" xfId="331"/>
    <cellStyle name="Title 7" xfId="371"/>
    <cellStyle name="Title 8" xfId="392"/>
    <cellStyle name="Title 9" xfId="458"/>
    <cellStyle name="Total 10" xfId="586"/>
    <cellStyle name="Total 11" xfId="632"/>
    <cellStyle name="Total 12" xfId="690"/>
    <cellStyle name="Total 13" xfId="674"/>
    <cellStyle name="Total 2" xfId="107"/>
    <cellStyle name="Total 3" xfId="211"/>
    <cellStyle name="Total 4" xfId="243"/>
    <cellStyle name="Total 5" xfId="264"/>
    <cellStyle name="Total 6" xfId="332"/>
    <cellStyle name="Total 7" xfId="372"/>
    <cellStyle name="Total 8" xfId="393"/>
    <cellStyle name="Total 9" xfId="459"/>
    <cellStyle name="TotCol - Style7" xfId="574"/>
    <cellStyle name="TotRow - Style8" xfId="575"/>
    <cellStyle name="Turn" xfId="576"/>
    <cellStyle name="Warning Text 10" xfId="587"/>
    <cellStyle name="Warning Text 11" xfId="633"/>
    <cellStyle name="Warning Text 12" xfId="691"/>
    <cellStyle name="Warning Text 13" xfId="699"/>
    <cellStyle name="Warning Text 2" xfId="108"/>
    <cellStyle name="Warning Text 3" xfId="212"/>
    <cellStyle name="Warning Text 4" xfId="244"/>
    <cellStyle name="Warning Text 5" xfId="265"/>
    <cellStyle name="Warning Text 6" xfId="333"/>
    <cellStyle name="Warning Text 7" xfId="373"/>
    <cellStyle name="Warning Text 8" xfId="394"/>
    <cellStyle name="Warning Text 9" xfId="460"/>
    <cellStyle name="백분율_95" xfId="577"/>
    <cellStyle name="콤마 [0]_95" xfId="578"/>
    <cellStyle name="콤마_95" xfId="579"/>
    <cellStyle name="통화 [0]_95" xfId="580"/>
    <cellStyle name="통화_95" xfId="581"/>
    <cellStyle name="표준_4월실적" xfId="58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80"/>
  <sheetViews>
    <sheetView view="pageBreakPreview" zoomScaleNormal="100" zoomScaleSheetLayoutView="100" workbookViewId="0">
      <selection activeCell="N10" sqref="N10"/>
    </sheetView>
  </sheetViews>
  <sheetFormatPr defaultColWidth="9.109375" defaultRowHeight="16.8"/>
  <cols>
    <col min="1" max="1" width="3.6640625" style="1" customWidth="1"/>
    <col min="2" max="2" width="10.88671875" style="4" customWidth="1"/>
    <col min="3" max="3" width="30.5546875" style="8" customWidth="1"/>
    <col min="4" max="4" width="7" style="1" bestFit="1" customWidth="1"/>
    <col min="5" max="5" width="10.44140625" style="1" bestFit="1" customWidth="1"/>
    <col min="6" max="6" width="10" style="1" customWidth="1"/>
    <col min="7" max="7" width="9.6640625" style="1" customWidth="1"/>
    <col min="8" max="8" width="11" style="1" customWidth="1"/>
    <col min="9" max="9" width="7.5546875" style="1" customWidth="1"/>
    <col min="10" max="10" width="9.88671875" style="2" customWidth="1"/>
    <col min="11" max="11" width="14.5546875" style="1" bestFit="1" customWidth="1"/>
    <col min="12" max="12" width="10.6640625" style="1" bestFit="1" customWidth="1"/>
    <col min="13" max="13" width="9.109375" style="1"/>
    <col min="14" max="14" width="13.33203125" style="1" bestFit="1" customWidth="1"/>
    <col min="15" max="15" width="9.109375" style="1"/>
    <col min="16" max="16" width="14" style="1" bestFit="1" customWidth="1"/>
    <col min="17" max="17" width="11.6640625" style="1" bestFit="1" customWidth="1"/>
    <col min="18" max="16384" width="9.109375" style="1"/>
  </cols>
  <sheetData>
    <row r="1" spans="1:18">
      <c r="A1" s="115" t="s">
        <v>11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</row>
    <row r="2" spans="1:18" ht="20.399999999999999">
      <c r="A2" s="116" t="s">
        <v>16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</row>
    <row r="3" spans="1:18">
      <c r="A3" s="115" t="s">
        <v>17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</row>
    <row r="4" spans="1:18">
      <c r="A4" s="117" t="s">
        <v>22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</row>
    <row r="5" spans="1:18" ht="19.8">
      <c r="A5" s="6"/>
      <c r="B5" s="4" t="s">
        <v>27</v>
      </c>
      <c r="C5" s="28" t="s">
        <v>93</v>
      </c>
      <c r="H5" s="6"/>
      <c r="K5" s="118" t="s">
        <v>69</v>
      </c>
      <c r="L5" s="118"/>
    </row>
    <row r="6" spans="1:18">
      <c r="B6" s="114" t="s">
        <v>28</v>
      </c>
      <c r="C6" s="114"/>
      <c r="D6" s="114"/>
      <c r="E6" s="114"/>
      <c r="F6" s="114"/>
      <c r="G6" s="114"/>
      <c r="H6" s="3"/>
      <c r="I6" s="113" t="s">
        <v>100</v>
      </c>
      <c r="J6" s="113"/>
      <c r="K6" s="113"/>
      <c r="L6" s="113"/>
      <c r="O6" s="113" t="s">
        <v>70</v>
      </c>
      <c r="P6" s="113"/>
      <c r="Q6" s="113"/>
      <c r="R6" s="113"/>
    </row>
    <row r="7" spans="1:18" ht="17.399999999999999" thickBot="1">
      <c r="C7" s="5"/>
      <c r="D7" s="6"/>
      <c r="E7" s="3"/>
      <c r="F7" s="3"/>
      <c r="G7" s="3"/>
      <c r="H7" s="3"/>
      <c r="J7" s="7"/>
      <c r="K7" s="3"/>
      <c r="L7" s="8"/>
    </row>
    <row r="8" spans="1:18" ht="17.399999999999999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600000000000001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600000000000001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600000000000001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4.799999999999997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4.799999999999997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69.599999999999994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399999999999999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zoomScaleNormal="100" workbookViewId="0">
      <selection sqref="A1:J11"/>
    </sheetView>
  </sheetViews>
  <sheetFormatPr defaultRowHeight="14.4"/>
  <cols>
    <col min="1" max="1" width="7.44140625" customWidth="1"/>
    <col min="2" max="2" width="39" customWidth="1"/>
    <col min="3" max="3" width="11.5546875" customWidth="1"/>
    <col min="4" max="4" width="10.88671875" bestFit="1" customWidth="1"/>
    <col min="5" max="5" width="13.109375" customWidth="1"/>
    <col min="6" max="6" width="11.33203125" customWidth="1"/>
    <col min="7" max="7" width="10.6640625" customWidth="1"/>
    <col min="8" max="8" width="12.5546875" customWidth="1"/>
    <col min="9" max="9" width="11.109375" customWidth="1"/>
    <col min="10" max="10" width="11" customWidth="1"/>
  </cols>
  <sheetData>
    <row r="1" spans="1:10">
      <c r="A1" s="124" t="s">
        <v>11</v>
      </c>
      <c r="B1" s="124"/>
      <c r="C1" s="124"/>
      <c r="D1" s="124"/>
      <c r="E1" s="124"/>
      <c r="F1" s="124"/>
      <c r="G1" s="124"/>
      <c r="H1" s="124"/>
      <c r="I1" s="124"/>
      <c r="J1" s="124"/>
    </row>
    <row r="2" spans="1:10" ht="24.6">
      <c r="A2" s="125" t="s">
        <v>52</v>
      </c>
      <c r="B2" s="125"/>
      <c r="C2" s="125"/>
      <c r="D2" s="125"/>
      <c r="E2" s="125"/>
      <c r="F2" s="125"/>
      <c r="G2" s="125"/>
      <c r="H2" s="125"/>
      <c r="I2" s="125"/>
      <c r="J2" s="125"/>
    </row>
    <row r="3" spans="1:10" ht="18">
      <c r="A3" s="126" t="s">
        <v>53</v>
      </c>
      <c r="B3" s="126"/>
      <c r="C3" s="126"/>
      <c r="D3" s="126"/>
      <c r="E3" s="126"/>
      <c r="F3" s="126"/>
      <c r="G3" s="126"/>
      <c r="H3" s="126"/>
      <c r="I3" s="126"/>
      <c r="J3" s="126"/>
    </row>
    <row r="4" spans="1:10">
      <c r="A4" s="127" t="s">
        <v>54</v>
      </c>
      <c r="B4" s="127"/>
      <c r="C4" s="127"/>
      <c r="D4" s="127"/>
      <c r="E4" s="127"/>
      <c r="F4" s="127"/>
      <c r="G4" s="127"/>
      <c r="H4" s="127"/>
      <c r="I4" s="127"/>
      <c r="J4" s="127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6">
      <c r="A6" s="31" t="s">
        <v>55</v>
      </c>
      <c r="B6" s="31"/>
      <c r="C6" s="128" t="e">
        <f>E51</f>
        <v>#REF!</v>
      </c>
      <c r="D6" s="129"/>
      <c r="E6" s="31"/>
      <c r="F6" s="31"/>
      <c r="G6" s="31" t="s">
        <v>56</v>
      </c>
      <c r="H6" s="31"/>
      <c r="I6" s="128" t="e">
        <f>H51</f>
        <v>#REF!</v>
      </c>
      <c r="J6" s="129"/>
    </row>
    <row r="7" spans="1:10">
      <c r="A7" s="32"/>
      <c r="B7" s="32"/>
      <c r="C7" s="119"/>
      <c r="D7" s="119"/>
      <c r="E7" s="119"/>
      <c r="F7" s="119"/>
      <c r="H7" s="120"/>
      <c r="I7" s="120"/>
      <c r="J7" s="120"/>
    </row>
    <row r="8" spans="1:10" ht="16.8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21" t="s">
        <v>60</v>
      </c>
      <c r="B10" s="121" t="s">
        <v>12</v>
      </c>
      <c r="C10" s="123" t="s">
        <v>61</v>
      </c>
      <c r="D10" s="123"/>
      <c r="E10" s="123"/>
      <c r="F10" s="123" t="s">
        <v>62</v>
      </c>
      <c r="G10" s="123"/>
      <c r="H10" s="123"/>
      <c r="I10" s="121" t="s">
        <v>63</v>
      </c>
      <c r="J10" s="121" t="s">
        <v>10</v>
      </c>
    </row>
    <row r="11" spans="1:10">
      <c r="A11" s="122"/>
      <c r="B11" s="122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22"/>
      <c r="J11" s="122"/>
    </row>
    <row r="12" spans="1:10" ht="15.6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6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2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6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6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6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6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6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6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6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6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6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6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6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6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46.8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6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6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6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6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6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6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6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6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6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6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6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6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6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6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6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6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6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6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6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6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6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6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6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6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63"/>
  <sheetViews>
    <sheetView tabSelected="1" view="pageBreakPreview" topLeftCell="A76" zoomScaleNormal="100" zoomScaleSheetLayoutView="100" workbookViewId="0">
      <selection activeCell="A4" sqref="A4:L4"/>
    </sheetView>
  </sheetViews>
  <sheetFormatPr defaultColWidth="9.109375" defaultRowHeight="16.8"/>
  <cols>
    <col min="1" max="1" width="3.6640625" style="139" customWidth="1"/>
    <col min="2" max="2" width="5.5546875" style="143" customWidth="1"/>
    <col min="3" max="3" width="30.5546875" style="152" customWidth="1"/>
    <col min="4" max="4" width="7.109375" style="139" customWidth="1"/>
    <col min="5" max="5" width="8.88671875" style="139" customWidth="1"/>
    <col min="6" max="6" width="10" style="139" customWidth="1"/>
    <col min="7" max="7" width="9.6640625" style="139" customWidth="1"/>
    <col min="8" max="8" width="10.109375" style="139" customWidth="1"/>
    <col min="9" max="9" width="6.88671875" style="139" customWidth="1"/>
    <col min="10" max="10" width="10.109375" style="145" customWidth="1"/>
    <col min="11" max="11" width="11.44140625" style="139" bestFit="1" customWidth="1"/>
    <col min="12" max="12" width="9.6640625" style="139" customWidth="1"/>
    <col min="13" max="16384" width="9.109375" style="139"/>
  </cols>
  <sheetData>
    <row r="1" spans="1:12">
      <c r="A1" s="138" t="s">
        <v>11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</row>
    <row r="2" spans="1:12" ht="20.399999999999999">
      <c r="A2" s="140" t="s">
        <v>16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</row>
    <row r="3" spans="1:12">
      <c r="A3" s="138" t="s">
        <v>17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</row>
    <row r="4" spans="1:12">
      <c r="A4" s="141" t="s">
        <v>22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</row>
    <row r="5" spans="1:12" ht="20.399999999999999">
      <c r="A5" s="142"/>
      <c r="B5" s="144" t="s">
        <v>169</v>
      </c>
      <c r="H5" s="142"/>
      <c r="K5" s="146" t="s">
        <v>101</v>
      </c>
      <c r="L5" s="146"/>
    </row>
    <row r="6" spans="1:12">
      <c r="B6" s="147" t="s">
        <v>28</v>
      </c>
      <c r="C6" s="147"/>
      <c r="D6" s="147"/>
      <c r="E6" s="147"/>
      <c r="F6" s="147"/>
      <c r="G6" s="147"/>
      <c r="H6" s="148"/>
      <c r="I6" s="149" t="s">
        <v>168</v>
      </c>
      <c r="J6" s="149"/>
      <c r="K6" s="149"/>
      <c r="L6" s="149"/>
    </row>
    <row r="7" spans="1:12">
      <c r="C7" s="150"/>
      <c r="D7" s="142"/>
      <c r="E7" s="148"/>
      <c r="F7" s="148"/>
      <c r="G7" s="148"/>
      <c r="H7" s="148"/>
      <c r="J7" s="151"/>
      <c r="K7" s="148"/>
      <c r="L7" s="152"/>
    </row>
    <row r="8" spans="1:12">
      <c r="A8" s="145"/>
      <c r="B8" s="162" t="s">
        <v>0</v>
      </c>
      <c r="C8" s="163" t="s">
        <v>1</v>
      </c>
      <c r="D8" s="164" t="s">
        <v>2</v>
      </c>
      <c r="E8" s="165" t="s">
        <v>3</v>
      </c>
      <c r="F8" s="165" t="s">
        <v>4</v>
      </c>
      <c r="G8" s="165" t="s">
        <v>5</v>
      </c>
      <c r="H8" s="199" t="s">
        <v>6</v>
      </c>
      <c r="I8" s="166" t="s">
        <v>7</v>
      </c>
      <c r="J8" s="165" t="s">
        <v>8</v>
      </c>
      <c r="K8" s="165" t="s">
        <v>9</v>
      </c>
      <c r="L8" s="167" t="s">
        <v>170</v>
      </c>
    </row>
    <row r="9" spans="1:12" ht="18">
      <c r="A9" s="145"/>
      <c r="B9" s="162" t="s">
        <v>94</v>
      </c>
      <c r="C9" s="168" t="s">
        <v>95</v>
      </c>
      <c r="D9" s="164"/>
      <c r="E9" s="165"/>
      <c r="F9" s="165"/>
      <c r="G9" s="165"/>
      <c r="H9" s="165"/>
      <c r="I9" s="166"/>
      <c r="J9" s="165"/>
      <c r="K9" s="165"/>
      <c r="L9" s="167"/>
    </row>
    <row r="10" spans="1:12" ht="35.1" customHeight="1">
      <c r="B10" s="169">
        <v>1</v>
      </c>
      <c r="C10" s="170" t="s">
        <v>103</v>
      </c>
      <c r="D10" s="171">
        <v>1</v>
      </c>
      <c r="E10" s="172">
        <v>5</v>
      </c>
      <c r="F10" s="172">
        <f>11/3.281</f>
        <v>3.3526363913441024</v>
      </c>
      <c r="G10" s="172">
        <v>7.4999999999999997E-2</v>
      </c>
      <c r="H10" s="172">
        <f>D10*E10*F10*G10</f>
        <v>1.2572386467540384</v>
      </c>
      <c r="I10" s="171"/>
      <c r="J10" s="171"/>
      <c r="K10" s="171"/>
      <c r="L10" s="173"/>
    </row>
    <row r="11" spans="1:12">
      <c r="B11" s="169"/>
      <c r="C11" s="174" t="s">
        <v>154</v>
      </c>
      <c r="D11" s="171">
        <v>1</v>
      </c>
      <c r="E11" s="172">
        <f>5.17/3.281</f>
        <v>1.5757391039317281</v>
      </c>
      <c r="F11" s="172">
        <f>2/3.281</f>
        <v>0.6095702529716549</v>
      </c>
      <c r="G11" s="172">
        <v>7.4999999999999997E-2</v>
      </c>
      <c r="H11" s="172">
        <f t="shared" ref="H11" si="0">D11*E11*F11*G11</f>
        <v>7.2039276315074424E-2</v>
      </c>
      <c r="I11" s="171"/>
      <c r="J11" s="171"/>
      <c r="K11" s="171"/>
      <c r="L11" s="173"/>
    </row>
    <row r="12" spans="1:12">
      <c r="B12" s="169"/>
      <c r="C12" s="174"/>
      <c r="D12" s="171"/>
      <c r="E12" s="172"/>
      <c r="F12" s="172"/>
      <c r="G12" s="172"/>
      <c r="H12" s="172">
        <f>SUM(H10:H11)</f>
        <v>1.3292779230691127</v>
      </c>
      <c r="I12" s="171" t="s">
        <v>35</v>
      </c>
      <c r="J12" s="171">
        <v>3740</v>
      </c>
      <c r="K12" s="171">
        <f>H12*J12</f>
        <v>4971.4994322784814</v>
      </c>
      <c r="L12" s="173"/>
    </row>
    <row r="13" spans="1:12" ht="18.600000000000001">
      <c r="B13" s="169"/>
      <c r="C13" s="170"/>
      <c r="D13" s="171"/>
      <c r="E13" s="172"/>
      <c r="F13" s="172"/>
      <c r="G13" s="172"/>
      <c r="H13" s="172"/>
      <c r="I13" s="171"/>
      <c r="J13" s="172"/>
      <c r="K13" s="172"/>
      <c r="L13" s="173"/>
    </row>
    <row r="14" spans="1:12" ht="55.8">
      <c r="B14" s="169">
        <v>2</v>
      </c>
      <c r="C14" s="170" t="s">
        <v>102</v>
      </c>
      <c r="D14" s="171">
        <v>2</v>
      </c>
      <c r="E14" s="172">
        <f>E10</f>
        <v>5</v>
      </c>
      <c r="F14" s="172">
        <v>0.23</v>
      </c>
      <c r="G14" s="172">
        <v>1.4</v>
      </c>
      <c r="H14" s="172">
        <f>D14*E14*G14</f>
        <v>14</v>
      </c>
      <c r="I14" s="172"/>
      <c r="J14" s="172"/>
      <c r="K14" s="172"/>
      <c r="L14" s="173"/>
    </row>
    <row r="15" spans="1:12">
      <c r="B15" s="169"/>
      <c r="C15" s="175"/>
      <c r="D15" s="171">
        <v>2</v>
      </c>
      <c r="E15" s="172">
        <f>F10-0.23*2</f>
        <v>2.8926363913441024</v>
      </c>
      <c r="F15" s="172">
        <v>0.23</v>
      </c>
      <c r="G15" s="172">
        <v>1.4</v>
      </c>
      <c r="H15" s="172">
        <f>D15*E15*G15</f>
        <v>8.0993818957634858</v>
      </c>
      <c r="I15" s="172"/>
      <c r="J15" s="172"/>
      <c r="K15" s="172"/>
      <c r="L15" s="173"/>
    </row>
    <row r="16" spans="1:12">
      <c r="B16" s="169"/>
      <c r="C16" s="175"/>
      <c r="D16" s="171">
        <v>1</v>
      </c>
      <c r="E16" s="172">
        <f>E10</f>
        <v>5</v>
      </c>
      <c r="F16" s="172">
        <v>0.23</v>
      </c>
      <c r="G16" s="172">
        <v>0.45</v>
      </c>
      <c r="H16" s="172">
        <f>D16*E16*G16</f>
        <v>2.25</v>
      </c>
      <c r="I16" s="172"/>
      <c r="J16" s="172"/>
      <c r="K16" s="172"/>
      <c r="L16" s="173"/>
    </row>
    <row r="17" spans="2:12">
      <c r="B17" s="169"/>
      <c r="C17" s="174" t="s">
        <v>158</v>
      </c>
      <c r="D17" s="171">
        <v>1</v>
      </c>
      <c r="E17" s="172">
        <f>3.75/3.281</f>
        <v>1.1429442243218531</v>
      </c>
      <c r="F17" s="172">
        <v>0.23</v>
      </c>
      <c r="G17" s="172">
        <f>2/3.281</f>
        <v>0.6095702529716549</v>
      </c>
      <c r="H17" s="172">
        <f>D17*E17*G17</f>
        <v>0.6967047999523639</v>
      </c>
      <c r="I17" s="172"/>
      <c r="J17" s="172"/>
      <c r="K17" s="172"/>
      <c r="L17" s="173"/>
    </row>
    <row r="18" spans="2:12">
      <c r="B18" s="169"/>
      <c r="C18" s="174" t="s">
        <v>154</v>
      </c>
      <c r="D18" s="171">
        <v>1</v>
      </c>
      <c r="E18" s="172">
        <f>2/3.281</f>
        <v>0.6095702529716549</v>
      </c>
      <c r="F18" s="172">
        <v>0.1</v>
      </c>
      <c r="G18" s="172">
        <f>25/12/3.281</f>
        <v>0.63496901351214063</v>
      </c>
      <c r="H18" s="172">
        <f t="shared" ref="H18" si="1">D18*E18*F18*G18</f>
        <v>3.8705822219575775E-2</v>
      </c>
      <c r="I18" s="171"/>
      <c r="J18" s="171"/>
      <c r="K18" s="171"/>
      <c r="L18" s="173"/>
    </row>
    <row r="19" spans="2:12">
      <c r="B19" s="169"/>
      <c r="C19" s="174" t="s">
        <v>145</v>
      </c>
      <c r="D19" s="171">
        <v>1</v>
      </c>
      <c r="E19" s="172">
        <f>(5.25/3.281)</f>
        <v>1.6001219140505942</v>
      </c>
      <c r="F19" s="172">
        <v>0.23</v>
      </c>
      <c r="G19" s="172">
        <f>((5.33+8)/2)/3.281</f>
        <v>2.03139286802804</v>
      </c>
      <c r="H19" s="172">
        <f t="shared" ref="H19:H21" si="2">D19*E19*G19</f>
        <v>3.2504762441777535</v>
      </c>
      <c r="I19" s="172"/>
      <c r="J19" s="172"/>
      <c r="K19" s="172"/>
      <c r="L19" s="173"/>
    </row>
    <row r="20" spans="2:12">
      <c r="B20" s="169"/>
      <c r="C20" s="175"/>
      <c r="D20" s="171">
        <v>1</v>
      </c>
      <c r="E20" s="172">
        <f>4.5/3.281</f>
        <v>1.3715330691862238</v>
      </c>
      <c r="F20" s="172">
        <v>0.23</v>
      </c>
      <c r="G20" s="172">
        <f>8/3.281</f>
        <v>2.4382810118866196</v>
      </c>
      <c r="H20" s="172">
        <f t="shared" si="2"/>
        <v>3.3441830397713468</v>
      </c>
      <c r="I20" s="172"/>
      <c r="J20" s="172"/>
      <c r="K20" s="172"/>
      <c r="L20" s="173"/>
    </row>
    <row r="21" spans="2:12">
      <c r="B21" s="169"/>
      <c r="C21" s="174" t="s">
        <v>146</v>
      </c>
      <c r="D21" s="171">
        <v>-1</v>
      </c>
      <c r="E21" s="172">
        <f>2.5/3.281</f>
        <v>0.76196281621456874</v>
      </c>
      <c r="F21" s="172">
        <v>0.23</v>
      </c>
      <c r="G21" s="172">
        <f>6.5/3.281</f>
        <v>1.9811033221578787</v>
      </c>
      <c r="H21" s="172">
        <f t="shared" si="2"/>
        <v>-1.5095270665634553</v>
      </c>
      <c r="I21" s="172"/>
      <c r="J21" s="172"/>
      <c r="K21" s="172"/>
      <c r="L21" s="173"/>
    </row>
    <row r="22" spans="2:12">
      <c r="B22" s="169"/>
      <c r="C22" s="176"/>
      <c r="D22" s="171"/>
      <c r="E22" s="172"/>
      <c r="F22" s="172"/>
      <c r="G22" s="177"/>
      <c r="H22" s="172">
        <f>SUM(H14:H21)</f>
        <v>30.169924735321075</v>
      </c>
      <c r="I22" s="171" t="s">
        <v>24</v>
      </c>
      <c r="J22" s="172">
        <v>1982.2</v>
      </c>
      <c r="K22" s="172">
        <f>H22*J22</f>
        <v>59802.824810353435</v>
      </c>
      <c r="L22" s="173"/>
    </row>
    <row r="23" spans="2:12">
      <c r="B23" s="169"/>
      <c r="C23" s="178"/>
      <c r="D23" s="171"/>
      <c r="E23" s="172"/>
      <c r="F23" s="172"/>
      <c r="G23" s="177"/>
      <c r="H23" s="172"/>
      <c r="I23" s="171"/>
      <c r="J23" s="172"/>
      <c r="K23" s="172"/>
      <c r="L23" s="173"/>
    </row>
    <row r="24" spans="2:12" ht="55.8">
      <c r="B24" s="169">
        <v>3</v>
      </c>
      <c r="C24" s="153" t="s">
        <v>105</v>
      </c>
      <c r="D24" s="171"/>
      <c r="E24" s="172"/>
      <c r="F24" s="172"/>
      <c r="G24" s="177"/>
      <c r="H24" s="172"/>
      <c r="I24" s="171"/>
      <c r="J24" s="172"/>
      <c r="K24" s="172"/>
      <c r="L24" s="173"/>
    </row>
    <row r="25" spans="2:12">
      <c r="B25" s="169"/>
      <c r="C25" s="178"/>
      <c r="D25" s="171">
        <f>D10</f>
        <v>1</v>
      </c>
      <c r="E25" s="172">
        <f>E10</f>
        <v>5</v>
      </c>
      <c r="F25" s="172">
        <f>F10</f>
        <v>3.3526363913441024</v>
      </c>
      <c r="G25" s="177">
        <v>7.4999999999999997E-2</v>
      </c>
      <c r="H25" s="172">
        <f>D25*E25*F25*G25</f>
        <v>1.2572386467540384</v>
      </c>
      <c r="I25" s="171"/>
      <c r="J25" s="172"/>
      <c r="K25" s="172"/>
      <c r="L25" s="173"/>
    </row>
    <row r="26" spans="2:12">
      <c r="B26" s="169"/>
      <c r="C26" s="176"/>
      <c r="D26" s="171"/>
      <c r="E26" s="172"/>
      <c r="F26" s="172"/>
      <c r="G26" s="177"/>
      <c r="H26" s="172">
        <f>SUM(H25)</f>
        <v>1.2572386467540384</v>
      </c>
      <c r="I26" s="171" t="s">
        <v>24</v>
      </c>
      <c r="J26" s="172">
        <v>770.43</v>
      </c>
      <c r="K26" s="172">
        <f>H26*J26</f>
        <v>968.61437061871379</v>
      </c>
      <c r="L26" s="173"/>
    </row>
    <row r="27" spans="2:12">
      <c r="B27" s="169"/>
      <c r="C27" s="176"/>
      <c r="D27" s="171"/>
      <c r="E27" s="172"/>
      <c r="F27" s="172"/>
      <c r="G27" s="177"/>
      <c r="H27" s="172"/>
      <c r="I27" s="171"/>
      <c r="J27" s="172"/>
      <c r="K27" s="172"/>
      <c r="L27" s="173"/>
    </row>
    <row r="28" spans="2:12" ht="18.600000000000001">
      <c r="B28" s="179">
        <v>4</v>
      </c>
      <c r="C28" s="154" t="s">
        <v>104</v>
      </c>
      <c r="D28" s="177"/>
      <c r="E28" s="180"/>
      <c r="F28" s="180"/>
      <c r="G28" s="177"/>
      <c r="H28" s="180"/>
      <c r="I28" s="177"/>
      <c r="J28" s="180"/>
      <c r="K28" s="180"/>
      <c r="L28" s="173"/>
    </row>
    <row r="29" spans="2:12">
      <c r="B29" s="179"/>
      <c r="C29" s="181" t="s">
        <v>132</v>
      </c>
      <c r="D29" s="177">
        <f>D16</f>
        <v>1</v>
      </c>
      <c r="E29" s="180">
        <f>E16</f>
        <v>5</v>
      </c>
      <c r="F29" s="180">
        <f>F25</f>
        <v>3.3526363913441024</v>
      </c>
      <c r="G29" s="177"/>
      <c r="H29" s="180">
        <f>PRODUCT(D29:G29)</f>
        <v>16.763181956720512</v>
      </c>
      <c r="I29" s="177"/>
      <c r="J29" s="180"/>
      <c r="K29" s="180"/>
      <c r="L29" s="173"/>
    </row>
    <row r="30" spans="2:12">
      <c r="B30" s="179"/>
      <c r="C30" s="173"/>
      <c r="D30" s="177"/>
      <c r="E30" s="180"/>
      <c r="F30" s="180"/>
      <c r="G30" s="177"/>
      <c r="H30" s="180">
        <f>SUM(H29)</f>
        <v>16.763181956720512</v>
      </c>
      <c r="I30" s="177" t="s">
        <v>23</v>
      </c>
      <c r="J30" s="180">
        <f>Sheet1!H8/10</f>
        <v>155.75</v>
      </c>
      <c r="K30" s="180">
        <f>H30*J30</f>
        <v>2610.8655897592198</v>
      </c>
      <c r="L30" s="173"/>
    </row>
    <row r="31" spans="2:12">
      <c r="B31" s="169"/>
      <c r="C31" s="176"/>
      <c r="D31" s="171"/>
      <c r="E31" s="172"/>
      <c r="F31" s="172"/>
      <c r="G31" s="177"/>
      <c r="H31" s="172"/>
      <c r="I31" s="171"/>
      <c r="J31" s="172"/>
      <c r="K31" s="172"/>
      <c r="L31" s="173"/>
    </row>
    <row r="32" spans="2:12" ht="35.1" customHeight="1">
      <c r="B32" s="169">
        <v>5</v>
      </c>
      <c r="C32" s="170" t="s">
        <v>131</v>
      </c>
      <c r="D32" s="171"/>
      <c r="E32" s="172"/>
      <c r="F32" s="172"/>
      <c r="G32" s="172"/>
      <c r="H32" s="172"/>
      <c r="I32" s="171"/>
      <c r="J32" s="172"/>
      <c r="K32" s="172"/>
      <c r="L32" s="173"/>
    </row>
    <row r="33" spans="2:12">
      <c r="B33" s="169"/>
      <c r="C33" s="182" t="str">
        <f>C29</f>
        <v>-for flooring</v>
      </c>
      <c r="D33" s="171">
        <f>D29</f>
        <v>1</v>
      </c>
      <c r="E33" s="172">
        <f>E29</f>
        <v>5</v>
      </c>
      <c r="F33" s="172">
        <f>F29</f>
        <v>3.3526363913441024</v>
      </c>
      <c r="G33" s="172">
        <v>7.4999999999999997E-2</v>
      </c>
      <c r="H33" s="172">
        <f>D33*E33*F33*G33</f>
        <v>1.2572386467540384</v>
      </c>
      <c r="I33" s="171"/>
      <c r="J33" s="172"/>
      <c r="K33" s="172"/>
      <c r="L33" s="173"/>
    </row>
    <row r="34" spans="2:12">
      <c r="B34" s="169"/>
      <c r="C34" s="183"/>
      <c r="D34" s="171"/>
      <c r="E34" s="172"/>
      <c r="F34" s="172" t="s">
        <v>32</v>
      </c>
      <c r="G34" s="172"/>
      <c r="H34" s="172">
        <f>SUM(H33)</f>
        <v>1.2572386467540384</v>
      </c>
      <c r="I34" s="171" t="s">
        <v>24</v>
      </c>
      <c r="J34" s="172">
        <v>13351.1</v>
      </c>
      <c r="K34" s="172">
        <f>H34*J34</f>
        <v>16785.518896677844</v>
      </c>
      <c r="L34" s="173"/>
    </row>
    <row r="35" spans="2:12">
      <c r="B35" s="169"/>
      <c r="C35" s="182" t="s">
        <v>29</v>
      </c>
      <c r="D35" s="171"/>
      <c r="E35" s="172"/>
      <c r="F35" s="172"/>
      <c r="G35" s="172"/>
      <c r="H35" s="172"/>
      <c r="I35" s="171"/>
      <c r="J35" s="172"/>
      <c r="K35" s="172">
        <f>0.13*H34*4169.92</f>
        <v>681.53599512343794</v>
      </c>
      <c r="L35" s="173"/>
    </row>
    <row r="36" spans="2:12">
      <c r="B36" s="169"/>
      <c r="C36" s="182" t="s">
        <v>30</v>
      </c>
      <c r="D36" s="171"/>
      <c r="E36" s="172"/>
      <c r="F36" s="172"/>
      <c r="G36" s="172"/>
      <c r="H36" s="172"/>
      <c r="I36" s="171"/>
      <c r="J36" s="172"/>
      <c r="K36" s="172">
        <f>0.13*H34*1414.16</f>
        <v>231.13175861017984</v>
      </c>
      <c r="L36" s="173"/>
    </row>
    <row r="37" spans="2:12">
      <c r="B37" s="169"/>
      <c r="C37" s="182" t="s">
        <v>31</v>
      </c>
      <c r="D37" s="171"/>
      <c r="E37" s="172"/>
      <c r="F37" s="172"/>
      <c r="G37" s="172"/>
      <c r="H37" s="172"/>
      <c r="I37" s="171"/>
      <c r="J37" s="172"/>
      <c r="K37" s="172">
        <f>0.13*H34*(1652.5+737.97+349.56)</f>
        <v>447.83330920451084</v>
      </c>
      <c r="L37" s="173"/>
    </row>
    <row r="38" spans="2:12" ht="18.600000000000001">
      <c r="B38" s="169"/>
      <c r="C38" s="170"/>
      <c r="D38" s="171"/>
      <c r="E38" s="172"/>
      <c r="F38" s="172"/>
      <c r="G38" s="172"/>
      <c r="H38" s="172"/>
      <c r="I38" s="171"/>
      <c r="J38" s="172"/>
      <c r="K38" s="172"/>
      <c r="L38" s="173"/>
    </row>
    <row r="39" spans="2:12" ht="35.1" customHeight="1">
      <c r="B39" s="169">
        <v>6</v>
      </c>
      <c r="C39" s="170" t="s">
        <v>80</v>
      </c>
      <c r="D39" s="171"/>
      <c r="E39" s="172"/>
      <c r="F39" s="172"/>
      <c r="G39" s="172"/>
      <c r="H39" s="172"/>
      <c r="I39" s="171"/>
      <c r="J39" s="172"/>
      <c r="K39" s="172"/>
      <c r="L39" s="173"/>
    </row>
    <row r="40" spans="2:12">
      <c r="B40" s="169"/>
      <c r="C40" s="184" t="s">
        <v>133</v>
      </c>
      <c r="D40" s="171">
        <v>33</v>
      </c>
      <c r="E40" s="172">
        <f>(2+5.917+16.17+5.917+2)/3.281</f>
        <v>9.7543431880524238</v>
      </c>
      <c r="F40" s="172"/>
      <c r="G40" s="172">
        <f>10*10/162</f>
        <v>0.61728395061728392</v>
      </c>
      <c r="H40" s="172">
        <f>D40*E40*G40</f>
        <v>198.69958346032715</v>
      </c>
      <c r="I40" s="171"/>
      <c r="J40" s="172"/>
      <c r="K40" s="172"/>
      <c r="L40" s="173"/>
    </row>
    <row r="41" spans="2:12">
      <c r="B41" s="169"/>
      <c r="C41" s="182"/>
      <c r="D41" s="171">
        <v>32</v>
      </c>
      <c r="E41" s="172">
        <f>(2+5.5+15.667+5.5+2)/3.281</f>
        <v>9.3468454739408724</v>
      </c>
      <c r="F41" s="172"/>
      <c r="G41" s="172">
        <f>10*10/162</f>
        <v>0.61728395061728392</v>
      </c>
      <c r="H41" s="172">
        <f t="shared" ref="H41" si="3">D41*E41*G41</f>
        <v>184.62904639883203</v>
      </c>
      <c r="I41" s="171"/>
      <c r="J41" s="172"/>
      <c r="K41" s="172"/>
      <c r="L41" s="173"/>
    </row>
    <row r="42" spans="2:12">
      <c r="B42" s="169"/>
      <c r="C42" s="184" t="s">
        <v>133</v>
      </c>
      <c r="D42" s="171">
        <v>23</v>
      </c>
      <c r="E42" s="172">
        <f>(2+5.917+10.75+5.917+2)/3.281</f>
        <v>8.1024078024992381</v>
      </c>
      <c r="F42" s="172"/>
      <c r="G42" s="172">
        <f>10*10/162</f>
        <v>0.61728395061728392</v>
      </c>
      <c r="H42" s="172">
        <f>D42*E42*G42</f>
        <v>115.03418485029782</v>
      </c>
      <c r="I42" s="171"/>
      <c r="J42" s="172"/>
      <c r="K42" s="172"/>
      <c r="L42" s="173"/>
    </row>
    <row r="43" spans="2:12">
      <c r="B43" s="169"/>
      <c r="C43" s="182"/>
      <c r="D43" s="171">
        <v>22</v>
      </c>
      <c r="E43" s="172">
        <f>(2+5.5+10.25+5.5+2)/3.281</f>
        <v>7.6958244437671439</v>
      </c>
      <c r="F43" s="172"/>
      <c r="G43" s="172">
        <f>10*10/162</f>
        <v>0.61728395061728392</v>
      </c>
      <c r="H43" s="172">
        <f t="shared" ref="H43" si="4">D43*E43*G43</f>
        <v>104.51119614992416</v>
      </c>
      <c r="I43" s="171"/>
      <c r="J43" s="172"/>
      <c r="K43" s="172"/>
      <c r="L43" s="173"/>
    </row>
    <row r="44" spans="2:12">
      <c r="B44" s="169"/>
      <c r="C44" s="183"/>
      <c r="D44" s="171">
        <v>12</v>
      </c>
      <c r="E44" s="172">
        <f>(16.17+10.75+16.17+10.75)/3.281</f>
        <v>16.409631209996952</v>
      </c>
      <c r="F44" s="172"/>
      <c r="G44" s="172">
        <f>8*8/162</f>
        <v>0.39506172839506171</v>
      </c>
      <c r="H44" s="172">
        <f>D44*E44*G44</f>
        <v>77.79380721776333</v>
      </c>
      <c r="I44" s="171"/>
      <c r="J44" s="172"/>
      <c r="K44" s="172"/>
      <c r="L44" s="173"/>
    </row>
    <row r="45" spans="2:12">
      <c r="B45" s="169"/>
      <c r="C45" s="182"/>
      <c r="D45" s="171">
        <v>11</v>
      </c>
      <c r="E45" s="172">
        <f>(15.667+10.25+15.667+10.25)/3.281</f>
        <v>15.798232246266382</v>
      </c>
      <c r="F45" s="172"/>
      <c r="G45" s="172">
        <f>8*8/162</f>
        <v>0.39506172839506171</v>
      </c>
      <c r="H45" s="172">
        <f>D45*E45*G45</f>
        <v>68.654046304762545</v>
      </c>
      <c r="I45" s="171"/>
      <c r="J45" s="172"/>
      <c r="K45" s="172"/>
      <c r="L45" s="173"/>
    </row>
    <row r="46" spans="2:12">
      <c r="B46" s="169"/>
      <c r="C46" s="184" t="s">
        <v>134</v>
      </c>
      <c r="D46" s="171">
        <f>2*TRUNC((E47/0.15),0)</f>
        <v>42</v>
      </c>
      <c r="E46" s="172">
        <f>(16.17/3.281)</f>
        <v>4.928375495275831</v>
      </c>
      <c r="F46" s="172"/>
      <c r="G46" s="172">
        <f t="shared" ref="G46:G50" si="5">8*8/162</f>
        <v>0.39506172839506171</v>
      </c>
      <c r="H46" s="172">
        <f t="shared" ref="H46:H47" si="6">D46*E46*G46</f>
        <v>81.774526736428598</v>
      </c>
      <c r="I46" s="171"/>
      <c r="J46" s="172"/>
      <c r="K46" s="172"/>
      <c r="L46" s="173"/>
    </row>
    <row r="47" spans="2:12">
      <c r="B47" s="169"/>
      <c r="C47" s="182"/>
      <c r="D47" s="171">
        <f>2*TRUNC((E46/0.15),0)</f>
        <v>64</v>
      </c>
      <c r="E47" s="172">
        <f>10.75/3.281</f>
        <v>3.2764401097226452</v>
      </c>
      <c r="F47" s="172"/>
      <c r="G47" s="172">
        <f t="shared" si="5"/>
        <v>0.39506172839506171</v>
      </c>
      <c r="H47" s="172">
        <f t="shared" si="6"/>
        <v>82.841349934715765</v>
      </c>
      <c r="I47" s="171"/>
      <c r="J47" s="172"/>
      <c r="K47" s="172"/>
      <c r="L47" s="173"/>
    </row>
    <row r="48" spans="2:12">
      <c r="B48" s="169"/>
      <c r="C48" s="184" t="s">
        <v>146</v>
      </c>
      <c r="D48" s="171">
        <f>-2*5</f>
        <v>-10</v>
      </c>
      <c r="E48" s="172">
        <v>0.6</v>
      </c>
      <c r="F48" s="172"/>
      <c r="G48" s="172">
        <f t="shared" si="5"/>
        <v>0.39506172839506171</v>
      </c>
      <c r="H48" s="172">
        <f t="shared" ref="H48:H49" si="7">PRODUCT(D48:G48)</f>
        <v>-2.3703703703703702</v>
      </c>
      <c r="I48" s="171"/>
      <c r="J48" s="172"/>
      <c r="K48" s="172"/>
      <c r="L48" s="173"/>
    </row>
    <row r="49" spans="2:12">
      <c r="B49" s="169"/>
      <c r="C49" s="184"/>
      <c r="D49" s="171">
        <f>-2*5</f>
        <v>-10</v>
      </c>
      <c r="E49" s="172">
        <v>0.6</v>
      </c>
      <c r="F49" s="172"/>
      <c r="G49" s="172">
        <f t="shared" si="5"/>
        <v>0.39506172839506171</v>
      </c>
      <c r="H49" s="172">
        <f t="shared" si="7"/>
        <v>-2.3703703703703702</v>
      </c>
      <c r="I49" s="171"/>
      <c r="J49" s="172"/>
      <c r="K49" s="172"/>
      <c r="L49" s="173"/>
    </row>
    <row r="50" spans="2:12">
      <c r="B50" s="169"/>
      <c r="C50" s="184" t="s">
        <v>141</v>
      </c>
      <c r="D50" s="185">
        <f>28*2+17*2</f>
        <v>90</v>
      </c>
      <c r="E50" s="172">
        <f>(1+1.42+1)/3.281</f>
        <v>1.04236513258153</v>
      </c>
      <c r="F50" s="172"/>
      <c r="G50" s="172">
        <f t="shared" si="5"/>
        <v>0.39506172839506171</v>
      </c>
      <c r="H50" s="172">
        <f t="shared" ref="H50" si="8">D50*E50*G50</f>
        <v>37.061871380676621</v>
      </c>
      <c r="I50" s="171"/>
      <c r="J50" s="172"/>
      <c r="K50" s="172"/>
      <c r="L50" s="173"/>
    </row>
    <row r="51" spans="2:12">
      <c r="B51" s="169"/>
      <c r="C51" s="182"/>
      <c r="D51" s="171"/>
      <c r="E51" s="172"/>
      <c r="F51" s="172"/>
      <c r="G51" s="172"/>
      <c r="H51" s="172">
        <f>SUM(H40:H50)</f>
        <v>946.25887169298721</v>
      </c>
      <c r="I51" s="171" t="s">
        <v>18</v>
      </c>
      <c r="J51" s="172">
        <f>132360/1000</f>
        <v>132.36000000000001</v>
      </c>
      <c r="K51" s="172">
        <f>H51*J51</f>
        <v>125246.82425728381</v>
      </c>
      <c r="L51" s="173"/>
    </row>
    <row r="52" spans="2:12">
      <c r="B52" s="169"/>
      <c r="C52" s="182" t="s">
        <v>81</v>
      </c>
      <c r="D52" s="171"/>
      <c r="E52" s="172"/>
      <c r="F52" s="172"/>
      <c r="G52" s="172"/>
      <c r="H52" s="172"/>
      <c r="I52" s="171"/>
      <c r="J52" s="172"/>
      <c r="K52" s="172">
        <f>0.13*H51*106200/1000</f>
        <v>13064.049982593382</v>
      </c>
      <c r="L52" s="173"/>
    </row>
    <row r="53" spans="2:12">
      <c r="B53" s="169"/>
      <c r="C53" s="182"/>
      <c r="D53" s="171"/>
      <c r="E53" s="172"/>
      <c r="F53" s="172"/>
      <c r="G53" s="172"/>
      <c r="H53" s="172"/>
      <c r="I53" s="171"/>
      <c r="J53" s="172"/>
      <c r="K53" s="172"/>
      <c r="L53" s="173"/>
    </row>
    <row r="54" spans="2:12" ht="37.200000000000003">
      <c r="B54" s="169">
        <v>7</v>
      </c>
      <c r="C54" s="170" t="s">
        <v>135</v>
      </c>
      <c r="D54" s="171"/>
      <c r="E54" s="172"/>
      <c r="F54" s="172"/>
      <c r="G54" s="172"/>
      <c r="H54" s="172"/>
      <c r="I54" s="171"/>
      <c r="J54" s="172"/>
      <c r="K54" s="172"/>
      <c r="L54" s="173"/>
    </row>
    <row r="55" spans="2:12">
      <c r="B55" s="169"/>
      <c r="C55" s="184" t="s">
        <v>136</v>
      </c>
      <c r="D55" s="171">
        <v>1</v>
      </c>
      <c r="E55" s="172">
        <f>((16.42+11)*2)/3.281</f>
        <v>16.714416336482781</v>
      </c>
      <c r="F55" s="172"/>
      <c r="G55" s="172">
        <f>4.583/3.281</f>
        <v>1.3968302346845474</v>
      </c>
      <c r="H55" s="172">
        <f>PRODUCT(D55:G55)</f>
        <v>23.347202093904475</v>
      </c>
      <c r="I55" s="171"/>
      <c r="J55" s="172"/>
      <c r="K55" s="172"/>
      <c r="L55" s="173"/>
    </row>
    <row r="56" spans="2:12">
      <c r="B56" s="169"/>
      <c r="C56" s="182"/>
      <c r="D56" s="171">
        <v>1</v>
      </c>
      <c r="E56" s="172">
        <f>((15.42+10)*2)/3.281</f>
        <v>15.49527583053947</v>
      </c>
      <c r="F56" s="172"/>
      <c r="G56" s="172">
        <f>4.17/3.281</f>
        <v>1.2709539774459007</v>
      </c>
      <c r="H56" s="172">
        <f t="shared" ref="H56:H58" si="9">PRODUCT(D56:G56)</f>
        <v>19.693782448445472</v>
      </c>
      <c r="I56" s="171"/>
      <c r="J56" s="172"/>
      <c r="K56" s="172"/>
      <c r="L56" s="173"/>
    </row>
    <row r="57" spans="2:12">
      <c r="B57" s="169"/>
      <c r="C57" s="184" t="s">
        <v>137</v>
      </c>
      <c r="D57" s="171">
        <v>1</v>
      </c>
      <c r="E57" s="172">
        <f>(15.42/3.281)</f>
        <v>4.6997866504114594</v>
      </c>
      <c r="F57" s="172">
        <f>10/3.281</f>
        <v>3.047851264858275</v>
      </c>
      <c r="G57" s="172"/>
      <c r="H57" s="172">
        <f t="shared" si="9"/>
        <v>14.324250687020601</v>
      </c>
      <c r="I57" s="171"/>
      <c r="J57" s="172"/>
      <c r="K57" s="172"/>
      <c r="L57" s="173"/>
    </row>
    <row r="58" spans="2:12">
      <c r="B58" s="169"/>
      <c r="C58" s="184" t="s">
        <v>146</v>
      </c>
      <c r="D58" s="171">
        <v>-1</v>
      </c>
      <c r="E58" s="172">
        <v>0.6</v>
      </c>
      <c r="F58" s="172">
        <v>0.6</v>
      </c>
      <c r="G58" s="172"/>
      <c r="H58" s="172">
        <f t="shared" si="9"/>
        <v>-0.36</v>
      </c>
      <c r="I58" s="171"/>
      <c r="J58" s="172"/>
      <c r="K58" s="172"/>
      <c r="L58" s="173"/>
    </row>
    <row r="59" spans="2:12">
      <c r="B59" s="169"/>
      <c r="C59" s="182"/>
      <c r="D59" s="171"/>
      <c r="E59" s="172"/>
      <c r="F59" s="172"/>
      <c r="G59" s="172"/>
      <c r="H59" s="172">
        <f>SUM(H55:H58)</f>
        <v>57.005235229370548</v>
      </c>
      <c r="I59" s="171" t="s">
        <v>23</v>
      </c>
      <c r="J59" s="172">
        <v>922.71</v>
      </c>
      <c r="K59" s="172">
        <f>H59*J59</f>
        <v>52599.300598492504</v>
      </c>
      <c r="L59" s="173"/>
    </row>
    <row r="60" spans="2:12">
      <c r="B60" s="169"/>
      <c r="C60" s="182" t="s">
        <v>81</v>
      </c>
      <c r="D60" s="171"/>
      <c r="E60" s="172"/>
      <c r="F60" s="172"/>
      <c r="G60" s="172"/>
      <c r="H60" s="172"/>
      <c r="I60" s="171"/>
      <c r="J60" s="172"/>
      <c r="K60" s="172">
        <f>0.13*H59*46827.87/100</f>
        <v>3470.2638680324994</v>
      </c>
      <c r="L60" s="173"/>
    </row>
    <row r="61" spans="2:12">
      <c r="B61" s="169"/>
      <c r="C61" s="182"/>
      <c r="D61" s="171"/>
      <c r="E61" s="172"/>
      <c r="F61" s="172"/>
      <c r="G61" s="172"/>
      <c r="H61" s="172"/>
      <c r="I61" s="171"/>
      <c r="J61" s="172"/>
      <c r="K61" s="172"/>
      <c r="L61" s="173"/>
    </row>
    <row r="62" spans="2:12" ht="55.8">
      <c r="B62" s="169">
        <v>8</v>
      </c>
      <c r="C62" s="170" t="s">
        <v>142</v>
      </c>
      <c r="D62" s="171"/>
      <c r="E62" s="172"/>
      <c r="F62" s="172"/>
      <c r="G62" s="172"/>
      <c r="H62" s="172"/>
      <c r="I62" s="171"/>
      <c r="J62" s="172"/>
      <c r="K62" s="172"/>
      <c r="L62" s="173"/>
    </row>
    <row r="63" spans="2:12">
      <c r="B63" s="169"/>
      <c r="C63" s="184" t="s">
        <v>140</v>
      </c>
      <c r="D63" s="171">
        <v>2</v>
      </c>
      <c r="E63" s="172">
        <f>E29</f>
        <v>5</v>
      </c>
      <c r="F63" s="172">
        <f>F29</f>
        <v>3.3526363913441024</v>
      </c>
      <c r="G63" s="172">
        <f>0.42/3.281</f>
        <v>0.12800975312404753</v>
      </c>
      <c r="H63" s="172">
        <f>D63*E63*F63*G63</f>
        <v>4.2917015677065615</v>
      </c>
      <c r="I63" s="171"/>
      <c r="J63" s="172"/>
      <c r="K63" s="172"/>
      <c r="L63" s="173"/>
    </row>
    <row r="64" spans="2:12">
      <c r="B64" s="169"/>
      <c r="C64" s="184" t="s">
        <v>139</v>
      </c>
      <c r="D64" s="171">
        <v>2</v>
      </c>
      <c r="E64" s="172">
        <f>E63</f>
        <v>5</v>
      </c>
      <c r="F64" s="172">
        <v>0.15</v>
      </c>
      <c r="G64" s="172">
        <f>5.25/3.281</f>
        <v>1.6001219140505942</v>
      </c>
      <c r="H64" s="172">
        <f>D64*E64*F64*G64</f>
        <v>2.4001828710758915</v>
      </c>
      <c r="I64" s="171"/>
      <c r="J64" s="172"/>
      <c r="K64" s="172"/>
      <c r="L64" s="173"/>
    </row>
    <row r="65" spans="2:12">
      <c r="B65" s="169"/>
      <c r="C65" s="183"/>
      <c r="D65" s="171">
        <v>2</v>
      </c>
      <c r="E65" s="172">
        <f>10/3.281</f>
        <v>3.047851264858275</v>
      </c>
      <c r="F65" s="172">
        <v>0.15</v>
      </c>
      <c r="G65" s="172">
        <f>5.25/3.281</f>
        <v>1.6001219140505942</v>
      </c>
      <c r="H65" s="172">
        <f>D65*E65*F65*G65</f>
        <v>1.4630800798999641</v>
      </c>
      <c r="I65" s="171"/>
      <c r="J65" s="172"/>
      <c r="K65" s="172"/>
      <c r="L65" s="173"/>
    </row>
    <row r="66" spans="2:12">
      <c r="B66" s="169"/>
      <c r="C66" s="184" t="s">
        <v>138</v>
      </c>
      <c r="D66" s="171">
        <v>0.5</v>
      </c>
      <c r="E66" s="172">
        <f>(13.42*2+8*2)/3.281</f>
        <v>13.05699481865285</v>
      </c>
      <c r="F66" s="172">
        <f>1/3.281</f>
        <v>0.30478512648582745</v>
      </c>
      <c r="G66" s="172">
        <f>1/3.281</f>
        <v>0.30478512648582745</v>
      </c>
      <c r="H66" s="172">
        <f>D66*E66*F66*G66</f>
        <v>0.60645806420723891</v>
      </c>
      <c r="I66" s="171"/>
      <c r="J66" s="172"/>
      <c r="K66" s="172"/>
      <c r="L66" s="173"/>
    </row>
    <row r="67" spans="2:12">
      <c r="B67" s="169"/>
      <c r="C67" s="184" t="s">
        <v>146</v>
      </c>
      <c r="D67" s="171">
        <v>-1</v>
      </c>
      <c r="E67" s="172">
        <v>0.6</v>
      </c>
      <c r="F67" s="172">
        <v>0.6</v>
      </c>
      <c r="G67" s="172">
        <f>0.42/3.281</f>
        <v>0.12800975312404753</v>
      </c>
      <c r="H67" s="172">
        <f>D67*E67*F67*G67</f>
        <v>-4.6083511124657105E-2</v>
      </c>
      <c r="I67" s="171"/>
      <c r="J67" s="172"/>
      <c r="K67" s="172"/>
      <c r="L67" s="173"/>
    </row>
    <row r="68" spans="2:12">
      <c r="B68" s="169"/>
      <c r="C68" s="184"/>
      <c r="D68" s="171"/>
      <c r="E68" s="172"/>
      <c r="F68" s="172" t="s">
        <v>32</v>
      </c>
      <c r="G68" s="172"/>
      <c r="H68" s="172">
        <f>SUM(H63:H67)</f>
        <v>8.7153390717649994</v>
      </c>
      <c r="I68" s="171" t="s">
        <v>24</v>
      </c>
      <c r="J68" s="172">
        <v>13957.29</v>
      </c>
      <c r="K68" s="172">
        <f>H68*J68</f>
        <v>121642.51487295491</v>
      </c>
      <c r="L68" s="173"/>
    </row>
    <row r="69" spans="2:12">
      <c r="B69" s="169"/>
      <c r="C69" s="182" t="s">
        <v>29</v>
      </c>
      <c r="D69" s="171"/>
      <c r="E69" s="172"/>
      <c r="F69" s="172"/>
      <c r="G69" s="172"/>
      <c r="H69" s="172"/>
      <c r="I69" s="171"/>
      <c r="J69" s="172"/>
      <c r="K69" s="172">
        <f>0.13*H68*5212.4</f>
        <v>5905.6183390968245</v>
      </c>
      <c r="L69" s="173"/>
    </row>
    <row r="70" spans="2:12">
      <c r="B70" s="169"/>
      <c r="C70" s="182" t="s">
        <v>30</v>
      </c>
      <c r="D70" s="171"/>
      <c r="E70" s="172"/>
      <c r="F70" s="172"/>
      <c r="G70" s="172"/>
      <c r="H70" s="172"/>
      <c r="I70" s="171"/>
      <c r="J70" s="172"/>
      <c r="K70" s="172">
        <f>0.13*H68*1350.6</f>
        <v>1530.221803542355</v>
      </c>
      <c r="L70" s="173"/>
    </row>
    <row r="71" spans="2:12">
      <c r="B71" s="169"/>
      <c r="C71" s="182" t="s">
        <v>31</v>
      </c>
      <c r="D71" s="171"/>
      <c r="E71" s="172"/>
      <c r="F71" s="172"/>
      <c r="G71" s="172"/>
      <c r="H71" s="172"/>
      <c r="I71" s="171"/>
      <c r="J71" s="172"/>
      <c r="K71" s="172">
        <f>0.13*H68*(1912.03+921.59)</f>
        <v>3210.4746830695158</v>
      </c>
      <c r="L71" s="173"/>
    </row>
    <row r="72" spans="2:12">
      <c r="B72" s="169"/>
      <c r="C72" s="182" t="s">
        <v>143</v>
      </c>
      <c r="D72" s="171"/>
      <c r="E72" s="172"/>
      <c r="F72" s="172"/>
      <c r="G72" s="172"/>
      <c r="H72" s="172"/>
      <c r="I72" s="171"/>
      <c r="J72" s="172"/>
      <c r="K72" s="172">
        <f>0.13*H68*392.92</f>
        <v>445.17603365012752</v>
      </c>
      <c r="L72" s="173"/>
    </row>
    <row r="73" spans="2:12">
      <c r="B73" s="169"/>
      <c r="C73" s="182" t="s">
        <v>144</v>
      </c>
      <c r="D73" s="171"/>
      <c r="E73" s="172"/>
      <c r="F73" s="172"/>
      <c r="G73" s="172"/>
      <c r="H73" s="172"/>
      <c r="I73" s="171"/>
      <c r="J73" s="172"/>
      <c r="K73" s="172">
        <f>0.13*H68*14.15</f>
        <v>16.031866222511717</v>
      </c>
      <c r="L73" s="173"/>
    </row>
    <row r="74" spans="2:12">
      <c r="B74" s="169"/>
      <c r="C74" s="182"/>
      <c r="D74" s="171"/>
      <c r="E74" s="172"/>
      <c r="F74" s="172"/>
      <c r="G74" s="172"/>
      <c r="H74" s="172"/>
      <c r="I74" s="171"/>
      <c r="J74" s="172"/>
      <c r="K74" s="172"/>
      <c r="L74" s="173"/>
    </row>
    <row r="75" spans="2:12" ht="52.8">
      <c r="B75" s="169">
        <v>9</v>
      </c>
      <c r="C75" s="170" t="s">
        <v>165</v>
      </c>
      <c r="D75" s="171"/>
      <c r="E75" s="172"/>
      <c r="F75" s="172"/>
      <c r="G75" s="172"/>
      <c r="H75" s="172"/>
      <c r="I75" s="171"/>
      <c r="J75" s="172"/>
      <c r="K75" s="172"/>
      <c r="L75" s="173"/>
    </row>
    <row r="76" spans="2:12">
      <c r="B76" s="169"/>
      <c r="C76" s="182" t="str">
        <f>C19</f>
        <v>-at toilet of ward</v>
      </c>
      <c r="D76" s="171">
        <v>1</v>
      </c>
      <c r="E76" s="172">
        <f>5.33/3.281</f>
        <v>1.6245047241694606</v>
      </c>
      <c r="F76" s="172">
        <v>0.23</v>
      </c>
      <c r="G76" s="172">
        <f>8.75/3.281</f>
        <v>2.6668698567509903</v>
      </c>
      <c r="H76" s="172">
        <f>D76*E76*F76*G76</f>
        <v>0.99643881663853684</v>
      </c>
      <c r="I76" s="171"/>
      <c r="J76" s="171"/>
      <c r="K76" s="171"/>
      <c r="L76" s="173"/>
    </row>
    <row r="77" spans="2:12">
      <c r="B77" s="169"/>
      <c r="C77" s="182" t="s">
        <v>146</v>
      </c>
      <c r="D77" s="171">
        <v>-1</v>
      </c>
      <c r="E77" s="172">
        <f>2.5/3.281</f>
        <v>0.76196281621456874</v>
      </c>
      <c r="F77" s="172">
        <v>0.23</v>
      </c>
      <c r="G77" s="172">
        <f>6.5/3.281</f>
        <v>1.9811033221578787</v>
      </c>
      <c r="H77" s="172">
        <f>D77*E77*F77*G77</f>
        <v>-0.34719122530959468</v>
      </c>
      <c r="I77" s="171"/>
      <c r="J77" s="171"/>
      <c r="K77" s="171"/>
      <c r="L77" s="173"/>
    </row>
    <row r="78" spans="2:12">
      <c r="B78" s="169"/>
      <c r="C78" s="182"/>
      <c r="D78" s="171"/>
      <c r="E78" s="172"/>
      <c r="F78" s="172"/>
      <c r="G78" s="177"/>
      <c r="H78" s="172">
        <f>SUM(H76:H77)</f>
        <v>0.64924759132894216</v>
      </c>
      <c r="I78" s="171" t="s">
        <v>35</v>
      </c>
      <c r="J78" s="172">
        <v>14491.84</v>
      </c>
      <c r="K78" s="172">
        <f>H78*J78</f>
        <v>9408.7922139244165</v>
      </c>
      <c r="L78" s="173"/>
    </row>
    <row r="79" spans="2:12">
      <c r="B79" s="169"/>
      <c r="C79" s="182" t="s">
        <v>29</v>
      </c>
      <c r="D79" s="171"/>
      <c r="E79" s="172"/>
      <c r="F79" s="172"/>
      <c r="G79" s="177"/>
      <c r="H79" s="171"/>
      <c r="I79" s="171"/>
      <c r="J79" s="172"/>
      <c r="K79" s="172">
        <f>0.13*H78*912.17</f>
        <v>76.989142799727745</v>
      </c>
      <c r="L79" s="173"/>
    </row>
    <row r="80" spans="2:12">
      <c r="B80" s="169"/>
      <c r="C80" s="182" t="s">
        <v>30</v>
      </c>
      <c r="D80" s="171"/>
      <c r="E80" s="171"/>
      <c r="F80" s="171"/>
      <c r="G80" s="171"/>
      <c r="H80" s="171"/>
      <c r="I80" s="171"/>
      <c r="J80" s="172"/>
      <c r="K80" s="172">
        <f>0.13*H78*953.37</f>
        <v>80.466512898885568</v>
      </c>
      <c r="L80" s="173"/>
    </row>
    <row r="81" spans="2:12">
      <c r="B81" s="169"/>
      <c r="C81" s="182" t="s">
        <v>38</v>
      </c>
      <c r="D81" s="171"/>
      <c r="E81" s="172"/>
      <c r="F81" s="172"/>
      <c r="G81" s="177"/>
      <c r="H81" s="172"/>
      <c r="I81" s="171"/>
      <c r="J81" s="172"/>
      <c r="K81" s="172">
        <f>0.13*H78*8481.2</f>
        <v>715.83182730527324</v>
      </c>
      <c r="L81" s="173"/>
    </row>
    <row r="82" spans="2:12">
      <c r="B82" s="169"/>
      <c r="C82" s="176"/>
      <c r="D82" s="171"/>
      <c r="E82" s="172"/>
      <c r="F82" s="172"/>
      <c r="G82" s="177"/>
      <c r="H82" s="172"/>
      <c r="I82" s="171"/>
      <c r="J82" s="172"/>
      <c r="K82" s="172"/>
      <c r="L82" s="173"/>
    </row>
    <row r="83" spans="2:12" ht="35.1" customHeight="1">
      <c r="B83" s="169">
        <v>10</v>
      </c>
      <c r="C83" s="170" t="s">
        <v>78</v>
      </c>
      <c r="D83" s="171"/>
      <c r="E83" s="171"/>
      <c r="F83" s="171"/>
      <c r="G83" s="171"/>
      <c r="H83" s="172"/>
      <c r="I83" s="171"/>
      <c r="J83" s="172"/>
      <c r="K83" s="172"/>
      <c r="L83" s="173"/>
    </row>
    <row r="84" spans="2:12">
      <c r="B84" s="169"/>
      <c r="C84" s="182" t="s">
        <v>148</v>
      </c>
      <c r="D84" s="171">
        <v>2</v>
      </c>
      <c r="E84" s="171">
        <f>15.42/3.281</f>
        <v>4.6997866504114594</v>
      </c>
      <c r="F84" s="171"/>
      <c r="G84" s="171">
        <f>5.25/3.281</f>
        <v>1.6001219140505942</v>
      </c>
      <c r="H84" s="172">
        <f>D84*E84*G84</f>
        <v>15.040463221371631</v>
      </c>
      <c r="I84" s="171"/>
      <c r="J84" s="172"/>
      <c r="K84" s="172"/>
      <c r="L84" s="173"/>
    </row>
    <row r="85" spans="2:12">
      <c r="B85" s="169"/>
      <c r="C85" s="186"/>
      <c r="D85" s="171">
        <v>2</v>
      </c>
      <c r="E85" s="171">
        <f>10/3.281</f>
        <v>3.047851264858275</v>
      </c>
      <c r="F85" s="171"/>
      <c r="G85" s="171">
        <f>5.25/3.281</f>
        <v>1.6001219140505942</v>
      </c>
      <c r="H85" s="172">
        <f>D85*E85*G85</f>
        <v>9.7538671993330954</v>
      </c>
      <c r="I85" s="171"/>
      <c r="J85" s="187"/>
      <c r="K85" s="172"/>
      <c r="L85" s="173"/>
    </row>
    <row r="86" spans="2:12">
      <c r="B86" s="169"/>
      <c r="C86" s="175" t="str">
        <f t="shared" ref="C86:E87" si="10">C76</f>
        <v>-at toilet of ward</v>
      </c>
      <c r="D86" s="171">
        <f t="shared" si="10"/>
        <v>1</v>
      </c>
      <c r="E86" s="171">
        <f t="shared" si="10"/>
        <v>1.6245047241694606</v>
      </c>
      <c r="F86" s="171"/>
      <c r="G86" s="171">
        <f>G76-4/3.281</f>
        <v>1.4477293508076805</v>
      </c>
      <c r="H86" s="172">
        <f>D86*E86*G86</f>
        <v>2.3518431697058633</v>
      </c>
      <c r="I86" s="171"/>
      <c r="J86" s="187"/>
      <c r="K86" s="172"/>
      <c r="L86" s="173"/>
    </row>
    <row r="87" spans="2:12">
      <c r="B87" s="169"/>
      <c r="C87" s="175" t="str">
        <f t="shared" si="10"/>
        <v>-deduction for opening</v>
      </c>
      <c r="D87" s="171">
        <f t="shared" si="10"/>
        <v>-1</v>
      </c>
      <c r="E87" s="171">
        <f t="shared" si="10"/>
        <v>0.76196281621456874</v>
      </c>
      <c r="F87" s="171"/>
      <c r="G87" s="171">
        <f>G77</f>
        <v>1.9811033221578787</v>
      </c>
      <c r="H87" s="172">
        <f>D87*E87*G87</f>
        <v>-1.5095270665634553</v>
      </c>
      <c r="I87" s="171"/>
      <c r="J87" s="187"/>
      <c r="K87" s="172"/>
      <c r="L87" s="173"/>
    </row>
    <row r="88" spans="2:12">
      <c r="B88" s="169"/>
      <c r="C88" s="186"/>
      <c r="D88" s="171"/>
      <c r="E88" s="172"/>
      <c r="F88" s="172"/>
      <c r="G88" s="177"/>
      <c r="H88" s="172">
        <f>SUM(H84:H87)</f>
        <v>25.636646523847133</v>
      </c>
      <c r="I88" s="171" t="s">
        <v>40</v>
      </c>
      <c r="J88" s="172">
        <v>415.5</v>
      </c>
      <c r="K88" s="172">
        <f>H88*J88</f>
        <v>10652.026630658484</v>
      </c>
      <c r="L88" s="173"/>
    </row>
    <row r="89" spans="2:12">
      <c r="B89" s="169"/>
      <c r="C89" s="182" t="s">
        <v>29</v>
      </c>
      <c r="D89" s="171"/>
      <c r="E89" s="172"/>
      <c r="F89" s="172"/>
      <c r="G89" s="177"/>
      <c r="H89" s="172"/>
      <c r="I89" s="171"/>
      <c r="J89" s="187"/>
      <c r="K89" s="172">
        <f>0.13*H88*7010.67/100</f>
        <v>233.64908929094122</v>
      </c>
      <c r="L89" s="173"/>
    </row>
    <row r="90" spans="2:12">
      <c r="B90" s="169"/>
      <c r="C90" s="182" t="s">
        <v>30</v>
      </c>
      <c r="D90" s="171"/>
      <c r="E90" s="172"/>
      <c r="F90" s="172"/>
      <c r="G90" s="177"/>
      <c r="H90" s="172"/>
      <c r="I90" s="171"/>
      <c r="J90" s="187"/>
      <c r="K90" s="172">
        <f>0.13*H88*4639.73/100</f>
        <v>154.63125336891602</v>
      </c>
      <c r="L90" s="173"/>
    </row>
    <row r="91" spans="2:12">
      <c r="B91" s="169"/>
      <c r="C91" s="182"/>
      <c r="D91" s="171"/>
      <c r="E91" s="172"/>
      <c r="F91" s="172"/>
      <c r="G91" s="177"/>
      <c r="H91" s="172"/>
      <c r="I91" s="171"/>
      <c r="J91" s="187"/>
      <c r="K91" s="172"/>
      <c r="L91" s="173"/>
    </row>
    <row r="92" spans="2:12" ht="65.400000000000006">
      <c r="B92" s="169">
        <v>11</v>
      </c>
      <c r="C92" s="155" t="s">
        <v>150</v>
      </c>
      <c r="D92" s="155"/>
      <c r="E92" s="172"/>
      <c r="F92" s="172"/>
      <c r="G92" s="177"/>
      <c r="H92" s="172"/>
      <c r="I92" s="171"/>
      <c r="J92" s="187"/>
      <c r="K92" s="172"/>
      <c r="L92" s="173"/>
    </row>
    <row r="93" spans="2:12">
      <c r="B93" s="169"/>
      <c r="C93" s="182" t="str">
        <f>C86</f>
        <v>-at toilet of ward</v>
      </c>
      <c r="D93" s="171">
        <v>1</v>
      </c>
      <c r="E93" s="172">
        <f>E86-2.5/3.281</f>
        <v>0.86254190795489183</v>
      </c>
      <c r="F93" s="172"/>
      <c r="G93" s="177">
        <f>4/3.281</f>
        <v>1.2191405059433098</v>
      </c>
      <c r="H93" s="172">
        <f>D93*E93*G93</f>
        <v>1.0515597780614345</v>
      </c>
      <c r="I93" s="171"/>
      <c r="J93" s="187"/>
      <c r="K93" s="172"/>
      <c r="L93" s="173"/>
    </row>
    <row r="94" spans="2:12">
      <c r="B94" s="169"/>
      <c r="C94" s="186"/>
      <c r="D94" s="171"/>
      <c r="E94" s="172"/>
      <c r="F94" s="172"/>
      <c r="G94" s="177"/>
      <c r="H94" s="172">
        <f>SUM(H93)</f>
        <v>1.0515597780614345</v>
      </c>
      <c r="I94" s="171" t="s">
        <v>40</v>
      </c>
      <c r="J94" s="172">
        <v>415.5</v>
      </c>
      <c r="K94" s="172">
        <f>H94*J94</f>
        <v>436.92308778452605</v>
      </c>
      <c r="L94" s="173"/>
    </row>
    <row r="95" spans="2:12">
      <c r="B95" s="169"/>
      <c r="C95" s="182" t="s">
        <v>151</v>
      </c>
      <c r="D95" s="171"/>
      <c r="E95" s="172"/>
      <c r="F95" s="172"/>
      <c r="G95" s="177"/>
      <c r="H95" s="172"/>
      <c r="I95" s="171"/>
      <c r="J95" s="187"/>
      <c r="K95" s="172">
        <f>0.13*H94*6746.52/10</f>
        <v>92.226797960531385</v>
      </c>
      <c r="L95" s="173"/>
    </row>
    <row r="96" spans="2:12">
      <c r="B96" s="169"/>
      <c r="C96" s="182" t="s">
        <v>30</v>
      </c>
      <c r="D96" s="171"/>
      <c r="E96" s="172"/>
      <c r="F96" s="172"/>
      <c r="G96" s="177"/>
      <c r="H96" s="172"/>
      <c r="I96" s="171"/>
      <c r="J96" s="187"/>
      <c r="K96" s="172">
        <f>0.13*H94*483.04/10</f>
        <v>6.6032906575323391</v>
      </c>
      <c r="L96" s="173"/>
    </row>
    <row r="97" spans="2:12">
      <c r="B97" s="169"/>
      <c r="C97" s="182" t="s">
        <v>29</v>
      </c>
      <c r="D97" s="171"/>
      <c r="E97" s="172"/>
      <c r="F97" s="172"/>
      <c r="G97" s="177"/>
      <c r="H97" s="172"/>
      <c r="I97" s="171"/>
      <c r="J97" s="187"/>
      <c r="K97" s="172">
        <f>0.13*H94*729.73/10</f>
        <v>9.9756113189820184</v>
      </c>
      <c r="L97" s="173"/>
    </row>
    <row r="98" spans="2:12">
      <c r="B98" s="169"/>
      <c r="C98" s="182" t="s">
        <v>152</v>
      </c>
      <c r="D98" s="171"/>
      <c r="E98" s="172"/>
      <c r="F98" s="172"/>
      <c r="G98" s="177"/>
      <c r="H98" s="172"/>
      <c r="I98" s="171"/>
      <c r="J98" s="187"/>
      <c r="K98" s="172">
        <f>0.13*H94*100.06/10</f>
        <v>1.3678479281067528</v>
      </c>
      <c r="L98" s="173"/>
    </row>
    <row r="99" spans="2:12">
      <c r="B99" s="169"/>
      <c r="C99" s="182"/>
      <c r="D99" s="171"/>
      <c r="E99" s="172"/>
      <c r="F99" s="172"/>
      <c r="G99" s="177"/>
      <c r="H99" s="172"/>
      <c r="I99" s="171"/>
      <c r="J99" s="187"/>
      <c r="K99" s="172"/>
      <c r="L99" s="173"/>
    </row>
    <row r="100" spans="2:12" ht="34.799999999999997">
      <c r="B100" s="169">
        <v>12</v>
      </c>
      <c r="C100" s="155" t="s">
        <v>166</v>
      </c>
      <c r="D100" s="171"/>
      <c r="E100" s="172"/>
      <c r="F100" s="172"/>
      <c r="G100" s="177"/>
      <c r="H100" s="172"/>
      <c r="I100" s="171"/>
      <c r="J100" s="187"/>
      <c r="K100" s="172"/>
      <c r="L100" s="173"/>
    </row>
    <row r="101" spans="2:12">
      <c r="B101" s="169"/>
      <c r="C101" s="182" t="str">
        <f>C93</f>
        <v>-at toilet of ward</v>
      </c>
      <c r="D101" s="171">
        <f>D93</f>
        <v>1</v>
      </c>
      <c r="E101" s="171">
        <f>E86</f>
        <v>1.6245047241694606</v>
      </c>
      <c r="F101" s="171"/>
      <c r="G101" s="172">
        <f>8/3.281</f>
        <v>2.4382810118866196</v>
      </c>
      <c r="H101" s="171">
        <f>PRODUCT(D101:G101)</f>
        <v>3.9609990226625063</v>
      </c>
      <c r="I101" s="177"/>
      <c r="J101" s="172"/>
      <c r="K101" s="171"/>
      <c r="L101" s="173"/>
    </row>
    <row r="102" spans="2:12">
      <c r="B102" s="169"/>
      <c r="C102" s="182" t="str">
        <f>C87</f>
        <v>-deduction for opening</v>
      </c>
      <c r="D102" s="171">
        <f>D87</f>
        <v>-1</v>
      </c>
      <c r="E102" s="171">
        <f>E87</f>
        <v>0.76196281621456874</v>
      </c>
      <c r="F102" s="171"/>
      <c r="G102" s="172">
        <f>G87</f>
        <v>1.9811033221578787</v>
      </c>
      <c r="H102" s="171">
        <f>PRODUCT(D102:G102)</f>
        <v>-1.5095270665634553</v>
      </c>
      <c r="I102" s="177"/>
      <c r="J102" s="172"/>
      <c r="K102" s="171"/>
      <c r="L102" s="173"/>
    </row>
    <row r="103" spans="2:12">
      <c r="B103" s="169"/>
      <c r="C103" s="182"/>
      <c r="D103" s="171"/>
      <c r="E103" s="171"/>
      <c r="F103" s="171"/>
      <c r="G103" s="172"/>
      <c r="H103" s="171">
        <f>SUM(H101:H102)</f>
        <v>2.4514719560990512</v>
      </c>
      <c r="I103" s="177" t="s">
        <v>23</v>
      </c>
      <c r="J103" s="172">
        <v>57.76</v>
      </c>
      <c r="K103" s="171">
        <f t="shared" ref="K103" si="11">H103*J103</f>
        <v>141.59702018428121</v>
      </c>
      <c r="L103" s="173"/>
    </row>
    <row r="104" spans="2:12">
      <c r="B104" s="169"/>
      <c r="C104" s="182" t="s">
        <v>29</v>
      </c>
      <c r="D104" s="171"/>
      <c r="E104" s="171"/>
      <c r="F104" s="171"/>
      <c r="G104" s="177"/>
      <c r="H104" s="171"/>
      <c r="I104" s="177"/>
      <c r="J104" s="172"/>
      <c r="K104" s="188">
        <f>0.13*H103*20.7</f>
        <v>6.5969110338625461</v>
      </c>
      <c r="L104" s="173"/>
    </row>
    <row r="105" spans="2:12">
      <c r="B105" s="169"/>
      <c r="C105" s="182"/>
      <c r="D105" s="171"/>
      <c r="E105" s="172"/>
      <c r="F105" s="172"/>
      <c r="G105" s="177"/>
      <c r="H105" s="171"/>
      <c r="I105" s="171"/>
      <c r="J105" s="171"/>
      <c r="K105" s="171"/>
      <c r="L105" s="173"/>
    </row>
    <row r="106" spans="2:12" ht="34.799999999999997">
      <c r="B106" s="169">
        <v>13</v>
      </c>
      <c r="C106" s="155" t="s">
        <v>167</v>
      </c>
      <c r="D106" s="171"/>
      <c r="E106" s="172"/>
      <c r="F106" s="172"/>
      <c r="G106" s="177"/>
      <c r="H106" s="172"/>
      <c r="I106" s="171"/>
      <c r="J106" s="187"/>
      <c r="K106" s="172"/>
      <c r="L106" s="173"/>
    </row>
    <row r="107" spans="2:12">
      <c r="B107" s="169"/>
      <c r="C107" s="182" t="str">
        <f>C101</f>
        <v>-at toilet of ward</v>
      </c>
      <c r="D107" s="171">
        <f>D101</f>
        <v>1</v>
      </c>
      <c r="E107" s="171">
        <f>E101</f>
        <v>1.6245047241694606</v>
      </c>
      <c r="F107" s="171"/>
      <c r="G107" s="172">
        <f>G101</f>
        <v>2.4382810118866196</v>
      </c>
      <c r="H107" s="171">
        <f>PRODUCT(D107:G107)</f>
        <v>3.9609990226625063</v>
      </c>
      <c r="I107" s="177"/>
      <c r="J107" s="172"/>
      <c r="K107" s="171"/>
      <c r="L107" s="173"/>
    </row>
    <row r="108" spans="2:12">
      <c r="B108" s="169"/>
      <c r="C108" s="182" t="str">
        <f>C102</f>
        <v>-deduction for opening</v>
      </c>
      <c r="D108" s="171">
        <f>D102</f>
        <v>-1</v>
      </c>
      <c r="E108" s="171">
        <f>E93</f>
        <v>0.86254190795489183</v>
      </c>
      <c r="F108" s="171"/>
      <c r="G108" s="172">
        <f>G93</f>
        <v>1.2191405059433098</v>
      </c>
      <c r="H108" s="171">
        <f>PRODUCT(D108:G108)</f>
        <v>-1.0515597780614345</v>
      </c>
      <c r="I108" s="177"/>
      <c r="J108" s="172"/>
      <c r="K108" s="171"/>
      <c r="L108" s="173"/>
    </row>
    <row r="109" spans="2:12">
      <c r="B109" s="169"/>
      <c r="C109" s="182"/>
      <c r="D109" s="171">
        <v>-1</v>
      </c>
      <c r="E109" s="171">
        <f>2.5/3.81</f>
        <v>0.65616797900262469</v>
      </c>
      <c r="F109" s="171"/>
      <c r="G109" s="172">
        <f>(6.5-4)/3.281</f>
        <v>0.76196281621456874</v>
      </c>
      <c r="H109" s="171">
        <f>PRODUCT(D109:G109)</f>
        <v>-0.49997560119066192</v>
      </c>
      <c r="I109" s="177"/>
      <c r="J109" s="172"/>
      <c r="K109" s="171"/>
      <c r="L109" s="173"/>
    </row>
    <row r="110" spans="2:12">
      <c r="B110" s="169"/>
      <c r="C110" s="182"/>
      <c r="D110" s="171"/>
      <c r="E110" s="171"/>
      <c r="F110" s="171"/>
      <c r="G110" s="172"/>
      <c r="H110" s="171">
        <f>SUM(H107:H109)</f>
        <v>2.40946364341041</v>
      </c>
      <c r="I110" s="177" t="s">
        <v>23</v>
      </c>
      <c r="J110" s="172">
        <v>334.57</v>
      </c>
      <c r="K110" s="171">
        <f t="shared" ref="K110" si="12">H110*J110</f>
        <v>806.13425117582085</v>
      </c>
      <c r="L110" s="173"/>
    </row>
    <row r="111" spans="2:12">
      <c r="B111" s="169"/>
      <c r="C111" s="182" t="s">
        <v>29</v>
      </c>
      <c r="D111" s="171"/>
      <c r="E111" s="171"/>
      <c r="F111" s="171"/>
      <c r="G111" s="177"/>
      <c r="H111" s="171"/>
      <c r="I111" s="177"/>
      <c r="J111" s="172"/>
      <c r="K111" s="188">
        <f>0.13*H110*110.368</f>
        <v>34.570598841469618</v>
      </c>
      <c r="L111" s="173"/>
    </row>
    <row r="112" spans="2:12">
      <c r="B112" s="169"/>
      <c r="C112" s="182"/>
      <c r="D112" s="171"/>
      <c r="E112" s="172"/>
      <c r="F112" s="172"/>
      <c r="G112" s="177"/>
      <c r="H112" s="171"/>
      <c r="I112" s="171"/>
      <c r="J112" s="171"/>
      <c r="K112" s="171"/>
      <c r="L112" s="173"/>
    </row>
    <row r="113" spans="2:12" ht="35.1" customHeight="1">
      <c r="B113" s="169">
        <v>14</v>
      </c>
      <c r="C113" s="170" t="s">
        <v>77</v>
      </c>
      <c r="D113" s="171"/>
      <c r="E113" s="171"/>
      <c r="F113" s="171"/>
      <c r="G113" s="172"/>
      <c r="H113" s="171"/>
      <c r="I113" s="177"/>
      <c r="J113" s="172"/>
      <c r="K113" s="171"/>
      <c r="L113" s="173"/>
    </row>
    <row r="114" spans="2:12">
      <c r="B114" s="169"/>
      <c r="C114" s="182" t="s">
        <v>147</v>
      </c>
      <c r="D114" s="171">
        <v>1</v>
      </c>
      <c r="E114" s="171">
        <f>13.42/3.281</f>
        <v>4.0902163974398045</v>
      </c>
      <c r="F114" s="171">
        <f>8/3.281</f>
        <v>2.4382810118866196</v>
      </c>
      <c r="G114" s="172"/>
      <c r="H114" s="171">
        <f>F114*E114*D114</f>
        <v>9.9730969763847703</v>
      </c>
      <c r="I114" s="177" t="s">
        <v>23</v>
      </c>
      <c r="J114" s="172">
        <v>689.98</v>
      </c>
      <c r="K114" s="171">
        <f>H114*J114</f>
        <v>6881.2374517659637</v>
      </c>
      <c r="L114" s="173"/>
    </row>
    <row r="115" spans="2:12">
      <c r="B115" s="169"/>
      <c r="C115" s="182" t="s">
        <v>29</v>
      </c>
      <c r="D115" s="171"/>
      <c r="E115" s="171"/>
      <c r="F115" s="171"/>
      <c r="G115" s="177"/>
      <c r="H115" s="171"/>
      <c r="I115" s="177"/>
      <c r="J115" s="172"/>
      <c r="K115" s="188">
        <f>0.13*H114*1694.03/10</f>
        <v>219.63143112176621</v>
      </c>
      <c r="L115" s="173"/>
    </row>
    <row r="116" spans="2:12">
      <c r="B116" s="169"/>
      <c r="C116" s="182" t="s">
        <v>30</v>
      </c>
      <c r="D116" s="171"/>
      <c r="E116" s="171"/>
      <c r="F116" s="171"/>
      <c r="G116" s="177"/>
      <c r="H116" s="171"/>
      <c r="I116" s="177"/>
      <c r="J116" s="172"/>
      <c r="K116" s="188">
        <f>0.13*H114*572.02/10</f>
        <v>74.162542121611025</v>
      </c>
      <c r="L116" s="173"/>
    </row>
    <row r="117" spans="2:12">
      <c r="B117" s="169"/>
      <c r="C117" s="182" t="s">
        <v>31</v>
      </c>
      <c r="D117" s="171"/>
      <c r="E117" s="171"/>
      <c r="F117" s="171"/>
      <c r="G117" s="177"/>
      <c r="H117" s="171"/>
      <c r="I117" s="177"/>
      <c r="J117" s="172"/>
      <c r="K117" s="188">
        <f>0.13*H114*1207.6/10</f>
        <v>156.56565481286924</v>
      </c>
      <c r="L117" s="173"/>
    </row>
    <row r="118" spans="2:12" ht="18" customHeight="1">
      <c r="B118" s="169"/>
      <c r="C118" s="182"/>
      <c r="D118" s="171"/>
      <c r="E118" s="172"/>
      <c r="F118" s="172"/>
      <c r="G118" s="177"/>
      <c r="H118" s="172"/>
      <c r="I118" s="171"/>
      <c r="J118" s="172"/>
      <c r="K118" s="172"/>
      <c r="L118" s="173"/>
    </row>
    <row r="119" spans="2:12" ht="35.1" customHeight="1">
      <c r="B119" s="169">
        <v>15</v>
      </c>
      <c r="C119" s="170" t="s">
        <v>79</v>
      </c>
      <c r="D119" s="171"/>
      <c r="E119" s="171"/>
      <c r="F119" s="171"/>
      <c r="G119" s="171"/>
      <c r="H119" s="171"/>
      <c r="I119" s="171"/>
      <c r="J119" s="171"/>
      <c r="K119" s="171"/>
      <c r="L119" s="173"/>
    </row>
    <row r="120" spans="2:12">
      <c r="B120" s="169"/>
      <c r="C120" s="182" t="str">
        <f>C84</f>
        <v>-At shear wall</v>
      </c>
      <c r="D120" s="171">
        <f>D64</f>
        <v>2</v>
      </c>
      <c r="E120" s="171">
        <f>E84</f>
        <v>4.6997866504114594</v>
      </c>
      <c r="F120" s="171"/>
      <c r="G120" s="171">
        <f>G64+0.3+0.3</f>
        <v>2.2001219140505941</v>
      </c>
      <c r="H120" s="172">
        <f>PRODUCT(D120:G120)</f>
        <v>20.680207201865382</v>
      </c>
      <c r="I120" s="171"/>
      <c r="J120" s="171"/>
      <c r="K120" s="171"/>
      <c r="L120" s="173"/>
    </row>
    <row r="121" spans="2:12">
      <c r="B121" s="169"/>
      <c r="C121" s="182"/>
      <c r="D121" s="171">
        <f>D65</f>
        <v>2</v>
      </c>
      <c r="E121" s="171">
        <f>E85</f>
        <v>3.047851264858275</v>
      </c>
      <c r="F121" s="171"/>
      <c r="G121" s="171">
        <f>G65+0.3+0.3</f>
        <v>2.2001219140505941</v>
      </c>
      <c r="H121" s="172">
        <f t="shared" ref="H121:H122" si="13">PRODUCT(D121:G121)</f>
        <v>13.411288717163025</v>
      </c>
      <c r="I121" s="171"/>
      <c r="J121" s="171"/>
      <c r="K121" s="171"/>
      <c r="L121" s="173"/>
    </row>
    <row r="122" spans="2:12">
      <c r="B122" s="169"/>
      <c r="C122" s="184" t="s">
        <v>149</v>
      </c>
      <c r="D122" s="171">
        <v>1</v>
      </c>
      <c r="E122" s="171">
        <f>E114</f>
        <v>4.0902163974398045</v>
      </c>
      <c r="F122" s="171">
        <f>F114</f>
        <v>2.4382810118866196</v>
      </c>
      <c r="G122" s="171"/>
      <c r="H122" s="172">
        <f t="shared" si="13"/>
        <v>9.9730969763847703</v>
      </c>
      <c r="I122" s="171"/>
      <c r="J122" s="171"/>
      <c r="K122" s="171"/>
      <c r="L122" s="173"/>
    </row>
    <row r="123" spans="2:12">
      <c r="B123" s="169"/>
      <c r="C123" s="182"/>
      <c r="D123" s="171"/>
      <c r="E123" s="171"/>
      <c r="F123" s="171"/>
      <c r="G123" s="171"/>
      <c r="H123" s="171">
        <f>SUM(H120:H122)</f>
        <v>44.06459289541317</v>
      </c>
      <c r="I123" s="171" t="s">
        <v>40</v>
      </c>
      <c r="J123" s="171">
        <v>287.32</v>
      </c>
      <c r="K123" s="171">
        <f>H123*J123</f>
        <v>12660.638830710112</v>
      </c>
      <c r="L123" s="173"/>
    </row>
    <row r="124" spans="2:12">
      <c r="B124" s="169"/>
      <c r="C124" s="182" t="s">
        <v>29</v>
      </c>
      <c r="D124" s="171"/>
      <c r="E124" s="171"/>
      <c r="F124" s="171"/>
      <c r="G124" s="171"/>
      <c r="H124" s="171"/>
      <c r="I124" s="171"/>
      <c r="J124" s="171"/>
      <c r="K124" s="171">
        <f>0.13*H123*693.24/10</f>
        <v>397.11539892461093</v>
      </c>
      <c r="L124" s="173"/>
    </row>
    <row r="125" spans="2:12">
      <c r="B125" s="169"/>
      <c r="C125" s="182"/>
      <c r="D125" s="171"/>
      <c r="E125" s="171"/>
      <c r="F125" s="171"/>
      <c r="G125" s="171"/>
      <c r="H125" s="171"/>
      <c r="I125" s="171"/>
      <c r="J125" s="171"/>
      <c r="K125" s="171"/>
      <c r="L125" s="173"/>
    </row>
    <row r="126" spans="2:12">
      <c r="B126" s="169"/>
      <c r="C126" s="182"/>
      <c r="D126" s="171"/>
      <c r="E126" s="171"/>
      <c r="F126" s="171"/>
      <c r="G126" s="171"/>
      <c r="H126" s="171"/>
      <c r="I126" s="171"/>
      <c r="J126" s="171"/>
      <c r="K126" s="171"/>
      <c r="L126" s="173"/>
    </row>
    <row r="127" spans="2:12" ht="33" customHeight="1">
      <c r="B127" s="169">
        <v>16</v>
      </c>
      <c r="C127" s="186" t="s">
        <v>87</v>
      </c>
      <c r="D127" s="171">
        <v>1</v>
      </c>
      <c r="E127" s="172"/>
      <c r="F127" s="172"/>
      <c r="G127" s="177"/>
      <c r="H127" s="172">
        <f>+D127</f>
        <v>1</v>
      </c>
      <c r="I127" s="171" t="s">
        <v>34</v>
      </c>
      <c r="J127" s="172">
        <v>4659</v>
      </c>
      <c r="K127" s="172">
        <f>H127*J127</f>
        <v>4659</v>
      </c>
      <c r="L127" s="173"/>
    </row>
    <row r="128" spans="2:12">
      <c r="B128" s="169"/>
      <c r="C128" s="175" t="s">
        <v>88</v>
      </c>
      <c r="D128" s="171"/>
      <c r="E128" s="172"/>
      <c r="F128" s="172"/>
      <c r="G128" s="177"/>
      <c r="H128" s="172"/>
      <c r="I128" s="171"/>
      <c r="J128" s="172"/>
      <c r="K128" s="172">
        <f>0.13*K127</f>
        <v>605.67000000000007</v>
      </c>
      <c r="L128" s="173"/>
    </row>
    <row r="129" spans="2:12">
      <c r="B129" s="169"/>
      <c r="C129" s="186"/>
      <c r="D129" s="171"/>
      <c r="E129" s="172"/>
      <c r="F129" s="172"/>
      <c r="G129" s="177"/>
      <c r="H129" s="172"/>
      <c r="I129" s="171"/>
      <c r="J129" s="172"/>
      <c r="K129" s="172"/>
      <c r="L129" s="173"/>
    </row>
    <row r="130" spans="2:12" ht="37.200000000000003">
      <c r="B130" s="169">
        <v>17</v>
      </c>
      <c r="C130" s="170" t="s">
        <v>153</v>
      </c>
      <c r="D130" s="171"/>
      <c r="E130" s="172"/>
      <c r="F130" s="172"/>
      <c r="G130" s="177"/>
      <c r="H130" s="172"/>
      <c r="I130" s="171"/>
      <c r="J130" s="172"/>
      <c r="K130" s="172"/>
      <c r="L130" s="173"/>
    </row>
    <row r="131" spans="2:12">
      <c r="B131" s="169"/>
      <c r="C131" s="174" t="s">
        <v>154</v>
      </c>
      <c r="D131" s="171">
        <v>1</v>
      </c>
      <c r="E131" s="172">
        <f>1.75/3.281</f>
        <v>0.53337397135019804</v>
      </c>
      <c r="F131" s="172"/>
      <c r="G131" s="177">
        <f>3.5/3.281</f>
        <v>1.0667479427003961</v>
      </c>
      <c r="H131" s="172">
        <f t="shared" ref="H131" si="14">PRODUCT(D131:G131)</f>
        <v>0.56897558662776371</v>
      </c>
      <c r="I131" s="171"/>
      <c r="J131" s="172"/>
      <c r="K131" s="172"/>
      <c r="L131" s="173"/>
    </row>
    <row r="132" spans="2:12">
      <c r="B132" s="169"/>
      <c r="C132" s="182"/>
      <c r="D132" s="171"/>
      <c r="E132" s="171"/>
      <c r="F132" s="171"/>
      <c r="G132" s="171"/>
      <c r="H132" s="171">
        <f>SUM(H131)</f>
        <v>0.56897558662776371</v>
      </c>
      <c r="I132" s="171" t="s">
        <v>40</v>
      </c>
      <c r="J132" s="171">
        <v>10663.63</v>
      </c>
      <c r="K132" s="171">
        <f>H132*J132</f>
        <v>6067.3451348314193</v>
      </c>
      <c r="L132" s="173"/>
    </row>
    <row r="133" spans="2:12">
      <c r="B133" s="169"/>
      <c r="C133" s="182" t="s">
        <v>155</v>
      </c>
      <c r="D133" s="171"/>
      <c r="E133" s="171"/>
      <c r="F133" s="171"/>
      <c r="G133" s="171"/>
      <c r="H133" s="171"/>
      <c r="I133" s="171"/>
      <c r="J133" s="171"/>
      <c r="K133" s="171">
        <f>0.13*H132*11733.39/2.23</f>
        <v>389.1845827756519</v>
      </c>
      <c r="L133" s="173"/>
    </row>
    <row r="134" spans="2:12">
      <c r="B134" s="169"/>
      <c r="C134" s="186"/>
      <c r="D134" s="171"/>
      <c r="E134" s="172"/>
      <c r="F134" s="172"/>
      <c r="G134" s="177"/>
      <c r="H134" s="172"/>
      <c r="I134" s="171"/>
      <c r="J134" s="172"/>
      <c r="K134" s="172"/>
      <c r="L134" s="173"/>
    </row>
    <row r="135" spans="2:12" ht="37.200000000000003">
      <c r="B135" s="169">
        <v>18</v>
      </c>
      <c r="C135" s="170" t="s">
        <v>156</v>
      </c>
      <c r="D135" s="171"/>
      <c r="E135" s="172"/>
      <c r="F135" s="172"/>
      <c r="G135" s="177"/>
      <c r="H135" s="172"/>
      <c r="I135" s="171"/>
      <c r="J135" s="172"/>
      <c r="K135" s="172"/>
      <c r="L135" s="173"/>
    </row>
    <row r="136" spans="2:12">
      <c r="B136" s="169"/>
      <c r="C136" s="174" t="s">
        <v>157</v>
      </c>
      <c r="D136" s="171">
        <v>3</v>
      </c>
      <c r="E136" s="172">
        <f>1.42/3.281</f>
        <v>0.43279487960987501</v>
      </c>
      <c r="F136" s="172"/>
      <c r="G136" s="177">
        <f>3.25/3.281</f>
        <v>0.99055166107893933</v>
      </c>
      <c r="H136" s="172">
        <f t="shared" ref="H136" si="15">PRODUCT(D136:G136)</f>
        <v>1.2861170607120638</v>
      </c>
      <c r="I136" s="171"/>
      <c r="J136" s="172"/>
      <c r="K136" s="172"/>
      <c r="L136" s="173"/>
    </row>
    <row r="137" spans="2:12">
      <c r="B137" s="169"/>
      <c r="C137" s="182"/>
      <c r="D137" s="171"/>
      <c r="E137" s="171"/>
      <c r="F137" s="171"/>
      <c r="G137" s="171"/>
      <c r="H137" s="171">
        <f>SUM(H136)</f>
        <v>1.2861170607120638</v>
      </c>
      <c r="I137" s="171" t="s">
        <v>40</v>
      </c>
      <c r="J137" s="171">
        <v>1063.57</v>
      </c>
      <c r="K137" s="171">
        <f>H137*J137</f>
        <v>1367.8755222615296</v>
      </c>
      <c r="L137" s="173"/>
    </row>
    <row r="138" spans="2:12">
      <c r="B138" s="169"/>
      <c r="C138" s="182" t="s">
        <v>155</v>
      </c>
      <c r="D138" s="171"/>
      <c r="E138" s="171"/>
      <c r="F138" s="171"/>
      <c r="G138" s="171"/>
      <c r="H138" s="171"/>
      <c r="I138" s="171"/>
      <c r="J138" s="171"/>
      <c r="K138" s="171">
        <f>0.13*H137*983.26</f>
        <v>164.3963699450467</v>
      </c>
      <c r="L138" s="173"/>
    </row>
    <row r="139" spans="2:12">
      <c r="B139" s="169"/>
      <c r="C139" s="182"/>
      <c r="D139" s="171"/>
      <c r="E139" s="171"/>
      <c r="F139" s="171"/>
      <c r="G139" s="171"/>
      <c r="H139" s="171"/>
      <c r="I139" s="171"/>
      <c r="J139" s="171"/>
      <c r="K139" s="171"/>
      <c r="L139" s="173"/>
    </row>
    <row r="140" spans="2:12" ht="148.80000000000001">
      <c r="B140" s="169">
        <v>19</v>
      </c>
      <c r="C140" s="170" t="s">
        <v>160</v>
      </c>
      <c r="D140" s="171"/>
      <c r="E140" s="171"/>
      <c r="F140" s="171"/>
      <c r="G140" s="171"/>
      <c r="H140" s="171"/>
      <c r="I140" s="171"/>
      <c r="J140" s="171"/>
      <c r="K140" s="171"/>
      <c r="L140" s="173"/>
    </row>
    <row r="141" spans="2:12">
      <c r="B141" s="169"/>
      <c r="C141" s="184" t="s">
        <v>159</v>
      </c>
      <c r="D141" s="171">
        <v>1</v>
      </c>
      <c r="E141" s="171">
        <f>3/3.281</f>
        <v>0.91435537945748246</v>
      </c>
      <c r="F141" s="171"/>
      <c r="G141" s="171"/>
      <c r="H141" s="172">
        <f t="shared" ref="H141" si="16">PRODUCT(D141:G141)</f>
        <v>0.91435537945748246</v>
      </c>
      <c r="I141" s="171"/>
      <c r="J141" s="171"/>
      <c r="K141" s="171"/>
      <c r="L141" s="173"/>
    </row>
    <row r="142" spans="2:12">
      <c r="B142" s="169"/>
      <c r="C142" s="182"/>
      <c r="D142" s="171"/>
      <c r="E142" s="171"/>
      <c r="F142" s="171"/>
      <c r="G142" s="171"/>
      <c r="H142" s="171">
        <f>SUM(H141)</f>
        <v>0.91435537945748246</v>
      </c>
      <c r="I142" s="171" t="s">
        <v>161</v>
      </c>
      <c r="J142" s="171">
        <f>11197.91</f>
        <v>11197.91</v>
      </c>
      <c r="K142" s="171">
        <f>H142*J142</f>
        <v>10238.869247180737</v>
      </c>
      <c r="L142" s="173"/>
    </row>
    <row r="143" spans="2:12">
      <c r="B143" s="169"/>
      <c r="C143" s="182" t="s">
        <v>155</v>
      </c>
      <c r="D143" s="171"/>
      <c r="E143" s="171"/>
      <c r="F143" s="171"/>
      <c r="G143" s="171"/>
      <c r="H143" s="171"/>
      <c r="I143" s="171"/>
      <c r="J143" s="171"/>
      <c r="K143" s="171">
        <f>0.13*K142</f>
        <v>1331.053002133496</v>
      </c>
      <c r="L143" s="173"/>
    </row>
    <row r="144" spans="2:12">
      <c r="B144" s="169"/>
      <c r="C144" s="182"/>
      <c r="D144" s="171"/>
      <c r="E144" s="171"/>
      <c r="F144" s="171"/>
      <c r="G144" s="171"/>
      <c r="H144" s="171"/>
      <c r="I144" s="171"/>
      <c r="J144" s="171"/>
      <c r="K144" s="171"/>
      <c r="L144" s="173"/>
    </row>
    <row r="145" spans="2:12" ht="37.200000000000003">
      <c r="B145" s="169">
        <v>20</v>
      </c>
      <c r="C145" s="170" t="s">
        <v>162</v>
      </c>
      <c r="D145" s="171"/>
      <c r="E145" s="171"/>
      <c r="F145" s="171"/>
      <c r="G145" s="171"/>
      <c r="H145" s="171"/>
      <c r="I145" s="171"/>
      <c r="J145" s="171"/>
      <c r="K145" s="171"/>
      <c r="L145" s="173"/>
    </row>
    <row r="146" spans="2:12">
      <c r="B146" s="169"/>
      <c r="C146" s="184" t="s">
        <v>147</v>
      </c>
      <c r="D146" s="171">
        <v>1</v>
      </c>
      <c r="E146" s="171">
        <f>(15.42*2+10*2)/3.281</f>
        <v>15.49527583053947</v>
      </c>
      <c r="F146" s="171"/>
      <c r="G146" s="171">
        <f>5.25/3.281</f>
        <v>1.6001219140505942</v>
      </c>
      <c r="H146" s="172">
        <f t="shared" ref="H146:H147" si="17">PRODUCT(D146:G146)</f>
        <v>24.794330420704728</v>
      </c>
      <c r="I146" s="171"/>
      <c r="J146" s="171"/>
      <c r="K146" s="171"/>
      <c r="L146" s="173"/>
    </row>
    <row r="147" spans="2:12">
      <c r="B147" s="169"/>
      <c r="C147" s="182"/>
      <c r="D147" s="171">
        <v>1</v>
      </c>
      <c r="E147" s="171">
        <f>13.42/3.281</f>
        <v>4.0902163974398045</v>
      </c>
      <c r="F147" s="171">
        <f>8/3.281</f>
        <v>2.4382810118866196</v>
      </c>
      <c r="G147" s="171"/>
      <c r="H147" s="172">
        <f t="shared" si="17"/>
        <v>9.9730969763847703</v>
      </c>
      <c r="I147" s="171"/>
      <c r="J147" s="171"/>
      <c r="K147" s="171"/>
      <c r="L147" s="173"/>
    </row>
    <row r="148" spans="2:12">
      <c r="B148" s="169"/>
      <c r="C148" s="182"/>
      <c r="D148" s="171"/>
      <c r="E148" s="171"/>
      <c r="F148" s="171"/>
      <c r="G148" s="171"/>
      <c r="H148" s="171">
        <f>SUM(H146:H147)</f>
        <v>34.767427397089499</v>
      </c>
      <c r="I148" s="171" t="s">
        <v>23</v>
      </c>
      <c r="J148" s="171">
        <f>11197.91</f>
        <v>11197.91</v>
      </c>
      <c r="K148" s="171">
        <f>H148*J148</f>
        <v>389322.52292414248</v>
      </c>
      <c r="L148" s="173"/>
    </row>
    <row r="149" spans="2:12">
      <c r="B149" s="169"/>
      <c r="C149" s="182" t="s">
        <v>155</v>
      </c>
      <c r="D149" s="171"/>
      <c r="E149" s="171"/>
      <c r="F149" s="171"/>
      <c r="G149" s="171"/>
      <c r="H149" s="171"/>
      <c r="I149" s="171"/>
      <c r="J149" s="171"/>
      <c r="K149" s="171">
        <f>0.13*H148*2846.9/10</f>
        <v>1286.7320577380633</v>
      </c>
      <c r="L149" s="173"/>
    </row>
    <row r="150" spans="2:12">
      <c r="B150" s="169"/>
      <c r="C150" s="182"/>
      <c r="D150" s="171"/>
      <c r="E150" s="171"/>
      <c r="F150" s="171"/>
      <c r="G150" s="171"/>
      <c r="H150" s="171"/>
      <c r="I150" s="171"/>
      <c r="J150" s="171"/>
      <c r="K150" s="171"/>
      <c r="L150" s="173"/>
    </row>
    <row r="151" spans="2:12" ht="33" customHeight="1">
      <c r="B151" s="169">
        <v>21</v>
      </c>
      <c r="C151" s="183" t="s">
        <v>163</v>
      </c>
      <c r="D151" s="171">
        <v>1</v>
      </c>
      <c r="E151" s="171"/>
      <c r="F151" s="171"/>
      <c r="G151" s="171"/>
      <c r="H151" s="171">
        <v>1</v>
      </c>
      <c r="I151" s="171" t="s">
        <v>164</v>
      </c>
      <c r="J151" s="172">
        <v>5000</v>
      </c>
      <c r="K151" s="172">
        <f>H151*J151</f>
        <v>5000</v>
      </c>
      <c r="L151" s="173"/>
    </row>
    <row r="152" spans="2:12">
      <c r="B152" s="169"/>
      <c r="C152" s="189"/>
      <c r="D152" s="171"/>
      <c r="E152" s="171"/>
      <c r="F152" s="171"/>
      <c r="G152" s="172"/>
      <c r="H152" s="171"/>
      <c r="I152" s="171"/>
      <c r="J152" s="172"/>
      <c r="K152" s="172"/>
      <c r="L152" s="173"/>
    </row>
    <row r="153" spans="2:12" ht="33" customHeight="1">
      <c r="B153" s="169">
        <v>22</v>
      </c>
      <c r="C153" s="183" t="s">
        <v>89</v>
      </c>
      <c r="D153" s="171">
        <v>1</v>
      </c>
      <c r="E153" s="171"/>
      <c r="F153" s="171"/>
      <c r="G153" s="171"/>
      <c r="H153" s="171">
        <v>1</v>
      </c>
      <c r="I153" s="171" t="s">
        <v>34</v>
      </c>
      <c r="J153" s="172">
        <v>500</v>
      </c>
      <c r="K153" s="172">
        <f>H153*J153</f>
        <v>500</v>
      </c>
      <c r="L153" s="173"/>
    </row>
    <row r="154" spans="2:12">
      <c r="B154" s="190"/>
      <c r="C154" s="191"/>
      <c r="D154" s="171"/>
      <c r="E154" s="172"/>
      <c r="F154" s="172"/>
      <c r="G154" s="172"/>
      <c r="H154" s="172"/>
      <c r="I154" s="171"/>
      <c r="J154" s="172"/>
      <c r="K154" s="192">
        <f>SUM(K12:K153)</f>
        <v>877810.68270516139</v>
      </c>
      <c r="L154" s="193"/>
    </row>
    <row r="155" spans="2:12">
      <c r="C155" s="156"/>
      <c r="D155" s="157"/>
      <c r="E155" s="157"/>
      <c r="F155" s="157"/>
      <c r="G155" s="157"/>
      <c r="H155" s="157"/>
      <c r="I155" s="157"/>
      <c r="J155" s="157"/>
      <c r="K155" s="158"/>
      <c r="L155" s="152"/>
    </row>
    <row r="156" spans="2:12">
      <c r="C156" s="166" t="s">
        <v>12</v>
      </c>
      <c r="D156" s="194" t="s">
        <v>71</v>
      </c>
      <c r="E156" s="194"/>
      <c r="F156" s="166" t="s">
        <v>72</v>
      </c>
      <c r="H156" s="145"/>
    </row>
    <row r="157" spans="2:12">
      <c r="C157" s="176" t="s">
        <v>13</v>
      </c>
      <c r="D157" s="195">
        <f>+K154</f>
        <v>877810.68270516139</v>
      </c>
      <c r="E157" s="195"/>
      <c r="F157" s="196"/>
      <c r="H157" s="159"/>
    </row>
    <row r="158" spans="2:12">
      <c r="C158" s="176" t="s">
        <v>14</v>
      </c>
      <c r="D158" s="195">
        <v>200000</v>
      </c>
      <c r="E158" s="195"/>
      <c r="F158" s="197">
        <v>100</v>
      </c>
      <c r="H158" s="159"/>
    </row>
    <row r="159" spans="2:12">
      <c r="C159" s="176" t="s">
        <v>19</v>
      </c>
      <c r="D159" s="195">
        <f>0.95*D158</f>
        <v>190000</v>
      </c>
      <c r="E159" s="195"/>
      <c r="F159" s="197">
        <f>D159/D157*100</f>
        <v>21.644758231293604</v>
      </c>
      <c r="H159" s="159"/>
    </row>
    <row r="160" spans="2:12">
      <c r="C160" s="176" t="s">
        <v>15</v>
      </c>
      <c r="D160" s="195">
        <f>D157-D159</f>
        <v>687810.68270516139</v>
      </c>
      <c r="E160" s="195"/>
      <c r="F160" s="197">
        <f>D160/D158*100</f>
        <v>343.90534135258071</v>
      </c>
      <c r="H160" s="159"/>
    </row>
    <row r="161" spans="3:8">
      <c r="C161" s="176" t="s">
        <v>20</v>
      </c>
      <c r="D161" s="195">
        <f>F161*D158/100</f>
        <v>4000</v>
      </c>
      <c r="E161" s="195"/>
      <c r="F161" s="197">
        <v>2</v>
      </c>
      <c r="H161" s="159"/>
    </row>
    <row r="162" spans="3:8">
      <c r="C162" s="176" t="s">
        <v>21</v>
      </c>
      <c r="D162" s="198">
        <f>F162*D158/100</f>
        <v>6000</v>
      </c>
      <c r="E162" s="198"/>
      <c r="F162" s="197">
        <v>3</v>
      </c>
      <c r="H162" s="160"/>
    </row>
    <row r="163" spans="3:8">
      <c r="G163" s="161"/>
    </row>
  </sheetData>
  <mergeCells count="14">
    <mergeCell ref="D161:E161"/>
    <mergeCell ref="D162:E162"/>
    <mergeCell ref="D156:E156"/>
    <mergeCell ref="D157:E157"/>
    <mergeCell ref="D158:E158"/>
    <mergeCell ref="D159:E159"/>
    <mergeCell ref="D160:E160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6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D8" sqref="D8"/>
    </sheetView>
  </sheetViews>
  <sheetFormatPr defaultRowHeight="14.4"/>
  <cols>
    <col min="1" max="1" width="10.5546875" customWidth="1"/>
    <col min="2" max="3" width="13.88671875" customWidth="1"/>
    <col min="4" max="5" width="14" customWidth="1"/>
    <col min="6" max="6" width="12.5546875" customWidth="1"/>
    <col min="7" max="7" width="13.44140625" customWidth="1"/>
    <col min="8" max="8" width="12.5546875" customWidth="1"/>
  </cols>
  <sheetData>
    <row r="1" spans="1:8" ht="21">
      <c r="A1" s="90">
        <v>152</v>
      </c>
      <c r="B1" s="130" t="s">
        <v>106</v>
      </c>
      <c r="C1" s="131"/>
      <c r="D1" s="131"/>
      <c r="E1" s="131"/>
      <c r="F1" s="131"/>
      <c r="G1" s="131"/>
      <c r="H1" s="131"/>
    </row>
    <row r="2" spans="1:8" ht="15.6">
      <c r="A2" s="91" t="s">
        <v>107</v>
      </c>
      <c r="B2" s="132" t="s">
        <v>108</v>
      </c>
      <c r="C2" s="133"/>
      <c r="D2" s="133"/>
      <c r="E2" s="133"/>
      <c r="F2" s="133"/>
      <c r="G2" s="133"/>
      <c r="H2" s="133"/>
    </row>
    <row r="3" spans="1:8" ht="32.4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8">
      <c r="A4" s="92"/>
      <c r="B4" s="134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8">
      <c r="A5" s="92"/>
      <c r="B5" s="135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8">
      <c r="A6" s="92"/>
      <c r="B6" s="136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8">
      <c r="A7" s="92"/>
      <c r="B7" s="137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20.399999999999999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20.399999999999999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20.399999999999999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6.8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ESTIMATE</vt:lpstr>
      <vt:lpstr>WCR</vt:lpstr>
      <vt:lpstr>me</vt:lpstr>
      <vt:lpstr>Sheet1</vt:lpstr>
      <vt:lpstr>ESTIMATE!Print_Area</vt:lpstr>
      <vt:lpstr>me!Print_Area</vt:lpstr>
      <vt:lpstr>ESTIMATE!Print_Titles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cp:lastPrinted>2025-12-05T03:52:51Z</cp:lastPrinted>
  <dcterms:created xsi:type="dcterms:W3CDTF">2015-02-11T06:39:48Z</dcterms:created>
  <dcterms:modified xsi:type="dcterms:W3CDTF">2025-12-05T03:53:05Z</dcterms:modified>
</cp:coreProperties>
</file>