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B482695A-FB34-46DB-BF43-5CAF5EC045AD}" xr6:coauthVersionLast="47" xr6:coauthVersionMax="47" xr10:uidLastSave="{00000000-0000-0000-0000-000000000000}"/>
  <bookViews>
    <workbookView xWindow="-120" yWindow="-120" windowWidth="20730" windowHeight="11040" activeTab="3" xr2:uid="{00000000-000D-0000-FFFF-FFFF00000000}"/>
  </bookViews>
  <sheets>
    <sheet name="Estimate" sheetId="16" r:id="rId1"/>
    <sheet name="WCR" sheetId="13" r:id="rId2"/>
    <sheet name="V" sheetId="14" r:id="rId3"/>
    <sheet name="M" sheetId="17" r:id="rId4"/>
  </sheets>
  <externalReferences>
    <externalReference r:id="rId5"/>
    <externalReference r:id="rId6"/>
    <externalReference r:id="rId7"/>
  </externalReferences>
  <definedNames>
    <definedName name="description_103" localSheetId="1">#REF!</definedName>
    <definedName name="description_103">[1]Abstract!$B$16</definedName>
    <definedName name="description_124" localSheetId="0">#REF!</definedName>
    <definedName name="description_124" localSheetId="3">#REF!</definedName>
    <definedName name="description_124" localSheetId="2">#REF!</definedName>
    <definedName name="description_124" localSheetId="1">#REF!</definedName>
    <definedName name="description_124">#REF!</definedName>
    <definedName name="description_247" localSheetId="1">#REF!</definedName>
    <definedName name="description_247">[1]Abstract!$B$22</definedName>
    <definedName name="description_248" localSheetId="1">#REF!</definedName>
    <definedName name="description_248">[1]Abstract!$B$23</definedName>
    <definedName name="description_261" localSheetId="1">#REF!</definedName>
    <definedName name="description_261">[2]Abstract!$B$33</definedName>
    <definedName name="description_262" localSheetId="1">#REF!</definedName>
    <definedName name="description_262">[1]Abstract!$B$34</definedName>
    <definedName name="description_276" localSheetId="1">#REF!</definedName>
    <definedName name="description_276">[3]Abstract!$B$40</definedName>
    <definedName name="description_3" localSheetId="1">#REF!</definedName>
    <definedName name="description_3">[1]Abstract!$B$169</definedName>
    <definedName name="description_310" localSheetId="0">#REF!</definedName>
    <definedName name="description_310" localSheetId="3">#REF!</definedName>
    <definedName name="description_310" localSheetId="2">#REF!</definedName>
    <definedName name="description_310" localSheetId="1">#REF!</definedName>
    <definedName name="description_310">#REF!</definedName>
    <definedName name="description_312" localSheetId="0">#REF!</definedName>
    <definedName name="description_312" localSheetId="3">#REF!</definedName>
    <definedName name="description_312" localSheetId="2">#REF!</definedName>
    <definedName name="description_312" localSheetId="1">#REF!</definedName>
    <definedName name="description_312">#REF!</definedName>
    <definedName name="description_4">#REF!</definedName>
    <definedName name="description_5" localSheetId="1">#REF!</definedName>
    <definedName name="description_5">[1]Abstract!$B$171</definedName>
    <definedName name="description_6" localSheetId="0">#REF!</definedName>
    <definedName name="description_6" localSheetId="3">#REF!</definedName>
    <definedName name="description_6" localSheetId="2">#REF!</definedName>
    <definedName name="description_6" localSheetId="1">#REF!</definedName>
    <definedName name="description_6">#REF!</definedName>
    <definedName name="description_759" localSheetId="1">#REF!</definedName>
    <definedName name="description_759">[1]Abstract!$B$278</definedName>
    <definedName name="description_781" localSheetId="0">#REF!</definedName>
    <definedName name="description_781" localSheetId="3">#REF!</definedName>
    <definedName name="description_781" localSheetId="2">#REF!</definedName>
    <definedName name="description_781" localSheetId="1">#REF!</definedName>
    <definedName name="description_781">#REF!</definedName>
    <definedName name="description_783" localSheetId="1">#REF!</definedName>
    <definedName name="description_783">[1]Abstract!$B$301</definedName>
    <definedName name="description_784" localSheetId="1">#REF!</definedName>
    <definedName name="description_784">[3]Abstract!$B$300</definedName>
    <definedName name="_xlnm.Print_Area" localSheetId="0">Estimate!$A$1:$K$88</definedName>
    <definedName name="_xlnm.Print_Area" localSheetId="3">M!$A$1:$I$65</definedName>
    <definedName name="_xlnm.Print_Area" localSheetId="2">V!$A$1:$K$88</definedName>
    <definedName name="_xlnm.Print_Area" localSheetId="1">WCR!$A$1:$K$48</definedName>
    <definedName name="_xlnm.Print_Titles" localSheetId="0">Estimate!$1:$8</definedName>
    <definedName name="_xlnm.Print_Titles" localSheetId="3">M!$1:$8</definedName>
    <definedName name="_xlnm.Print_Titles" localSheetId="2">V!$1:$8</definedName>
    <definedName name="_xlnm.Print_Titles" localSheetId="1">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7" l="1"/>
  <c r="G60" i="17"/>
  <c r="F57" i="17"/>
  <c r="D57" i="17"/>
  <c r="F56" i="17"/>
  <c r="D56" i="17"/>
  <c r="F52" i="17"/>
  <c r="D52" i="17"/>
  <c r="F51" i="17"/>
  <c r="D51" i="17"/>
  <c r="G47" i="17"/>
  <c r="F47" i="17"/>
  <c r="D47" i="17"/>
  <c r="F46" i="17"/>
  <c r="D46" i="17"/>
  <c r="F42" i="17"/>
  <c r="D42" i="17"/>
  <c r="L41" i="17"/>
  <c r="K41" i="17"/>
  <c r="F41" i="17"/>
  <c r="D37" i="17"/>
  <c r="E32" i="17"/>
  <c r="D32" i="17"/>
  <c r="D30" i="17"/>
  <c r="E26" i="17"/>
  <c r="C26" i="17"/>
  <c r="B26" i="17"/>
  <c r="E25" i="17"/>
  <c r="D25" i="17"/>
  <c r="C25" i="17"/>
  <c r="C24" i="17"/>
  <c r="B24" i="17"/>
  <c r="D23" i="17"/>
  <c r="D22" i="17"/>
  <c r="C22" i="17"/>
  <c r="B22" i="17"/>
  <c r="E21" i="17"/>
  <c r="D21" i="17"/>
  <c r="D20" i="17"/>
  <c r="D16" i="17"/>
  <c r="G15" i="17"/>
  <c r="F14" i="17"/>
  <c r="E14" i="17"/>
  <c r="D14" i="17"/>
  <c r="E13" i="17"/>
  <c r="E12" i="17"/>
  <c r="E11" i="17"/>
  <c r="D11" i="17"/>
  <c r="D10" i="17"/>
  <c r="H46" i="13"/>
  <c r="G46" i="13"/>
  <c r="E46" i="13"/>
  <c r="D46" i="13"/>
  <c r="C46" i="13"/>
  <c r="B46" i="13"/>
  <c r="A46" i="13"/>
  <c r="H44" i="13"/>
  <c r="G44" i="13"/>
  <c r="E44" i="13"/>
  <c r="D44" i="13"/>
  <c r="C44" i="13"/>
  <c r="B44" i="13"/>
  <c r="A44" i="13"/>
  <c r="I42" i="13"/>
  <c r="H41" i="13"/>
  <c r="G41" i="13"/>
  <c r="F42" i="13"/>
  <c r="E41" i="13"/>
  <c r="D41" i="13"/>
  <c r="C41" i="13"/>
  <c r="B42" i="13"/>
  <c r="B41" i="13"/>
  <c r="A41" i="13"/>
  <c r="B39" i="13"/>
  <c r="F39" i="13"/>
  <c r="I39" i="13"/>
  <c r="I38" i="13"/>
  <c r="H37" i="13"/>
  <c r="G37" i="13"/>
  <c r="F38" i="13"/>
  <c r="E37" i="13"/>
  <c r="D37" i="13"/>
  <c r="C37" i="13"/>
  <c r="B38" i="13"/>
  <c r="B37" i="13"/>
  <c r="A37" i="13"/>
  <c r="B33" i="13"/>
  <c r="F33" i="13"/>
  <c r="I33" i="13"/>
  <c r="J33" i="13"/>
  <c r="B34" i="13"/>
  <c r="F34" i="13"/>
  <c r="I34" i="13"/>
  <c r="B35" i="13"/>
  <c r="F35" i="13"/>
  <c r="I35" i="13"/>
  <c r="I32" i="13"/>
  <c r="H31" i="13"/>
  <c r="G31" i="13"/>
  <c r="F32" i="13"/>
  <c r="B32" i="13"/>
  <c r="E31" i="13"/>
  <c r="D31" i="13"/>
  <c r="C31" i="13"/>
  <c r="B31" i="13"/>
  <c r="A31" i="13"/>
  <c r="B27" i="13"/>
  <c r="F27" i="13"/>
  <c r="I27" i="13"/>
  <c r="J27" i="13"/>
  <c r="B28" i="13"/>
  <c r="F28" i="13"/>
  <c r="I28" i="13"/>
  <c r="B29" i="13"/>
  <c r="F29" i="13"/>
  <c r="I29" i="13"/>
  <c r="I26" i="13"/>
  <c r="H25" i="13"/>
  <c r="G25" i="13"/>
  <c r="F26" i="13"/>
  <c r="E25" i="13"/>
  <c r="D25" i="13"/>
  <c r="C25" i="13"/>
  <c r="B26" i="13"/>
  <c r="B25" i="13"/>
  <c r="A25" i="13"/>
  <c r="B20" i="13"/>
  <c r="F20" i="13"/>
  <c r="I20" i="13"/>
  <c r="B21" i="13"/>
  <c r="F21" i="13"/>
  <c r="I21" i="13"/>
  <c r="B22" i="13"/>
  <c r="F22" i="13"/>
  <c r="I22" i="13"/>
  <c r="B23" i="13"/>
  <c r="F23" i="13"/>
  <c r="I23" i="13"/>
  <c r="I19" i="13"/>
  <c r="H18" i="13"/>
  <c r="G18" i="13"/>
  <c r="F19" i="13"/>
  <c r="E18" i="13"/>
  <c r="D18" i="13"/>
  <c r="C18" i="13"/>
  <c r="B19" i="13"/>
  <c r="B18" i="13"/>
  <c r="A18" i="13"/>
  <c r="I16" i="13"/>
  <c r="H15" i="13"/>
  <c r="G15" i="13"/>
  <c r="F16" i="13"/>
  <c r="E15" i="13"/>
  <c r="D15" i="13"/>
  <c r="C15" i="13"/>
  <c r="B16" i="13"/>
  <c r="B15" i="13"/>
  <c r="A15" i="13"/>
  <c r="H13" i="13"/>
  <c r="G13" i="13"/>
  <c r="E13" i="13"/>
  <c r="D13" i="13"/>
  <c r="C13" i="13"/>
  <c r="B13" i="13"/>
  <c r="A13" i="13"/>
  <c r="C88" i="16"/>
  <c r="C87" i="16"/>
  <c r="G79" i="16"/>
  <c r="G77" i="16"/>
  <c r="G73" i="16"/>
  <c r="F73" i="16"/>
  <c r="D73" i="16"/>
  <c r="G72" i="16"/>
  <c r="F72" i="16"/>
  <c r="D72" i="16"/>
  <c r="G66" i="16"/>
  <c r="F66" i="16"/>
  <c r="D66" i="16"/>
  <c r="F65" i="16"/>
  <c r="D65" i="16"/>
  <c r="G57" i="16"/>
  <c r="F57" i="16"/>
  <c r="D57" i="16"/>
  <c r="F56" i="16"/>
  <c r="D56" i="16"/>
  <c r="F48" i="16"/>
  <c r="D48" i="16"/>
  <c r="N47" i="16"/>
  <c r="M47" i="16"/>
  <c r="F47" i="16"/>
  <c r="G38" i="16"/>
  <c r="D38" i="16"/>
  <c r="D34" i="16"/>
  <c r="E33" i="16"/>
  <c r="D33" i="16"/>
  <c r="E31" i="16"/>
  <c r="D31" i="16"/>
  <c r="E26" i="16"/>
  <c r="C26" i="16"/>
  <c r="B26" i="16"/>
  <c r="E25" i="16"/>
  <c r="D25" i="16"/>
  <c r="C25" i="16"/>
  <c r="C24" i="16"/>
  <c r="B24" i="16"/>
  <c r="D23" i="16"/>
  <c r="D22" i="16"/>
  <c r="C22" i="16"/>
  <c r="B22" i="16"/>
  <c r="E21" i="16"/>
  <c r="D21" i="16"/>
  <c r="E20" i="16"/>
  <c r="D20" i="16"/>
  <c r="D16" i="16"/>
  <c r="G15" i="16"/>
  <c r="F14" i="16"/>
  <c r="E14" i="16"/>
  <c r="D14" i="16"/>
  <c r="E13" i="16"/>
  <c r="E12" i="16"/>
  <c r="E11" i="16"/>
  <c r="J81" i="14"/>
  <c r="G58" i="14"/>
  <c r="G67" i="14"/>
  <c r="G74" i="14"/>
  <c r="F73" i="14"/>
  <c r="D73" i="14"/>
  <c r="F72" i="14"/>
  <c r="D72" i="14"/>
  <c r="F66" i="14"/>
  <c r="D66" i="14"/>
  <c r="F65" i="14"/>
  <c r="D65" i="14"/>
  <c r="F57" i="14"/>
  <c r="D57" i="14"/>
  <c r="F56" i="14"/>
  <c r="D56" i="14"/>
  <c r="D38" i="14"/>
  <c r="D16" i="14"/>
  <c r="G77" i="14"/>
  <c r="E26" i="14"/>
  <c r="C26" i="14"/>
  <c r="E25" i="14"/>
  <c r="D25" i="14"/>
  <c r="C25" i="14"/>
  <c r="C24" i="14"/>
  <c r="B24" i="14"/>
  <c r="D23" i="14"/>
  <c r="D22" i="14"/>
  <c r="G15" i="14"/>
  <c r="F14" i="14"/>
  <c r="E14" i="14"/>
  <c r="D14" i="14"/>
  <c r="E12" i="14"/>
  <c r="E13" i="14"/>
  <c r="E33" i="14"/>
  <c r="F48" i="14"/>
  <c r="D48" i="14"/>
  <c r="F47" i="14"/>
  <c r="C22" i="14"/>
  <c r="A8" i="13"/>
  <c r="C88" i="14"/>
  <c r="C87" i="14"/>
  <c r="G79" i="14"/>
  <c r="N47" i="14"/>
  <c r="M47" i="14"/>
  <c r="B26" i="14"/>
  <c r="B22" i="14"/>
  <c r="E41" i="17" l="1"/>
  <c r="E30" i="17"/>
  <c r="E20" i="17" s="1"/>
  <c r="E10" i="17" s="1"/>
  <c r="G46" i="17"/>
  <c r="D33" i="17"/>
  <c r="G57" i="17"/>
  <c r="G56" i="17"/>
  <c r="G37" i="17"/>
  <c r="N41" i="17"/>
  <c r="D31" i="17"/>
  <c r="G31" i="17" s="1"/>
  <c r="E24" i="17"/>
  <c r="G11" i="17"/>
  <c r="G52" i="17"/>
  <c r="G41" i="17"/>
  <c r="C36" i="17"/>
  <c r="D35" i="17"/>
  <c r="D34" i="17"/>
  <c r="B34" i="17"/>
  <c r="G25" i="17"/>
  <c r="E23" i="17"/>
  <c r="E35" i="17" s="1"/>
  <c r="G10" i="17"/>
  <c r="G58" i="17"/>
  <c r="G51" i="17"/>
  <c r="G53" i="17" s="1"/>
  <c r="G48" i="17"/>
  <c r="G42" i="17"/>
  <c r="E33" i="17"/>
  <c r="D26" i="17"/>
  <c r="D36" i="17" s="1"/>
  <c r="G14" i="17"/>
  <c r="C34" i="17"/>
  <c r="G32" i="17"/>
  <c r="D24" i="17"/>
  <c r="G20" i="17"/>
  <c r="G16" i="17"/>
  <c r="G13" i="17"/>
  <c r="E36" i="17"/>
  <c r="B36" i="17"/>
  <c r="G33" i="17"/>
  <c r="G30" i="17"/>
  <c r="G24" i="17"/>
  <c r="E22" i="17"/>
  <c r="E34" i="17" s="1"/>
  <c r="G21" i="17"/>
  <c r="G12" i="17"/>
  <c r="J20" i="13"/>
  <c r="J28" i="13"/>
  <c r="C85" i="16"/>
  <c r="J39" i="13"/>
  <c r="J35" i="13"/>
  <c r="J34" i="13"/>
  <c r="J22" i="13"/>
  <c r="J29" i="13"/>
  <c r="J23" i="13"/>
  <c r="J21" i="13"/>
  <c r="D35" i="16"/>
  <c r="G21" i="16"/>
  <c r="G13" i="16"/>
  <c r="E10" i="16"/>
  <c r="D10" i="16"/>
  <c r="G10" i="16" s="1"/>
  <c r="J79" i="16"/>
  <c r="J77" i="16"/>
  <c r="G65" i="16"/>
  <c r="G67" i="16" s="1"/>
  <c r="G56" i="16"/>
  <c r="G58" i="16" s="1"/>
  <c r="G48" i="16"/>
  <c r="E47" i="16"/>
  <c r="G47" i="16" s="1"/>
  <c r="B35" i="16"/>
  <c r="D32" i="16"/>
  <c r="G32" i="16" s="1"/>
  <c r="G14" i="16"/>
  <c r="G12" i="16"/>
  <c r="J61" i="16"/>
  <c r="P47" i="16"/>
  <c r="E34" i="16"/>
  <c r="E23" i="16"/>
  <c r="E36" i="16" s="1"/>
  <c r="G20" i="16"/>
  <c r="G16" i="16"/>
  <c r="D11" i="16"/>
  <c r="G11" i="16" s="1"/>
  <c r="B37" i="16"/>
  <c r="D36" i="16"/>
  <c r="G36" i="16" s="1"/>
  <c r="C35" i="16"/>
  <c r="G33" i="16"/>
  <c r="D24" i="16"/>
  <c r="G74" i="16"/>
  <c r="G49" i="16"/>
  <c r="E37" i="16"/>
  <c r="C37" i="16"/>
  <c r="G31" i="16"/>
  <c r="D26" i="16"/>
  <c r="D37" i="16" s="1"/>
  <c r="G25" i="16"/>
  <c r="E24" i="16"/>
  <c r="E22" i="16"/>
  <c r="G73" i="14"/>
  <c r="G72" i="14"/>
  <c r="J75" i="14"/>
  <c r="G66" i="14"/>
  <c r="G65" i="14"/>
  <c r="G57" i="14"/>
  <c r="G56" i="14"/>
  <c r="J77" i="14"/>
  <c r="B37" i="14"/>
  <c r="E37" i="14"/>
  <c r="G25" i="14"/>
  <c r="C37" i="14"/>
  <c r="D35" i="14"/>
  <c r="D36" i="14"/>
  <c r="C35" i="14"/>
  <c r="D26" i="14"/>
  <c r="D37" i="14" s="1"/>
  <c r="E24" i="14"/>
  <c r="D24" i="14"/>
  <c r="E23" i="14"/>
  <c r="E36" i="14" s="1"/>
  <c r="G36" i="14" s="1"/>
  <c r="E22" i="14"/>
  <c r="E35" i="14" s="1"/>
  <c r="G14" i="14"/>
  <c r="G24" i="14"/>
  <c r="G13" i="14"/>
  <c r="G16" i="14"/>
  <c r="E34" i="14"/>
  <c r="E47" i="14"/>
  <c r="F41" i="13"/>
  <c r="M41" i="13" s="1"/>
  <c r="M42" i="13"/>
  <c r="M38" i="13"/>
  <c r="F37" i="13"/>
  <c r="M37" i="13" s="1"/>
  <c r="F31" i="13"/>
  <c r="M31" i="13" s="1"/>
  <c r="M32" i="13"/>
  <c r="D31" i="14"/>
  <c r="D34" i="14"/>
  <c r="D33" i="14"/>
  <c r="E31" i="14"/>
  <c r="C85" i="14"/>
  <c r="G12" i="14"/>
  <c r="G48" i="14"/>
  <c r="J79" i="14"/>
  <c r="B35" i="14"/>
  <c r="P47" i="14"/>
  <c r="F18" i="13"/>
  <c r="M18" i="13" s="1"/>
  <c r="M16" i="13"/>
  <c r="F15" i="13"/>
  <c r="M15" i="13" s="1"/>
  <c r="F13" i="13"/>
  <c r="F46" i="13"/>
  <c r="F44" i="13"/>
  <c r="M44" i="13" s="1"/>
  <c r="M26" i="13"/>
  <c r="F25" i="13"/>
  <c r="M25" i="13" s="1"/>
  <c r="M19" i="13"/>
  <c r="G43" i="17" l="1"/>
  <c r="G34" i="17"/>
  <c r="G26" i="17"/>
  <c r="G23" i="17"/>
  <c r="G35" i="17"/>
  <c r="G22" i="17"/>
  <c r="G36" i="17"/>
  <c r="G17" i="17"/>
  <c r="J67" i="16"/>
  <c r="J68" i="16"/>
  <c r="J69" i="16"/>
  <c r="J58" i="16"/>
  <c r="J60" i="16"/>
  <c r="J59" i="16"/>
  <c r="J62" i="16"/>
  <c r="J75" i="16"/>
  <c r="J74" i="16"/>
  <c r="J51" i="16"/>
  <c r="J50" i="16"/>
  <c r="J49" i="16"/>
  <c r="J53" i="16"/>
  <c r="J52" i="16"/>
  <c r="E35" i="16"/>
  <c r="G35" i="16" s="1"/>
  <c r="G22" i="16"/>
  <c r="G27" i="16" s="1"/>
  <c r="G37" i="16"/>
  <c r="G23" i="16"/>
  <c r="G24" i="16"/>
  <c r="G26" i="16"/>
  <c r="G34" i="16"/>
  <c r="G39" i="16" s="1"/>
  <c r="G17" i="16"/>
  <c r="J17" i="16" s="1"/>
  <c r="J74" i="14"/>
  <c r="G37" i="14"/>
  <c r="J58" i="14"/>
  <c r="J69" i="14"/>
  <c r="J68" i="14"/>
  <c r="J67" i="14"/>
  <c r="J59" i="14"/>
  <c r="J60" i="14"/>
  <c r="J62" i="14"/>
  <c r="J61" i="14"/>
  <c r="G26" i="14"/>
  <c r="G23" i="14"/>
  <c r="G34" i="14"/>
  <c r="D21" i="14"/>
  <c r="G22" i="14"/>
  <c r="E21" i="14"/>
  <c r="E11" i="14" s="1"/>
  <c r="G47" i="14"/>
  <c r="D20" i="14"/>
  <c r="D10" i="14" s="1"/>
  <c r="D32" i="14"/>
  <c r="G32" i="14" s="1"/>
  <c r="G33" i="14"/>
  <c r="I46" i="13"/>
  <c r="I44" i="13"/>
  <c r="E20" i="14"/>
  <c r="G31" i="14"/>
  <c r="I41" i="13"/>
  <c r="J41" i="13" s="1"/>
  <c r="G38" i="14"/>
  <c r="G35" i="14"/>
  <c r="I15" i="13"/>
  <c r="J15" i="13" s="1"/>
  <c r="M13" i="13"/>
  <c r="F48" i="13"/>
  <c r="C6" i="13" s="1"/>
  <c r="G38" i="17" l="1"/>
  <c r="G27" i="17"/>
  <c r="J28" i="16"/>
  <c r="J27" i="16"/>
  <c r="J44" i="16"/>
  <c r="J41" i="16"/>
  <c r="J39" i="16"/>
  <c r="J43" i="16"/>
  <c r="J40" i="16"/>
  <c r="J42" i="16"/>
  <c r="D11" i="14"/>
  <c r="G11" i="14"/>
  <c r="G21" i="14"/>
  <c r="J46" i="13"/>
  <c r="G49" i="14"/>
  <c r="I37" i="13" s="1"/>
  <c r="J37" i="13" s="1"/>
  <c r="J44" i="13"/>
  <c r="G20" i="14"/>
  <c r="J42" i="13"/>
  <c r="E10" i="14"/>
  <c r="G10" i="14" s="1"/>
  <c r="G39" i="14"/>
  <c r="I31" i="13" s="1"/>
  <c r="J31" i="13" s="1"/>
  <c r="J16" i="13"/>
  <c r="J81" i="16" l="1"/>
  <c r="C83" i="16" s="1"/>
  <c r="G27" i="14"/>
  <c r="G17" i="14"/>
  <c r="J52" i="14"/>
  <c r="J53" i="14"/>
  <c r="J51" i="14"/>
  <c r="J50" i="14"/>
  <c r="J38" i="13" s="1"/>
  <c r="J49" i="14"/>
  <c r="I13" i="13"/>
  <c r="J19" i="13"/>
  <c r="J44" i="14"/>
  <c r="J43" i="14"/>
  <c r="J42" i="14"/>
  <c r="J41" i="14"/>
  <c r="J40" i="14"/>
  <c r="J32" i="13" s="1"/>
  <c r="J39" i="14"/>
  <c r="E85" i="16" l="1"/>
  <c r="E86" i="16" s="1"/>
  <c r="C86" i="16"/>
  <c r="I25" i="13"/>
  <c r="J25" i="13" s="1"/>
  <c r="J17" i="14"/>
  <c r="I18" i="13"/>
  <c r="J18" i="13" s="1"/>
  <c r="J27" i="14"/>
  <c r="J28" i="14"/>
  <c r="J26" i="13" s="1"/>
  <c r="J13" i="13"/>
  <c r="I48" i="13" l="1"/>
  <c r="C83" i="14"/>
  <c r="J6" i="13" l="1"/>
  <c r="J48" i="13"/>
  <c r="E85" i="14"/>
  <c r="E86" i="14" s="1"/>
  <c r="C86" i="14"/>
</calcChain>
</file>

<file path=xl/sharedStrings.xml><?xml version="1.0" encoding="utf-8"?>
<sst xmlns="http://schemas.openxmlformats.org/spreadsheetml/2006/main" count="238" uniqueCount="71">
  <si>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</si>
  <si>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</si>
  <si>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</si>
  <si>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</si>
  <si>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</si>
  <si>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</si>
  <si>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</si>
  <si>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</si>
  <si>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</si>
  <si>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</si>
  <si>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</si>
  <si>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</si>
  <si>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</si>
  <si>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</si>
  <si>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</si>
  <si>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</si>
  <si>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</si>
  <si>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</si>
  <si>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</si>
  <si>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</si>
  <si>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</si>
  <si>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</si>
  <si>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</si>
  <si>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</si>
  <si>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</si>
  <si>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</si>
  <si>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</si>
  <si>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</si>
  <si>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</si>
  <si>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</si>
  <si>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</si>
  <si>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Random Rubble Masonry, Providing and laying of Stone Masonry Work in Cement Mortar 1:6 in Foundation complete as per Drawing and Technical Specifications., Using Concrete Mixer</t>
  </si>
  <si>
    <t>-13% VAT for stone</t>
  </si>
  <si>
    <t>-13% VAT for water</t>
  </si>
  <si>
    <t>User contribution</t>
  </si>
  <si>
    <t>sub-total</t>
  </si>
  <si>
    <t>sqm</t>
  </si>
  <si>
    <t>-Masonary wall</t>
  </si>
  <si>
    <t>cum</t>
  </si>
  <si>
    <t>-13% VAT for formwork</t>
  </si>
  <si>
    <t>Location:- Shankharapur Municipality 1</t>
  </si>
  <si>
    <t>-13% VAT for brick</t>
  </si>
  <si>
    <t>Work Completion Report</t>
  </si>
  <si>
    <t>Total Estimated Amount:</t>
  </si>
  <si>
    <t>Total Valuated Amount :</t>
  </si>
  <si>
    <t xml:space="preserve">Work Started : </t>
  </si>
  <si>
    <t xml:space="preserve">Work Finished:           </t>
  </si>
  <si>
    <t xml:space="preserve">F.Y:2082/2083            </t>
  </si>
  <si>
    <t xml:space="preserve">Date:2083/02/18       </t>
  </si>
  <si>
    <t>S.No.</t>
  </si>
  <si>
    <t>Description</t>
  </si>
  <si>
    <t>Estimated</t>
  </si>
  <si>
    <t>Valuated</t>
  </si>
  <si>
    <t>Difference</t>
  </si>
  <si>
    <t>Remarks</t>
  </si>
  <si>
    <t xml:space="preserve">Quantity </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</si>
  <si>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</si>
  <si>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-for pathway level</t>
  </si>
  <si>
    <t>-for dhara</t>
  </si>
  <si>
    <t>-at compound</t>
  </si>
  <si>
    <t>Prtovisional sum for unforseen works</t>
  </si>
  <si>
    <t>PS</t>
  </si>
  <si>
    <t>e'O{+tNnfdf lrDgL e§fsf] O{+6fsf] uf/f] l;d]G6 d;nf -!M^_ df</t>
  </si>
  <si>
    <t>-for dhara wall</t>
  </si>
  <si>
    <t>!@=% dL=dL= l;d]G6 afn'jf -!M$_ Knfi6/</t>
  </si>
  <si>
    <t># dL=dL= df]6fO{ d;Lgf] l;d]G6 3f]6\g] sfd</t>
  </si>
  <si>
    <t>Project:- पटाप बिबिध कार्य</t>
  </si>
  <si>
    <t>Date:2083/03/12</t>
  </si>
  <si>
    <t>Detail Valuated Sheet</t>
  </si>
  <si>
    <t>Total Valuated</t>
  </si>
  <si>
    <t>Detail Quantity Measurement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</si>
</sst>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sz val="12"/>
      <name val="Times New Roman"/>
      <family val="2"/>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0" fontId="9" fillId="0" borderId="2" xfId="0" applyFont="1" applyBorder="1" applyAlignment="1">
      <alignment horizontal="center"/>
    </xf>
    <xf numFmtId="0" fontId="9" fillId="0" borderId="2" xfId="0" applyFont="1" applyBorder="1" applyAlignment="1">
      <alignment horizontal="center" vertical="top" wrapText="1"/>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2" fontId="4" fillId="0" borderId="0" xfId="0" applyNumberFormat="1" applyFont="1"/>
    <xf numFmtId="0" fontId="0" fillId="0" borderId="0" xfId="0" applyAlignment="1">
      <alignment vertical="center"/>
    </xf>
    <xf numFmtId="0" fontId="12" fillId="2" borderId="2" xfId="0" applyFont="1" applyFill="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0" fontId="4" fillId="0" borderId="2" xfId="0" quotePrefix="1" applyFont="1" applyBorder="1" applyAlignment="1">
      <alignment wrapText="1"/>
    </xf>
    <xf numFmtId="0" fontId="13" fillId="2" borderId="2" xfId="0" applyFont="1" applyFill="1" applyBorder="1" applyAlignment="1">
      <alignment vertical="center" wrapText="1"/>
    </xf>
    <xf numFmtId="0" fontId="18" fillId="0" borderId="0" xfId="0" applyFont="1"/>
    <xf numFmtId="0" fontId="19" fillId="0" borderId="0" xfId="0" applyFont="1" applyAlignment="1">
      <alignment horizontal="center"/>
    </xf>
    <xf numFmtId="0" fontId="0" fillId="0" borderId="0" xfId="0" applyAlignment="1">
      <alignment horizontal="left"/>
    </xf>
    <xf numFmtId="0" fontId="0" fillId="3"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1" fontId="20" fillId="0" borderId="2" xfId="0" applyNumberFormat="1" applyFont="1" applyBorder="1" applyAlignment="1">
      <alignment horizontal="right" vertical="center" wrapText="1"/>
    </xf>
    <xf numFmtId="0" fontId="15" fillId="0" borderId="2" xfId="0" applyFont="1" applyBorder="1" applyAlignment="1">
      <alignment vertical="center"/>
    </xf>
    <xf numFmtId="0" fontId="21" fillId="0" borderId="2" xfId="0" applyFont="1" applyBorder="1" applyAlignment="1">
      <alignment vertical="center"/>
    </xf>
    <xf numFmtId="0" fontId="8" fillId="2" borderId="2" xfId="0" applyFont="1" applyFill="1" applyBorder="1" applyAlignment="1">
      <alignment vertical="center" wrapText="1"/>
    </xf>
    <xf numFmtId="1" fontId="8" fillId="2" borderId="2" xfId="0" applyNumberFormat="1" applyFont="1" applyFill="1" applyBorder="1" applyAlignment="1">
      <alignment vertical="center" wrapText="1"/>
    </xf>
    <xf numFmtId="1" fontId="21" fillId="0" borderId="2" xfId="0" applyNumberFormat="1" applyFont="1" applyBorder="1" applyAlignment="1">
      <alignment vertical="center" wrapText="1"/>
    </xf>
    <xf numFmtId="0" fontId="0" fillId="0" borderId="2" xfId="0" applyBorder="1"/>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0" fontId="8" fillId="0" borderId="0" xfId="0" applyFont="1" applyAlignment="1">
      <alignment horizontal="right"/>
    </xf>
    <xf numFmtId="0" fontId="8" fillId="0" borderId="1" xfId="0" applyFont="1" applyBorder="1" applyAlignment="1">
      <alignment horizontal="right"/>
    </xf>
    <xf numFmtId="43" fontId="9" fillId="0" borderId="0" xfId="1" applyFont="1" applyFill="1"/>
    <xf numFmtId="43" fontId="9" fillId="0" borderId="2" xfId="1" applyFont="1" applyFill="1" applyBorder="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43" fontId="18" fillId="0" borderId="0" xfId="0" applyNumberFormat="1" applyFont="1" applyAlignment="1">
      <alignment horizontal="center"/>
    </xf>
    <xf numFmtId="0" fontId="18"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17" fillId="0" borderId="0" xfId="0" applyFont="1" applyAlignment="1">
      <alignment horizontal="center"/>
    </xf>
    <xf numFmtId="1" fontId="2" fillId="0" borderId="2" xfId="0" applyNumberFormat="1" applyFont="1" applyBorder="1" applyAlignment="1">
      <alignment vertical="center"/>
    </xf>
    <xf numFmtId="0" fontId="12" fillId="2" borderId="2" xfId="0" applyFont="1" applyFill="1" applyBorder="1" applyAlignment="1">
      <alignment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55E5-4061-47D2-A5D4-8D458D79D79B}">
  <dimension ref="A1:S88"/>
  <sheetViews>
    <sheetView view="pageBreakPreview" zoomScale="95" zoomScaleNormal="90" zoomScaleSheetLayoutView="95" workbookViewId="0">
      <selection activeCell="F82" sqref="F82"/>
    </sheetView>
  </sheetViews>
  <sheetFormatPr defaultColWidth="9.140625" defaultRowHeight="15" x14ac:dyDescent="0.25"/>
  <cols>
    <col min="1" max="1" width="4.7109375" style="17" customWidth="1"/>
    <col min="2" max="2" width="30.85546875" style="17" customWidth="1"/>
    <col min="3" max="3" width="4.42578125" style="17" bestFit="1" customWidth="1"/>
    <col min="4" max="4" width="8.42578125" style="17" customWidth="1"/>
    <col min="5" max="5" width="8.5703125" style="17" customWidth="1"/>
    <col min="6" max="6" width="7.28515625" style="17" customWidth="1"/>
    <col min="7" max="7" width="9.140625" style="17"/>
    <col min="8" max="8" width="5" style="17" bestFit="1" customWidth="1"/>
    <col min="9" max="9" width="9.5703125" style="17" customWidth="1"/>
    <col min="10" max="10" width="10.7109375" style="17" bestFit="1" customWidth="1"/>
    <col min="11" max="12" width="9.140625" style="17"/>
    <col min="13" max="16" width="0" style="17" hidden="1" customWidth="1"/>
    <col min="17" max="16384" width="9.140625" style="17"/>
  </cols>
  <sheetData>
    <row r="1" spans="1:11" x14ac:dyDescent="0.25">
      <c r="A1" s="71" t="s">
        <v>0</v>
      </c>
      <c r="B1" s="71"/>
      <c r="C1" s="71"/>
      <c r="D1" s="71"/>
      <c r="E1" s="71"/>
      <c r="F1" s="71"/>
      <c r="G1" s="71"/>
      <c r="H1" s="71"/>
      <c r="I1" s="71"/>
      <c r="J1" s="71"/>
      <c r="K1" s="71"/>
    </row>
    <row r="2" spans="1:11" ht="22.5" x14ac:dyDescent="0.25">
      <c r="A2" s="72" t="s">
        <v>1</v>
      </c>
      <c r="B2" s="72"/>
      <c r="C2" s="72"/>
      <c r="D2" s="72"/>
      <c r="E2" s="72"/>
      <c r="F2" s="72"/>
      <c r="G2" s="72"/>
      <c r="H2" s="72"/>
      <c r="I2" s="72"/>
      <c r="J2" s="72"/>
      <c r="K2" s="72"/>
    </row>
    <row r="3" spans="1:11" x14ac:dyDescent="0.25">
      <c r="A3" s="73" t="s">
        <v>2</v>
      </c>
      <c r="B3" s="73"/>
      <c r="C3" s="73"/>
      <c r="D3" s="73"/>
      <c r="E3" s="73"/>
      <c r="F3" s="73"/>
      <c r="G3" s="73"/>
      <c r="H3" s="73"/>
      <c r="I3" s="73"/>
      <c r="J3" s="73"/>
      <c r="K3" s="73"/>
    </row>
    <row r="4" spans="1:11" x14ac:dyDescent="0.25">
      <c r="A4" s="73" t="s">
        <v>3</v>
      </c>
      <c r="B4" s="73"/>
      <c r="C4" s="73"/>
      <c r="D4" s="73"/>
      <c r="E4" s="73"/>
      <c r="F4" s="73"/>
      <c r="G4" s="73"/>
      <c r="H4" s="73"/>
      <c r="I4" s="73"/>
      <c r="J4" s="73"/>
      <c r="K4" s="73"/>
    </row>
    <row r="5" spans="1:11" ht="18.75" x14ac:dyDescent="0.3">
      <c r="A5" s="74" t="s">
        <v>4</v>
      </c>
      <c r="B5" s="74"/>
      <c r="C5" s="74"/>
      <c r="D5" s="74"/>
      <c r="E5" s="74"/>
      <c r="F5" s="74"/>
      <c r="G5" s="74"/>
      <c r="H5" s="74"/>
      <c r="I5" s="74"/>
      <c r="J5" s="74"/>
      <c r="K5" s="74"/>
    </row>
    <row r="6" spans="1:11" ht="15.75" x14ac:dyDescent="0.25">
      <c r="A6" s="69" t="s">
        <v>66</v>
      </c>
      <c r="B6" s="69"/>
      <c r="C6" s="69"/>
      <c r="D6" s="69"/>
      <c r="E6" s="69"/>
      <c r="F6" s="69"/>
      <c r="G6" s="10"/>
      <c r="H6" s="70" t="s">
        <v>25</v>
      </c>
      <c r="I6" s="70"/>
      <c r="J6" s="70"/>
      <c r="K6" s="70"/>
    </row>
    <row r="7" spans="1:11" ht="15.75" x14ac:dyDescent="0.25">
      <c r="A7" s="64" t="s">
        <v>40</v>
      </c>
      <c r="B7" s="64"/>
      <c r="C7" s="64"/>
      <c r="D7" s="64"/>
      <c r="E7" s="64"/>
      <c r="F7" s="64"/>
      <c r="G7" s="60"/>
      <c r="H7" s="65" t="s">
        <v>67</v>
      </c>
      <c r="I7" s="65"/>
      <c r="J7" s="65"/>
      <c r="K7" s="65"/>
    </row>
    <row r="8" spans="1:11" ht="15.75" x14ac:dyDescent="0.25">
      <c r="A8" s="11" t="s">
        <v>5</v>
      </c>
      <c r="B8" s="12" t="s">
        <v>6</v>
      </c>
      <c r="C8" s="11" t="s">
        <v>7</v>
      </c>
      <c r="D8" s="61" t="s">
        <v>8</v>
      </c>
      <c r="E8" s="61" t="s">
        <v>9</v>
      </c>
      <c r="F8" s="61" t="s">
        <v>10</v>
      </c>
      <c r="G8" s="61" t="s">
        <v>11</v>
      </c>
      <c r="H8" s="11" t="s">
        <v>12</v>
      </c>
      <c r="I8" s="61" t="s">
        <v>13</v>
      </c>
      <c r="J8" s="61" t="s">
        <v>14</v>
      </c>
      <c r="K8" s="13" t="s">
        <v>15</v>
      </c>
    </row>
    <row r="9" spans="1:11" ht="150" x14ac:dyDescent="0.25">
      <c r="A9" s="14">
        <v>1</v>
      </c>
      <c r="B9" s="38" t="s">
        <v>56</v>
      </c>
      <c r="C9" s="15"/>
      <c r="D9" s="15"/>
      <c r="E9" s="15"/>
      <c r="F9" s="15"/>
      <c r="G9" s="15"/>
      <c r="H9" s="15"/>
      <c r="I9" s="15"/>
      <c r="J9" s="16"/>
      <c r="K9" s="15"/>
    </row>
    <row r="10" spans="1:11" x14ac:dyDescent="0.25">
      <c r="A10" s="14"/>
      <c r="B10" s="30" t="s">
        <v>37</v>
      </c>
      <c r="C10" s="15">
        <v>1</v>
      </c>
      <c r="D10" s="31">
        <f>D20</f>
        <v>4.75</v>
      </c>
      <c r="E10" s="31">
        <f>E20</f>
        <v>0.81276033729553987</v>
      </c>
      <c r="F10" s="31">
        <v>0.9</v>
      </c>
      <c r="G10" s="31">
        <f t="shared" ref="G10:G16" si="0">PRODUCT(C10:F10)</f>
        <v>3.4745504419384332</v>
      </c>
      <c r="H10" s="15"/>
      <c r="I10" s="15"/>
      <c r="J10" s="16"/>
      <c r="K10" s="15"/>
    </row>
    <row r="11" spans="1:11" x14ac:dyDescent="0.25">
      <c r="A11" s="14"/>
      <c r="B11" s="30"/>
      <c r="C11" s="15">
        <v>1</v>
      </c>
      <c r="D11" s="31">
        <f>D21</f>
        <v>4.7888601036269431</v>
      </c>
      <c r="E11" s="31">
        <f>E21</f>
        <v>0.5</v>
      </c>
      <c r="F11" s="31">
        <v>0.6</v>
      </c>
      <c r="G11" s="31">
        <f t="shared" si="0"/>
        <v>1.436658031088083</v>
      </c>
      <c r="H11" s="15"/>
      <c r="I11" s="15"/>
      <c r="J11" s="16"/>
      <c r="K11" s="15"/>
    </row>
    <row r="12" spans="1:11" x14ac:dyDescent="0.25">
      <c r="A12" s="14"/>
      <c r="B12" s="30" t="s">
        <v>57</v>
      </c>
      <c r="C12" s="15">
        <v>1</v>
      </c>
      <c r="D12" s="31">
        <v>4</v>
      </c>
      <c r="E12" s="31">
        <f>((83+66)/2)/12/3.281</f>
        <v>1.8922076602661788</v>
      </c>
      <c r="F12" s="31">
        <v>0.15</v>
      </c>
      <c r="G12" s="31">
        <f t="shared" si="0"/>
        <v>1.1353245961597072</v>
      </c>
      <c r="H12" s="15"/>
      <c r="I12" s="15"/>
      <c r="J12" s="16"/>
      <c r="K12" s="15"/>
    </row>
    <row r="13" spans="1:11" x14ac:dyDescent="0.25">
      <c r="A13" s="14"/>
      <c r="B13" s="30"/>
      <c r="C13" s="15">
        <v>1</v>
      </c>
      <c r="D13" s="31">
        <v>7.4</v>
      </c>
      <c r="E13" s="31">
        <f>((55+45)/2)/12/3.281</f>
        <v>1.2699380270242813</v>
      </c>
      <c r="F13" s="31">
        <v>0.15</v>
      </c>
      <c r="G13" s="31">
        <f t="shared" si="0"/>
        <v>1.4096312099969521</v>
      </c>
      <c r="H13" s="15"/>
      <c r="I13" s="15"/>
      <c r="J13" s="16"/>
      <c r="K13" s="15"/>
    </row>
    <row r="14" spans="1:11" x14ac:dyDescent="0.25">
      <c r="A14" s="14"/>
      <c r="B14" s="30" t="s">
        <v>59</v>
      </c>
      <c r="C14" s="15">
        <v>1</v>
      </c>
      <c r="D14" s="31">
        <f>(83/12)</f>
        <v>6.916666666666667</v>
      </c>
      <c r="E14" s="31">
        <f>(66/12)</f>
        <v>5.5</v>
      </c>
      <c r="F14" s="31">
        <f>1/12/3.281</f>
        <v>2.5398760540485621E-2</v>
      </c>
      <c r="G14" s="31">
        <f t="shared" si="0"/>
        <v>0.96621118222764057</v>
      </c>
      <c r="H14" s="15"/>
      <c r="I14" s="15"/>
      <c r="J14" s="16"/>
      <c r="K14" s="15"/>
    </row>
    <row r="15" spans="1:11" x14ac:dyDescent="0.25">
      <c r="A15" s="14"/>
      <c r="B15" s="30"/>
      <c r="C15" s="15">
        <v>1</v>
      </c>
      <c r="D15" s="31">
        <v>1.2</v>
      </c>
      <c r="E15" s="31">
        <v>1.2</v>
      </c>
      <c r="F15" s="31">
        <v>2.5000000000000001E-2</v>
      </c>
      <c r="G15" s="31">
        <f t="shared" si="0"/>
        <v>3.5999999999999997E-2</v>
      </c>
      <c r="H15" s="15"/>
      <c r="I15" s="15"/>
      <c r="J15" s="16"/>
      <c r="K15" s="15"/>
    </row>
    <row r="16" spans="1:11" x14ac:dyDescent="0.25">
      <c r="A16" s="14"/>
      <c r="B16" s="30" t="s">
        <v>58</v>
      </c>
      <c r="C16" s="15">
        <v>1</v>
      </c>
      <c r="D16" s="31">
        <f>(43/12)/3.281</f>
        <v>1.0921467032408818</v>
      </c>
      <c r="E16" s="31">
        <v>1.2</v>
      </c>
      <c r="F16" s="31">
        <v>0.15</v>
      </c>
      <c r="G16" s="31">
        <f t="shared" si="0"/>
        <v>0.19658640658335871</v>
      </c>
      <c r="H16" s="15"/>
      <c r="I16" s="15"/>
      <c r="J16" s="16"/>
      <c r="K16" s="15"/>
    </row>
    <row r="17" spans="1:11" s="34" customFormat="1" x14ac:dyDescent="0.25">
      <c r="A17" s="2"/>
      <c r="B17" s="37" t="s">
        <v>35</v>
      </c>
      <c r="C17" s="3"/>
      <c r="D17" s="4"/>
      <c r="E17" s="5"/>
      <c r="F17" s="5"/>
      <c r="G17" s="36">
        <f>SUM(G10:G16)</f>
        <v>8.6549618679941744</v>
      </c>
      <c r="H17" s="7" t="s">
        <v>38</v>
      </c>
      <c r="I17" s="6">
        <v>748.9</v>
      </c>
      <c r="J17" s="36">
        <f>G17*I17</f>
        <v>6481.7009429408372</v>
      </c>
      <c r="K17" s="5"/>
    </row>
    <row r="18" spans="1:11" x14ac:dyDescent="0.25">
      <c r="A18" s="14"/>
      <c r="B18" s="30"/>
      <c r="C18" s="15"/>
      <c r="D18" s="15"/>
      <c r="E18" s="15"/>
      <c r="F18" s="15"/>
      <c r="G18" s="15"/>
      <c r="H18" s="15"/>
      <c r="I18" s="15"/>
      <c r="J18" s="16"/>
      <c r="K18" s="15"/>
    </row>
    <row r="19" spans="1:11" ht="90" customHeight="1" x14ac:dyDescent="0.25">
      <c r="A19" s="14">
        <v>2</v>
      </c>
      <c r="B19" s="38" t="s">
        <v>26</v>
      </c>
      <c r="C19" s="15"/>
      <c r="D19" s="15"/>
      <c r="E19" s="15"/>
      <c r="F19" s="15"/>
      <c r="G19" s="15"/>
      <c r="H19" s="15"/>
      <c r="I19" s="15"/>
      <c r="J19" s="16"/>
      <c r="K19" s="15"/>
    </row>
    <row r="20" spans="1:11" x14ac:dyDescent="0.25">
      <c r="A20" s="14"/>
      <c r="B20" s="30" t="s">
        <v>37</v>
      </c>
      <c r="C20" s="15">
        <v>1</v>
      </c>
      <c r="D20" s="31">
        <f>D31</f>
        <v>4.75</v>
      </c>
      <c r="E20" s="31">
        <f>E31</f>
        <v>0.81276033729553987</v>
      </c>
      <c r="F20" s="15">
        <v>0.15</v>
      </c>
      <c r="G20" s="31">
        <f t="shared" ref="G20:G26" si="1">PRODUCT(C20:F20)</f>
        <v>0.57909174032307209</v>
      </c>
      <c r="H20" s="15"/>
      <c r="I20" s="15"/>
      <c r="J20" s="16"/>
      <c r="K20" s="15"/>
    </row>
    <row r="21" spans="1:11" x14ac:dyDescent="0.25">
      <c r="A21" s="14"/>
      <c r="B21" s="30"/>
      <c r="C21" s="15">
        <v>1</v>
      </c>
      <c r="D21" s="31">
        <f>D33</f>
        <v>4.7888601036269431</v>
      </c>
      <c r="E21" s="31">
        <f>E33</f>
        <v>0.5</v>
      </c>
      <c r="F21" s="15">
        <v>0.15</v>
      </c>
      <c r="G21" s="31">
        <f t="shared" si="1"/>
        <v>0.35916450777202075</v>
      </c>
      <c r="H21" s="15"/>
      <c r="I21" s="15"/>
      <c r="J21" s="16"/>
      <c r="K21" s="15"/>
    </row>
    <row r="22" spans="1:11" x14ac:dyDescent="0.25">
      <c r="A22" s="14"/>
      <c r="B22" s="30" t="str">
        <f>B12</f>
        <v>-for pathway level</v>
      </c>
      <c r="C22" s="15">
        <f>C12</f>
        <v>1</v>
      </c>
      <c r="D22" s="31">
        <f>D12</f>
        <v>4</v>
      </c>
      <c r="E22" s="31">
        <f>E12</f>
        <v>1.8922076602661788</v>
      </c>
      <c r="F22" s="15">
        <v>0.15</v>
      </c>
      <c r="G22" s="31">
        <f t="shared" si="1"/>
        <v>1.1353245961597072</v>
      </c>
      <c r="H22" s="15"/>
      <c r="I22" s="15"/>
      <c r="J22" s="16"/>
      <c r="K22" s="15"/>
    </row>
    <row r="23" spans="1:11" x14ac:dyDescent="0.25">
      <c r="A23" s="14"/>
      <c r="B23" s="30"/>
      <c r="C23" s="15">
        <v>1</v>
      </c>
      <c r="D23" s="31">
        <f>D13</f>
        <v>7.4</v>
      </c>
      <c r="E23" s="31">
        <f>E13</f>
        <v>1.2699380270242813</v>
      </c>
      <c r="F23" s="15">
        <v>0.15</v>
      </c>
      <c r="G23" s="31">
        <f t="shared" si="1"/>
        <v>1.4096312099969521</v>
      </c>
      <c r="H23" s="15"/>
      <c r="I23" s="15"/>
      <c r="J23" s="16"/>
      <c r="K23" s="15"/>
    </row>
    <row r="24" spans="1:11" x14ac:dyDescent="0.25">
      <c r="A24" s="14"/>
      <c r="B24" s="30" t="str">
        <f>B14</f>
        <v>-at compound</v>
      </c>
      <c r="C24" s="15">
        <f>C14</f>
        <v>1</v>
      </c>
      <c r="D24" s="31">
        <f>D14</f>
        <v>6.916666666666667</v>
      </c>
      <c r="E24" s="31">
        <f>E14</f>
        <v>5.5</v>
      </c>
      <c r="F24" s="15">
        <v>0.15</v>
      </c>
      <c r="G24" s="31">
        <f t="shared" si="1"/>
        <v>5.7062500000000007</v>
      </c>
      <c r="H24" s="15"/>
      <c r="I24" s="15"/>
      <c r="J24" s="16"/>
      <c r="K24" s="15"/>
    </row>
    <row r="25" spans="1:11" x14ac:dyDescent="0.25">
      <c r="A25" s="14"/>
      <c r="B25" s="30"/>
      <c r="C25" s="15">
        <f>C15</f>
        <v>1</v>
      </c>
      <c r="D25" s="31">
        <f>D15</f>
        <v>1.2</v>
      </c>
      <c r="E25" s="31">
        <f>E15</f>
        <v>1.2</v>
      </c>
      <c r="F25" s="15">
        <v>0.15</v>
      </c>
      <c r="G25" s="31">
        <f t="shared" si="1"/>
        <v>0.216</v>
      </c>
      <c r="H25" s="15"/>
      <c r="I25" s="15"/>
      <c r="J25" s="16"/>
      <c r="K25" s="15"/>
    </row>
    <row r="26" spans="1:11" x14ac:dyDescent="0.25">
      <c r="A26" s="14"/>
      <c r="B26" s="30" t="str">
        <f>B16</f>
        <v>-for dhara</v>
      </c>
      <c r="C26" s="15">
        <f>C16</f>
        <v>1</v>
      </c>
      <c r="D26" s="31">
        <f>D16</f>
        <v>1.0921467032408818</v>
      </c>
      <c r="E26" s="31">
        <f>E16</f>
        <v>1.2</v>
      </c>
      <c r="F26" s="15">
        <v>0.15</v>
      </c>
      <c r="G26" s="31">
        <f t="shared" si="1"/>
        <v>0.19658640658335871</v>
      </c>
      <c r="H26" s="15"/>
      <c r="I26" s="15"/>
      <c r="J26" s="16"/>
      <c r="K26" s="15"/>
    </row>
    <row r="27" spans="1:11" s="34" customFormat="1" x14ac:dyDescent="0.25">
      <c r="A27" s="2"/>
      <c r="B27" s="37" t="s">
        <v>35</v>
      </c>
      <c r="C27" s="3"/>
      <c r="D27" s="4"/>
      <c r="E27" s="5"/>
      <c r="F27" s="5"/>
      <c r="G27" s="36">
        <f>SUM(G20:G26)</f>
        <v>9.6020484608351104</v>
      </c>
      <c r="H27" s="7" t="s">
        <v>38</v>
      </c>
      <c r="I27" s="6">
        <v>4458.5200000000004</v>
      </c>
      <c r="J27" s="36">
        <f>G27*I27</f>
        <v>42810.92510360256</v>
      </c>
      <c r="K27" s="5"/>
    </row>
    <row r="28" spans="1:11" x14ac:dyDescent="0.25">
      <c r="A28" s="14"/>
      <c r="B28" s="30" t="s">
        <v>32</v>
      </c>
      <c r="C28" s="15"/>
      <c r="D28" s="15"/>
      <c r="E28" s="15"/>
      <c r="F28" s="15"/>
      <c r="G28" s="15"/>
      <c r="H28" s="15"/>
      <c r="I28" s="15"/>
      <c r="J28" s="16">
        <f>0.13*G27*15452.64/5</f>
        <v>3857.8019513238155</v>
      </c>
      <c r="K28" s="15"/>
    </row>
    <row r="29" spans="1:11" x14ac:dyDescent="0.25">
      <c r="A29" s="14"/>
      <c r="B29" s="38"/>
      <c r="C29" s="15"/>
      <c r="D29" s="15"/>
      <c r="E29" s="15"/>
      <c r="F29" s="15"/>
      <c r="G29" s="15"/>
      <c r="H29" s="15"/>
      <c r="I29" s="15"/>
      <c r="J29" s="16"/>
      <c r="K29" s="15"/>
    </row>
    <row r="30" spans="1:11" ht="75.75" customHeight="1" x14ac:dyDescent="0.25">
      <c r="A30" s="14">
        <v>3</v>
      </c>
      <c r="B30" s="39" t="s">
        <v>27</v>
      </c>
      <c r="C30" s="15"/>
      <c r="D30" s="15"/>
      <c r="E30" s="15"/>
      <c r="F30" s="15"/>
      <c r="G30" s="15"/>
      <c r="H30" s="15"/>
      <c r="I30" s="15"/>
      <c r="J30" s="15"/>
      <c r="K30" s="15"/>
    </row>
    <row r="31" spans="1:11" x14ac:dyDescent="0.25">
      <c r="A31" s="14"/>
      <c r="B31" s="30" t="s">
        <v>37</v>
      </c>
      <c r="C31" s="15">
        <v>1</v>
      </c>
      <c r="D31" s="31">
        <f>D47</f>
        <v>4.75</v>
      </c>
      <c r="E31" s="31">
        <f>F47/2</f>
        <v>0.81276033729553987</v>
      </c>
      <c r="F31" s="15">
        <v>0.05</v>
      </c>
      <c r="G31" s="31">
        <f t="shared" ref="G31:G38" si="2">PRODUCT(C31:F31)</f>
        <v>0.19303058010769072</v>
      </c>
      <c r="H31" s="15"/>
      <c r="I31" s="15"/>
      <c r="J31" s="16"/>
      <c r="K31" s="15"/>
    </row>
    <row r="32" spans="1:11" x14ac:dyDescent="0.25">
      <c r="A32" s="14"/>
      <c r="B32" s="30"/>
      <c r="C32" s="15">
        <v>1</v>
      </c>
      <c r="D32" s="31">
        <f>D31</f>
        <v>4.75</v>
      </c>
      <c r="E32" s="15">
        <v>0.45</v>
      </c>
      <c r="F32" s="15">
        <v>0.05</v>
      </c>
      <c r="G32" s="31">
        <f t="shared" si="2"/>
        <v>0.10687500000000001</v>
      </c>
      <c r="H32" s="15"/>
      <c r="I32" s="15"/>
      <c r="J32" s="16"/>
      <c r="K32" s="15"/>
    </row>
    <row r="33" spans="1:16" x14ac:dyDescent="0.25">
      <c r="A33" s="14"/>
      <c r="B33" s="30"/>
      <c r="C33" s="15">
        <v>1</v>
      </c>
      <c r="D33" s="31">
        <f>D48</f>
        <v>4.7888601036269431</v>
      </c>
      <c r="E33" s="31">
        <f>E48</f>
        <v>0.5</v>
      </c>
      <c r="F33" s="15">
        <v>0.05</v>
      </c>
      <c r="G33" s="31">
        <f t="shared" si="2"/>
        <v>0.11972150259067359</v>
      </c>
      <c r="H33" s="15"/>
      <c r="I33" s="15"/>
      <c r="J33" s="16"/>
      <c r="K33" s="15"/>
    </row>
    <row r="34" spans="1:16" x14ac:dyDescent="0.25">
      <c r="A34" s="14"/>
      <c r="B34" s="30"/>
      <c r="C34" s="15">
        <v>1</v>
      </c>
      <c r="D34" s="31">
        <f>D48</f>
        <v>4.7888601036269431</v>
      </c>
      <c r="E34" s="31">
        <f>E33</f>
        <v>0.5</v>
      </c>
      <c r="F34" s="15">
        <v>0.05</v>
      </c>
      <c r="G34" s="31">
        <f t="shared" si="2"/>
        <v>0.11972150259067359</v>
      </c>
      <c r="H34" s="15"/>
      <c r="I34" s="15"/>
      <c r="J34" s="16"/>
      <c r="K34" s="15"/>
    </row>
    <row r="35" spans="1:16" x14ac:dyDescent="0.25">
      <c r="A35" s="14"/>
      <c r="B35" s="30" t="str">
        <f>B22</f>
        <v>-for pathway level</v>
      </c>
      <c r="C35" s="15">
        <f>C22</f>
        <v>1</v>
      </c>
      <c r="D35" s="31">
        <f>D22</f>
        <v>4</v>
      </c>
      <c r="E35" s="31">
        <f>E22</f>
        <v>1.8922076602661788</v>
      </c>
      <c r="F35" s="31">
        <v>0.05</v>
      </c>
      <c r="G35" s="31">
        <f t="shared" si="2"/>
        <v>0.37844153205323577</v>
      </c>
      <c r="H35" s="15"/>
      <c r="I35" s="15"/>
      <c r="J35" s="16"/>
      <c r="K35" s="15"/>
    </row>
    <row r="36" spans="1:16" x14ac:dyDescent="0.25">
      <c r="A36" s="14"/>
      <c r="B36" s="30"/>
      <c r="C36" s="15">
        <v>1</v>
      </c>
      <c r="D36" s="31">
        <f>D23</f>
        <v>7.4</v>
      </c>
      <c r="E36" s="31">
        <f>E23</f>
        <v>1.2699380270242813</v>
      </c>
      <c r="F36" s="31">
        <v>7.4999999999999997E-2</v>
      </c>
      <c r="G36" s="31">
        <f t="shared" si="2"/>
        <v>0.70481560499847606</v>
      </c>
      <c r="H36" s="15"/>
      <c r="I36" s="15"/>
      <c r="J36" s="16"/>
      <c r="K36" s="15"/>
    </row>
    <row r="37" spans="1:16" x14ac:dyDescent="0.25">
      <c r="A37" s="14"/>
      <c r="B37" s="30" t="str">
        <f>B26</f>
        <v>-for dhara</v>
      </c>
      <c r="C37" s="15">
        <f>C26</f>
        <v>1</v>
      </c>
      <c r="D37" s="31">
        <f>D26</f>
        <v>1.0921467032408818</v>
      </c>
      <c r="E37" s="31">
        <f>E26</f>
        <v>1.2</v>
      </c>
      <c r="F37" s="31">
        <v>0.05</v>
      </c>
      <c r="G37" s="31">
        <f t="shared" si="2"/>
        <v>6.5528802194452909E-2</v>
      </c>
      <c r="H37" s="15"/>
      <c r="I37" s="15"/>
      <c r="J37" s="16"/>
      <c r="K37" s="15"/>
    </row>
    <row r="38" spans="1:16" x14ac:dyDescent="0.25">
      <c r="A38" s="14"/>
      <c r="B38" s="30"/>
      <c r="C38" s="15">
        <v>1</v>
      </c>
      <c r="D38" s="31">
        <f>((43/12)+4+4)/3.281</f>
        <v>3.5304277151275016</v>
      </c>
      <c r="E38" s="31">
        <v>0.15</v>
      </c>
      <c r="F38" s="31">
        <v>0.15</v>
      </c>
      <c r="G38" s="31">
        <f t="shared" si="2"/>
        <v>7.9434623590368778E-2</v>
      </c>
      <c r="H38" s="15"/>
      <c r="I38" s="15"/>
      <c r="J38" s="16"/>
      <c r="K38" s="15"/>
    </row>
    <row r="39" spans="1:16" s="34" customFormat="1" x14ac:dyDescent="0.25">
      <c r="A39" s="2"/>
      <c r="B39" s="37" t="s">
        <v>35</v>
      </c>
      <c r="C39" s="3"/>
      <c r="D39" s="4"/>
      <c r="E39" s="5"/>
      <c r="F39" s="5"/>
      <c r="G39" s="36">
        <f>SUM(G31:G38)</f>
        <v>1.7675691481255715</v>
      </c>
      <c r="H39" s="7" t="s">
        <v>38</v>
      </c>
      <c r="I39" s="6">
        <v>10964.46</v>
      </c>
      <c r="J39" s="36">
        <f>G39*I39</f>
        <v>19380.441221856901</v>
      </c>
      <c r="K39" s="5"/>
    </row>
    <row r="40" spans="1:16" x14ac:dyDescent="0.25">
      <c r="A40" s="14"/>
      <c r="B40" s="30" t="s">
        <v>28</v>
      </c>
      <c r="C40" s="15"/>
      <c r="D40" s="15"/>
      <c r="E40" s="15"/>
      <c r="F40" s="15"/>
      <c r="G40" s="15"/>
      <c r="H40" s="15"/>
      <c r="I40" s="15"/>
      <c r="J40" s="16">
        <f>0.13*G39*53818.03/15</f>
        <v>824.4347751544359</v>
      </c>
      <c r="K40" s="15"/>
    </row>
    <row r="41" spans="1:16" x14ac:dyDescent="0.25">
      <c r="A41" s="14"/>
      <c r="B41" s="30" t="s">
        <v>29</v>
      </c>
      <c r="C41" s="15"/>
      <c r="D41" s="15"/>
      <c r="E41" s="15"/>
      <c r="F41" s="15"/>
      <c r="G41" s="15"/>
      <c r="H41" s="15"/>
      <c r="I41" s="15"/>
      <c r="J41" s="16">
        <f>0.13*G39*21432.6/15</f>
        <v>328.32455520900641</v>
      </c>
      <c r="K41" s="15"/>
    </row>
    <row r="42" spans="1:16" x14ac:dyDescent="0.25">
      <c r="A42" s="14"/>
      <c r="B42" s="30" t="s">
        <v>30</v>
      </c>
      <c r="C42" s="15"/>
      <c r="D42" s="15"/>
      <c r="E42" s="15"/>
      <c r="F42" s="15"/>
      <c r="G42" s="15"/>
      <c r="H42" s="15"/>
      <c r="I42" s="15"/>
      <c r="J42" s="16">
        <f>0.13*G39*(25719.12+13573.98+4286.52)/15</f>
        <v>667.59326225831308</v>
      </c>
      <c r="K42" s="15"/>
    </row>
    <row r="43" spans="1:16" x14ac:dyDescent="0.25">
      <c r="A43" s="14"/>
      <c r="B43" s="30" t="s">
        <v>39</v>
      </c>
      <c r="C43" s="15"/>
      <c r="D43" s="15"/>
      <c r="E43" s="15"/>
      <c r="F43" s="15"/>
      <c r="G43" s="15"/>
      <c r="H43" s="15"/>
      <c r="I43" s="15"/>
      <c r="J43" s="16">
        <f>0.13*G39*(6325.7/15)</f>
        <v>96.90297205591537</v>
      </c>
      <c r="K43" s="15"/>
    </row>
    <row r="44" spans="1:16" x14ac:dyDescent="0.25">
      <c r="A44" s="14"/>
      <c r="B44" s="30" t="s">
        <v>33</v>
      </c>
      <c r="C44" s="15"/>
      <c r="D44" s="15"/>
      <c r="E44" s="15"/>
      <c r="F44" s="15"/>
      <c r="G44" s="15"/>
      <c r="H44" s="15"/>
      <c r="I44" s="15"/>
      <c r="J44" s="16">
        <f>0.13*G39*(310)/5</f>
        <v>14.246607333892106</v>
      </c>
      <c r="K44" s="15"/>
    </row>
    <row r="45" spans="1:16" x14ac:dyDescent="0.25">
      <c r="A45" s="14"/>
      <c r="B45" s="30"/>
      <c r="C45" s="15"/>
      <c r="D45" s="15"/>
      <c r="E45" s="15"/>
      <c r="F45" s="15"/>
      <c r="G45" s="15"/>
      <c r="H45" s="15"/>
      <c r="I45" s="15"/>
      <c r="J45" s="16"/>
      <c r="K45" s="15"/>
    </row>
    <row r="46" spans="1:16" ht="110.25" x14ac:dyDescent="0.25">
      <c r="A46" s="14">
        <v>4</v>
      </c>
      <c r="B46" s="39" t="s">
        <v>31</v>
      </c>
      <c r="C46" s="15"/>
      <c r="D46" s="15"/>
      <c r="E46" s="15"/>
      <c r="F46" s="15"/>
      <c r="G46" s="15"/>
      <c r="H46" s="15"/>
      <c r="I46" s="15"/>
      <c r="J46" s="15"/>
      <c r="K46" s="15"/>
    </row>
    <row r="47" spans="1:16" x14ac:dyDescent="0.25">
      <c r="A47" s="14"/>
      <c r="B47" s="30" t="s">
        <v>37</v>
      </c>
      <c r="C47" s="15">
        <v>1</v>
      </c>
      <c r="D47" s="31">
        <v>4.75</v>
      </c>
      <c r="E47" s="31">
        <f>((F47/2)+0.45)/2</f>
        <v>0.63138016864776991</v>
      </c>
      <c r="F47" s="31">
        <f>64/12/3.281</f>
        <v>1.6255206745910797</v>
      </c>
      <c r="G47" s="31">
        <f>PRODUCT(C47:F47)</f>
        <v>4.875027208902825</v>
      </c>
      <c r="H47" s="15"/>
      <c r="I47" s="15"/>
      <c r="J47" s="15"/>
      <c r="K47" s="15"/>
      <c r="M47" s="31">
        <f>7</f>
        <v>7</v>
      </c>
      <c r="N47" s="31">
        <f>2</f>
        <v>2</v>
      </c>
      <c r="O47" s="31"/>
      <c r="P47" s="31">
        <f>PI()*M47*SQRT(M47^2+N47^2)</f>
        <v>160.09797821843054</v>
      </c>
    </row>
    <row r="48" spans="1:16" x14ac:dyDescent="0.25">
      <c r="A48" s="14"/>
      <c r="B48" s="30"/>
      <c r="C48" s="15">
        <v>1</v>
      </c>
      <c r="D48" s="31">
        <f>(8.33/3.281)+1.75+1.5-1</f>
        <v>4.7888601036269431</v>
      </c>
      <c r="E48" s="31">
        <v>0.5</v>
      </c>
      <c r="F48" s="31">
        <f>28/12/3.281</f>
        <v>0.7111652951335975</v>
      </c>
      <c r="G48" s="31">
        <f>PRODUCT(C48:F48)</f>
        <v>1.7028355544746827</v>
      </c>
      <c r="H48" s="15"/>
      <c r="I48" s="15"/>
      <c r="J48" s="15"/>
      <c r="K48" s="15"/>
      <c r="M48" s="33"/>
      <c r="N48" s="33"/>
      <c r="O48" s="33"/>
      <c r="P48" s="33"/>
    </row>
    <row r="49" spans="1:11" ht="15" customHeight="1" x14ac:dyDescent="0.25">
      <c r="A49" s="2"/>
      <c r="B49" s="32" t="s">
        <v>16</v>
      </c>
      <c r="C49" s="3"/>
      <c r="D49" s="4"/>
      <c r="E49" s="5"/>
      <c r="F49" s="5"/>
      <c r="G49" s="6">
        <f>SUM(G47:G48)</f>
        <v>6.5778627633775075</v>
      </c>
      <c r="H49" s="7" t="s">
        <v>38</v>
      </c>
      <c r="I49" s="6">
        <v>8987.83</v>
      </c>
      <c r="J49" s="16">
        <f>G49*I49</f>
        <v>59120.712280567262</v>
      </c>
      <c r="K49" s="5"/>
    </row>
    <row r="50" spans="1:11" x14ac:dyDescent="0.25">
      <c r="A50" s="14"/>
      <c r="B50" s="30" t="s">
        <v>28</v>
      </c>
      <c r="C50" s="15"/>
      <c r="D50" s="15"/>
      <c r="E50" s="15"/>
      <c r="F50" s="15"/>
      <c r="G50" s="15"/>
      <c r="H50" s="15"/>
      <c r="I50" s="15"/>
      <c r="J50" s="16">
        <f>0.13*G49*(5863.95)/5</f>
        <v>1002.8787171339958</v>
      </c>
      <c r="K50" s="15"/>
    </row>
    <row r="51" spans="1:11" x14ac:dyDescent="0.25">
      <c r="A51" s="14"/>
      <c r="B51" s="30" t="s">
        <v>29</v>
      </c>
      <c r="C51" s="15"/>
      <c r="D51" s="15"/>
      <c r="E51" s="15"/>
      <c r="F51" s="15"/>
      <c r="G51" s="15"/>
      <c r="H51" s="15"/>
      <c r="I51" s="15"/>
      <c r="J51" s="16">
        <f>0.13*G49*(6604.416)/5</f>
        <v>1129.5164940866202</v>
      </c>
      <c r="K51" s="15"/>
    </row>
    <row r="52" spans="1:11" x14ac:dyDescent="0.25">
      <c r="A52" s="14"/>
      <c r="B52" s="30" t="s">
        <v>32</v>
      </c>
      <c r="C52" s="15"/>
      <c r="D52" s="15"/>
      <c r="E52" s="15"/>
      <c r="F52" s="15"/>
      <c r="G52" s="15"/>
      <c r="H52" s="15"/>
      <c r="I52" s="15"/>
      <c r="J52" s="16">
        <f>0.13*G49*(14808.78)/5</f>
        <v>2532.6631858592891</v>
      </c>
      <c r="K52" s="15"/>
    </row>
    <row r="53" spans="1:11" x14ac:dyDescent="0.25">
      <c r="A53" s="14"/>
      <c r="B53" s="30" t="s">
        <v>33</v>
      </c>
      <c r="C53" s="15"/>
      <c r="D53" s="15"/>
      <c r="E53" s="15"/>
      <c r="F53" s="15"/>
      <c r="G53" s="15"/>
      <c r="H53" s="15"/>
      <c r="I53" s="15"/>
      <c r="J53" s="16">
        <f>0.13*G49*(310)/5</f>
        <v>53.017573872822709</v>
      </c>
      <c r="K53" s="15"/>
    </row>
    <row r="54" spans="1:11" x14ac:dyDescent="0.25">
      <c r="A54" s="14"/>
      <c r="B54" s="30"/>
      <c r="C54" s="15"/>
      <c r="D54" s="15"/>
      <c r="E54" s="15"/>
      <c r="F54" s="15"/>
      <c r="G54" s="15"/>
      <c r="H54" s="15"/>
      <c r="I54" s="15"/>
      <c r="J54" s="16"/>
      <c r="K54" s="15"/>
    </row>
    <row r="55" spans="1:11" ht="30.75" x14ac:dyDescent="0.25">
      <c r="A55" s="14">
        <v>5</v>
      </c>
      <c r="B55" s="89" t="s">
        <v>62</v>
      </c>
      <c r="C55" s="15"/>
      <c r="D55" s="15"/>
      <c r="E55" s="15"/>
      <c r="F55" s="15"/>
      <c r="G55" s="15"/>
      <c r="H55" s="15"/>
      <c r="I55" s="15"/>
      <c r="J55" s="16"/>
      <c r="K55" s="15"/>
    </row>
    <row r="56" spans="1:11" x14ac:dyDescent="0.25">
      <c r="A56" s="14"/>
      <c r="B56" s="30" t="s">
        <v>63</v>
      </c>
      <c r="C56" s="15">
        <v>1</v>
      </c>
      <c r="D56" s="31">
        <f>(62-35)/12/3.281</f>
        <v>0.68576653459311188</v>
      </c>
      <c r="E56" s="31">
        <v>0.23</v>
      </c>
      <c r="F56" s="31">
        <f>0.5</f>
        <v>0.5</v>
      </c>
      <c r="G56" s="31">
        <f>PRODUCT(C56:F56)</f>
        <v>7.8863151478207869E-2</v>
      </c>
      <c r="H56" s="15"/>
      <c r="I56" s="15"/>
      <c r="J56" s="16"/>
      <c r="K56" s="15"/>
    </row>
    <row r="57" spans="1:11" x14ac:dyDescent="0.25">
      <c r="A57" s="14"/>
      <c r="B57" s="30"/>
      <c r="C57" s="15">
        <v>1</v>
      </c>
      <c r="D57" s="31">
        <f>35/12/3.281</f>
        <v>0.88895661891699673</v>
      </c>
      <c r="E57" s="31">
        <v>0.23</v>
      </c>
      <c r="F57" s="31">
        <f>18/12/3.281</f>
        <v>0.45717768972874123</v>
      </c>
      <c r="G57" s="31">
        <f>PRODUCT(C57:F57)</f>
        <v>9.3474560660275499E-2</v>
      </c>
      <c r="H57" s="15"/>
      <c r="I57" s="15"/>
      <c r="J57" s="16"/>
      <c r="K57" s="15"/>
    </row>
    <row r="58" spans="1:11" ht="15" customHeight="1" x14ac:dyDescent="0.25">
      <c r="A58" s="2"/>
      <c r="B58" s="32" t="s">
        <v>16</v>
      </c>
      <c r="C58" s="3"/>
      <c r="D58" s="4"/>
      <c r="E58" s="5"/>
      <c r="F58" s="5"/>
      <c r="G58" s="6">
        <f>SUM(G56:G57)</f>
        <v>0.17233771213848337</v>
      </c>
      <c r="H58" s="7" t="s">
        <v>38</v>
      </c>
      <c r="I58" s="6">
        <v>14491.84</v>
      </c>
      <c r="J58" s="16">
        <f>G58*I58</f>
        <v>2497.4905502769589</v>
      </c>
      <c r="K58" s="5"/>
    </row>
    <row r="59" spans="1:11" x14ac:dyDescent="0.25">
      <c r="A59" s="14"/>
      <c r="B59" s="30" t="s">
        <v>28</v>
      </c>
      <c r="C59" s="15"/>
      <c r="D59" s="15"/>
      <c r="E59" s="15"/>
      <c r="F59" s="15"/>
      <c r="G59" s="15"/>
      <c r="H59" s="15"/>
      <c r="I59" s="15"/>
      <c r="J59" s="16">
        <f>0.13*G58*912.17</f>
        <v>20.436167814576848</v>
      </c>
      <c r="K59" s="15"/>
    </row>
    <row r="60" spans="1:11" x14ac:dyDescent="0.25">
      <c r="A60" s="14"/>
      <c r="B60" s="30" t="s">
        <v>29</v>
      </c>
      <c r="C60" s="15"/>
      <c r="D60" s="15"/>
      <c r="E60" s="15"/>
      <c r="F60" s="15"/>
      <c r="G60" s="15"/>
      <c r="H60" s="15"/>
      <c r="I60" s="15"/>
      <c r="J60" s="16">
        <f>0.13*G58*953.37</f>
        <v>21.359208600790566</v>
      </c>
      <c r="K60" s="15"/>
    </row>
    <row r="61" spans="1:11" x14ac:dyDescent="0.25">
      <c r="A61" s="14"/>
      <c r="B61" s="30" t="s">
        <v>41</v>
      </c>
      <c r="C61" s="15"/>
      <c r="D61" s="15"/>
      <c r="E61" s="15"/>
      <c r="F61" s="15"/>
      <c r="G61" s="15"/>
      <c r="H61" s="15"/>
      <c r="I61" s="15"/>
      <c r="J61" s="16">
        <f>0.13*G58*(8481.2)</f>
        <v>190.01197854455771</v>
      </c>
      <c r="K61" s="15"/>
    </row>
    <row r="62" spans="1:11" x14ac:dyDescent="0.25">
      <c r="A62" s="14"/>
      <c r="B62" s="30" t="s">
        <v>33</v>
      </c>
      <c r="C62" s="15"/>
      <c r="D62" s="15"/>
      <c r="E62" s="15"/>
      <c r="F62" s="15"/>
      <c r="G62" s="15"/>
      <c r="H62" s="15"/>
      <c r="I62" s="15"/>
      <c r="J62" s="16">
        <f>0.13*G58*28</f>
        <v>0.6273092721840795</v>
      </c>
      <c r="K62" s="15"/>
    </row>
    <row r="63" spans="1:11" x14ac:dyDescent="0.25">
      <c r="A63" s="14"/>
      <c r="B63" s="30"/>
      <c r="C63" s="15"/>
      <c r="D63" s="15"/>
      <c r="E63" s="15"/>
      <c r="F63" s="15"/>
      <c r="G63" s="15"/>
      <c r="H63" s="15"/>
      <c r="I63" s="15"/>
      <c r="J63" s="16"/>
      <c r="K63" s="15"/>
    </row>
    <row r="64" spans="1:11" ht="30.75" x14ac:dyDescent="0.25">
      <c r="A64" s="14">
        <v>6</v>
      </c>
      <c r="B64" s="89" t="s">
        <v>64</v>
      </c>
      <c r="C64" s="15"/>
      <c r="D64" s="15"/>
      <c r="E64" s="15"/>
      <c r="F64" s="15"/>
      <c r="G64" s="15"/>
      <c r="H64" s="15"/>
      <c r="I64" s="15"/>
      <c r="J64" s="16"/>
      <c r="K64" s="15"/>
    </row>
    <row r="65" spans="1:11" x14ac:dyDescent="0.25">
      <c r="A65" s="14"/>
      <c r="B65" s="30" t="s">
        <v>63</v>
      </c>
      <c r="C65" s="15">
        <v>2</v>
      </c>
      <c r="D65" s="31">
        <f>(62-35)/12/3.281</f>
        <v>0.68576653459311188</v>
      </c>
      <c r="E65" s="31"/>
      <c r="F65" s="31">
        <f>0.5</f>
        <v>0.5</v>
      </c>
      <c r="G65" s="31">
        <f>PRODUCT(C65:F65)</f>
        <v>0.68576653459311188</v>
      </c>
      <c r="H65" s="15"/>
      <c r="I65" s="15"/>
      <c r="J65" s="16"/>
      <c r="K65" s="15"/>
    </row>
    <row r="66" spans="1:11" x14ac:dyDescent="0.25">
      <c r="A66" s="14"/>
      <c r="B66" s="30"/>
      <c r="C66" s="15">
        <v>2</v>
      </c>
      <c r="D66" s="31">
        <f>35/12/3.281</f>
        <v>0.88895661891699673</v>
      </c>
      <c r="E66" s="31"/>
      <c r="F66" s="31">
        <f>18/12/3.281</f>
        <v>0.45717768972874123</v>
      </c>
      <c r="G66" s="31">
        <f>PRODUCT(C66:F66)</f>
        <v>0.81282226661109114</v>
      </c>
      <c r="H66" s="15"/>
      <c r="I66" s="15"/>
      <c r="J66" s="16"/>
      <c r="K66" s="15"/>
    </row>
    <row r="67" spans="1:11" ht="15" customHeight="1" x14ac:dyDescent="0.25">
      <c r="A67" s="2"/>
      <c r="B67" s="32" t="s">
        <v>16</v>
      </c>
      <c r="C67" s="3"/>
      <c r="D67" s="4"/>
      <c r="E67" s="5"/>
      <c r="F67" s="5"/>
      <c r="G67" s="6">
        <f>SUM(G65:G66)</f>
        <v>1.498588801204203</v>
      </c>
      <c r="H67" s="7" t="s">
        <v>36</v>
      </c>
      <c r="I67" s="6">
        <v>415.5</v>
      </c>
      <c r="J67" s="16">
        <f>G67*I67</f>
        <v>622.66364690034641</v>
      </c>
      <c r="K67" s="5"/>
    </row>
    <row r="68" spans="1:11" x14ac:dyDescent="0.25">
      <c r="A68" s="14"/>
      <c r="B68" s="30" t="s">
        <v>28</v>
      </c>
      <c r="C68" s="15"/>
      <c r="D68" s="15"/>
      <c r="E68" s="15"/>
      <c r="F68" s="15"/>
      <c r="G68" s="15"/>
      <c r="H68" s="15"/>
      <c r="I68" s="15"/>
      <c r="J68" s="16">
        <f>0.13*G67*7010.67/100</f>
        <v>13.657945016219751</v>
      </c>
      <c r="K68" s="15"/>
    </row>
    <row r="69" spans="1:11" x14ac:dyDescent="0.25">
      <c r="A69" s="14"/>
      <c r="B69" s="30" t="s">
        <v>29</v>
      </c>
      <c r="C69" s="15"/>
      <c r="D69" s="15"/>
      <c r="E69" s="15"/>
      <c r="F69" s="15"/>
      <c r="G69" s="15"/>
      <c r="H69" s="15"/>
      <c r="I69" s="15"/>
      <c r="J69" s="16">
        <f>0.13*G67*4639.73/100</f>
        <v>9.0389616441945293</v>
      </c>
      <c r="K69" s="15"/>
    </row>
    <row r="70" spans="1:11" x14ac:dyDescent="0.25">
      <c r="A70" s="14"/>
      <c r="B70" s="30"/>
      <c r="C70" s="15"/>
      <c r="D70" s="15"/>
      <c r="E70" s="15"/>
      <c r="F70" s="15"/>
      <c r="G70" s="15"/>
      <c r="H70" s="15"/>
      <c r="I70" s="15"/>
      <c r="J70" s="16"/>
      <c r="K70" s="15"/>
    </row>
    <row r="71" spans="1:11" ht="30.75" x14ac:dyDescent="0.25">
      <c r="A71" s="14">
        <v>7</v>
      </c>
      <c r="B71" s="89" t="s">
        <v>65</v>
      </c>
      <c r="C71" s="15"/>
      <c r="D71" s="15"/>
      <c r="E71" s="15"/>
      <c r="F71" s="15"/>
      <c r="G71" s="15"/>
      <c r="H71" s="15"/>
      <c r="I71" s="15"/>
      <c r="J71" s="16"/>
      <c r="K71" s="15"/>
    </row>
    <row r="72" spans="1:11" x14ac:dyDescent="0.25">
      <c r="A72" s="14"/>
      <c r="B72" s="30" t="s">
        <v>63</v>
      </c>
      <c r="C72" s="15">
        <v>2</v>
      </c>
      <c r="D72" s="31">
        <f>(62-35)/12/3.281</f>
        <v>0.68576653459311188</v>
      </c>
      <c r="E72" s="31"/>
      <c r="F72" s="31">
        <f>0.5</f>
        <v>0.5</v>
      </c>
      <c r="G72" s="31">
        <f>PRODUCT(C72:F72)</f>
        <v>0.68576653459311188</v>
      </c>
      <c r="H72" s="15"/>
      <c r="I72" s="15"/>
      <c r="J72" s="16"/>
      <c r="K72" s="15"/>
    </row>
    <row r="73" spans="1:11" x14ac:dyDescent="0.25">
      <c r="A73" s="14"/>
      <c r="B73" s="30"/>
      <c r="C73" s="15">
        <v>2</v>
      </c>
      <c r="D73" s="31">
        <f>35/12/3.281</f>
        <v>0.88895661891699673</v>
      </c>
      <c r="E73" s="31"/>
      <c r="F73" s="31">
        <f>18/12/3.281</f>
        <v>0.45717768972874123</v>
      </c>
      <c r="G73" s="31">
        <f>PRODUCT(C73:F73)</f>
        <v>0.81282226661109114</v>
      </c>
      <c r="H73" s="15"/>
      <c r="I73" s="15"/>
      <c r="J73" s="16"/>
      <c r="K73" s="15"/>
    </row>
    <row r="74" spans="1:11" ht="15" customHeight="1" x14ac:dyDescent="0.25">
      <c r="A74" s="2"/>
      <c r="B74" s="32" t="s">
        <v>16</v>
      </c>
      <c r="C74" s="3"/>
      <c r="D74" s="4"/>
      <c r="E74" s="5"/>
      <c r="F74" s="5"/>
      <c r="G74" s="6">
        <f>SUM(G72:G73)</f>
        <v>1.498588801204203</v>
      </c>
      <c r="H74" s="7" t="s">
        <v>36</v>
      </c>
      <c r="I74" s="6">
        <v>287.32</v>
      </c>
      <c r="J74" s="16">
        <f>G74*I74</f>
        <v>430.5745343619916</v>
      </c>
      <c r="K74" s="5"/>
    </row>
    <row r="75" spans="1:11" x14ac:dyDescent="0.25">
      <c r="A75" s="14"/>
      <c r="B75" s="30" t="s">
        <v>28</v>
      </c>
      <c r="C75" s="15"/>
      <c r="D75" s="15"/>
      <c r="E75" s="15"/>
      <c r="F75" s="15"/>
      <c r="G75" s="15"/>
      <c r="H75" s="15"/>
      <c r="I75" s="15"/>
      <c r="J75" s="16">
        <f>0.13*G74*693.24/10</f>
        <v>13.505462107108423</v>
      </c>
      <c r="K75" s="15"/>
    </row>
    <row r="76" spans="1:11" x14ac:dyDescent="0.25">
      <c r="A76" s="14"/>
      <c r="B76" s="30"/>
      <c r="C76" s="15"/>
      <c r="D76" s="15"/>
      <c r="E76" s="15"/>
      <c r="F76" s="15"/>
      <c r="G76" s="15"/>
      <c r="H76" s="15"/>
      <c r="I76" s="15"/>
      <c r="J76" s="16"/>
      <c r="K76" s="15"/>
    </row>
    <row r="77" spans="1:11" ht="15" customHeight="1" x14ac:dyDescent="0.25">
      <c r="A77" s="14">
        <v>8</v>
      </c>
      <c r="B77" s="1" t="s">
        <v>60</v>
      </c>
      <c r="C77" s="15">
        <v>1</v>
      </c>
      <c r="D77" s="4"/>
      <c r="E77" s="5"/>
      <c r="F77" s="5"/>
      <c r="G77" s="31">
        <f>PRODUCT(C77:F77)</f>
        <v>1</v>
      </c>
      <c r="H77" s="7" t="s">
        <v>61</v>
      </c>
      <c r="I77" s="6">
        <v>2000</v>
      </c>
      <c r="J77" s="16">
        <f>G77*I77</f>
        <v>2000</v>
      </c>
      <c r="K77" s="5"/>
    </row>
    <row r="78" spans="1:11" ht="15" customHeight="1" x14ac:dyDescent="0.25">
      <c r="A78" s="2"/>
      <c r="B78" s="32"/>
      <c r="C78" s="3"/>
      <c r="D78" s="4"/>
      <c r="E78" s="5"/>
      <c r="F78" s="5"/>
      <c r="G78" s="6"/>
      <c r="H78" s="7"/>
      <c r="I78" s="6"/>
      <c r="J78" s="16"/>
      <c r="K78" s="5"/>
    </row>
    <row r="79" spans="1:11" ht="15" customHeight="1" x14ac:dyDescent="0.25">
      <c r="A79" s="2">
        <v>9</v>
      </c>
      <c r="B79" s="1" t="s">
        <v>17</v>
      </c>
      <c r="C79" s="88">
        <v>1</v>
      </c>
      <c r="D79" s="4"/>
      <c r="E79" s="5"/>
      <c r="F79" s="5"/>
      <c r="G79" s="7">
        <f t="shared" ref="G79" si="3">PRODUCT(C79:F79)</f>
        <v>1</v>
      </c>
      <c r="H79" s="7" t="s">
        <v>18</v>
      </c>
      <c r="I79" s="6">
        <v>500</v>
      </c>
      <c r="J79" s="7">
        <f>G79*I79</f>
        <v>500</v>
      </c>
      <c r="K79" s="5"/>
    </row>
    <row r="80" spans="1:11" x14ac:dyDescent="0.25">
      <c r="A80" s="2"/>
      <c r="B80" s="8"/>
      <c r="C80" s="3"/>
      <c r="D80" s="4"/>
      <c r="E80" s="5"/>
      <c r="F80" s="5"/>
      <c r="G80" s="6"/>
      <c r="H80" s="7"/>
      <c r="I80" s="6"/>
      <c r="J80" s="16"/>
      <c r="K80" s="5"/>
    </row>
    <row r="81" spans="1:19" x14ac:dyDescent="0.25">
      <c r="A81" s="19"/>
      <c r="B81" s="20" t="s">
        <v>20</v>
      </c>
      <c r="C81" s="21"/>
      <c r="D81" s="22"/>
      <c r="E81" s="22"/>
      <c r="F81" s="22"/>
      <c r="G81" s="16"/>
      <c r="H81" s="16"/>
      <c r="I81" s="16"/>
      <c r="J81" s="16">
        <f>SUM(J9:J79)</f>
        <v>144620.52540779463</v>
      </c>
      <c r="K81" s="23"/>
    </row>
    <row r="82" spans="1:19" x14ac:dyDescent="0.25">
      <c r="M82" s="18"/>
      <c r="N82" s="18"/>
      <c r="O82" s="18"/>
      <c r="P82" s="18"/>
      <c r="Q82" s="18"/>
      <c r="R82" s="18"/>
      <c r="S82" s="18"/>
    </row>
    <row r="83" spans="1:19" s="18" customFormat="1" x14ac:dyDescent="0.25">
      <c r="A83" s="24"/>
      <c r="B83" s="25" t="s">
        <v>19</v>
      </c>
      <c r="C83" s="62">
        <f>J81</f>
        <v>144620.52540779463</v>
      </c>
      <c r="D83" s="63"/>
      <c r="E83" s="9">
        <v>100</v>
      </c>
      <c r="F83" s="24"/>
      <c r="G83" s="26"/>
      <c r="H83" s="24"/>
      <c r="I83" s="27"/>
      <c r="J83" s="28"/>
      <c r="K83" s="29"/>
      <c r="M83" s="17"/>
      <c r="N83" s="17"/>
      <c r="O83" s="17"/>
      <c r="P83" s="17"/>
      <c r="Q83" s="17"/>
      <c r="R83" s="17"/>
      <c r="S83" s="17"/>
    </row>
    <row r="84" spans="1:19" x14ac:dyDescent="0.25">
      <c r="B84" s="25" t="s">
        <v>21</v>
      </c>
      <c r="C84" s="66">
        <v>125000</v>
      </c>
      <c r="D84" s="67"/>
      <c r="E84" s="9"/>
    </row>
    <row r="85" spans="1:19" x14ac:dyDescent="0.25">
      <c r="B85" s="25" t="s">
        <v>22</v>
      </c>
      <c r="C85" s="66">
        <f>C84-C87-C88</f>
        <v>118750</v>
      </c>
      <c r="D85" s="67"/>
      <c r="E85" s="9">
        <f>C85/C83*100</f>
        <v>82.111442801880258</v>
      </c>
    </row>
    <row r="86" spans="1:19" x14ac:dyDescent="0.25">
      <c r="B86" s="25" t="s">
        <v>34</v>
      </c>
      <c r="C86" s="68">
        <f>C83-C85</f>
        <v>25870.52540779463</v>
      </c>
      <c r="D86" s="68"/>
      <c r="E86" s="9">
        <f>100-E85</f>
        <v>17.888557198119742</v>
      </c>
    </row>
    <row r="87" spans="1:19" x14ac:dyDescent="0.25">
      <c r="B87" s="25" t="s">
        <v>23</v>
      </c>
      <c r="C87" s="62">
        <f>C84*0.03</f>
        <v>3750</v>
      </c>
      <c r="D87" s="63"/>
      <c r="E87" s="9">
        <v>3</v>
      </c>
    </row>
    <row r="88" spans="1:19" x14ac:dyDescent="0.25">
      <c r="B88" s="25" t="s">
        <v>24</v>
      </c>
      <c r="C88" s="62">
        <f>C84*0.02</f>
        <v>2500</v>
      </c>
      <c r="D88" s="63"/>
      <c r="E88" s="9">
        <v>2</v>
      </c>
    </row>
  </sheetData>
  <mergeCells count="15">
    <mergeCell ref="C87:D87"/>
    <mergeCell ref="C88:D88"/>
    <mergeCell ref="A7:F7"/>
    <mergeCell ref="H7:K7"/>
    <mergeCell ref="C83:D83"/>
    <mergeCell ref="C84:D84"/>
    <mergeCell ref="C85:D85"/>
    <mergeCell ref="C86:D86"/>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7C3A-4B53-4873-A254-2981ED93CBDA}">
  <dimension ref="A1:M48"/>
  <sheetViews>
    <sheetView view="pageBreakPreview" topLeftCell="A33" zoomScaleNormal="100" zoomScaleSheetLayoutView="100" workbookViewId="0">
      <selection activeCell="J44" sqref="J44"/>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84" t="s">
        <v>0</v>
      </c>
      <c r="B1" s="84"/>
      <c r="C1" s="84"/>
      <c r="D1" s="84"/>
      <c r="E1" s="84"/>
      <c r="F1" s="84"/>
      <c r="G1" s="84"/>
      <c r="H1" s="84"/>
      <c r="I1" s="84"/>
      <c r="J1" s="84"/>
      <c r="K1" s="84"/>
    </row>
    <row r="2" spans="1:13" ht="25.5" x14ac:dyDescent="0.35">
      <c r="A2" s="85" t="s">
        <v>1</v>
      </c>
      <c r="B2" s="85"/>
      <c r="C2" s="85"/>
      <c r="D2" s="85"/>
      <c r="E2" s="85"/>
      <c r="F2" s="85"/>
      <c r="G2" s="85"/>
      <c r="H2" s="85"/>
      <c r="I2" s="85"/>
      <c r="J2" s="85"/>
      <c r="K2" s="85"/>
    </row>
    <row r="3" spans="1:13" s="34" customFormat="1" x14ac:dyDescent="0.25">
      <c r="A3" s="86" t="s">
        <v>2</v>
      </c>
      <c r="B3" s="86"/>
      <c r="C3" s="86"/>
      <c r="D3" s="86"/>
      <c r="E3" s="86"/>
      <c r="F3" s="86"/>
      <c r="G3" s="86"/>
      <c r="H3" s="86"/>
      <c r="I3" s="86"/>
      <c r="J3" s="86"/>
      <c r="K3" s="86"/>
    </row>
    <row r="4" spans="1:13" s="34" customFormat="1" x14ac:dyDescent="0.25">
      <c r="A4" s="86" t="s">
        <v>3</v>
      </c>
      <c r="B4" s="86"/>
      <c r="C4" s="86"/>
      <c r="D4" s="86"/>
      <c r="E4" s="86"/>
      <c r="F4" s="86"/>
      <c r="G4" s="86"/>
      <c r="H4" s="86"/>
      <c r="I4" s="86"/>
      <c r="J4" s="86"/>
      <c r="K4" s="86"/>
    </row>
    <row r="5" spans="1:13" ht="18.75" x14ac:dyDescent="0.3">
      <c r="A5" s="87" t="s">
        <v>42</v>
      </c>
      <c r="B5" s="87"/>
      <c r="C5" s="87"/>
      <c r="D5" s="87"/>
      <c r="E5" s="87"/>
      <c r="F5" s="87"/>
      <c r="G5" s="87"/>
      <c r="H5" s="87"/>
      <c r="I5" s="87"/>
      <c r="J5" s="87"/>
      <c r="K5" s="87"/>
    </row>
    <row r="6" spans="1:13" ht="18.75" x14ac:dyDescent="0.3">
      <c r="A6" s="40" t="s">
        <v>43</v>
      </c>
      <c r="B6" s="40"/>
      <c r="C6" s="82">
        <f>F48</f>
        <v>144620.52540779463</v>
      </c>
      <c r="D6" s="83"/>
      <c r="E6" s="41"/>
      <c r="F6" s="40"/>
      <c r="G6" s="40"/>
      <c r="H6" s="40" t="s">
        <v>44</v>
      </c>
      <c r="I6" s="40"/>
      <c r="J6" s="82">
        <f>I48</f>
        <v>144620.52540779463</v>
      </c>
      <c r="K6" s="83"/>
    </row>
    <row r="7" spans="1:13" x14ac:dyDescent="0.25">
      <c r="A7" s="42" t="s">
        <v>45</v>
      </c>
      <c r="B7" s="42"/>
      <c r="C7" s="42"/>
      <c r="D7" s="42"/>
      <c r="F7" s="78"/>
      <c r="G7" s="78"/>
      <c r="I7" s="79" t="s">
        <v>46</v>
      </c>
      <c r="J7" s="79"/>
      <c r="K7" s="79"/>
    </row>
    <row r="8" spans="1:13" ht="18" x14ac:dyDescent="0.25">
      <c r="A8" s="69" t="e">
        <f>#REF!</f>
        <v>#REF!</v>
      </c>
      <c r="B8" s="69"/>
      <c r="C8" s="69"/>
      <c r="D8" s="69"/>
      <c r="E8" s="69"/>
      <c r="F8" s="69"/>
      <c r="I8" s="80" t="s">
        <v>47</v>
      </c>
      <c r="J8" s="80"/>
      <c r="K8" s="80"/>
    </row>
    <row r="9" spans="1:13" x14ac:dyDescent="0.25">
      <c r="A9" s="81" t="s">
        <v>40</v>
      </c>
      <c r="B9" s="81"/>
      <c r="C9" s="81"/>
      <c r="D9" s="81"/>
      <c r="E9" s="81"/>
      <c r="F9" s="81"/>
      <c r="I9" s="80" t="s">
        <v>48</v>
      </c>
      <c r="J9" s="80"/>
      <c r="K9" s="80"/>
    </row>
    <row r="11" spans="1:13" x14ac:dyDescent="0.25">
      <c r="A11" s="76" t="s">
        <v>49</v>
      </c>
      <c r="B11" s="76" t="s">
        <v>50</v>
      </c>
      <c r="C11" s="76" t="s">
        <v>12</v>
      </c>
      <c r="D11" s="77" t="s">
        <v>51</v>
      </c>
      <c r="E11" s="77"/>
      <c r="F11" s="77"/>
      <c r="G11" s="77" t="s">
        <v>52</v>
      </c>
      <c r="H11" s="77"/>
      <c r="I11" s="77"/>
      <c r="J11" s="76" t="s">
        <v>53</v>
      </c>
      <c r="K11" s="75" t="s">
        <v>54</v>
      </c>
    </row>
    <row r="12" spans="1:13" x14ac:dyDescent="0.25">
      <c r="A12" s="76"/>
      <c r="B12" s="76"/>
      <c r="C12" s="76"/>
      <c r="D12" s="43" t="s">
        <v>55</v>
      </c>
      <c r="E12" s="43" t="s">
        <v>13</v>
      </c>
      <c r="F12" s="43" t="s">
        <v>14</v>
      </c>
      <c r="G12" s="43" t="s">
        <v>55</v>
      </c>
      <c r="H12" s="43" t="s">
        <v>13</v>
      </c>
      <c r="I12" s="43" t="s">
        <v>14</v>
      </c>
      <c r="J12" s="76"/>
      <c r="K12" s="75"/>
    </row>
    <row r="13" spans="1:13" s="34" customFormat="1" ht="126" x14ac:dyDescent="0.25">
      <c r="A13" s="44">
        <f>Estimate!A9</f>
        <v>1</v>
      </c>
      <c r="B13" s="51" t="str">
        <f>Estimate!B9</f>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
      <c r="C13" s="45" t="str">
        <f>Estimate!H17</f>
        <v>cum</v>
      </c>
      <c r="D13" s="45">
        <f>Estimate!G17</f>
        <v>8.6549618679941744</v>
      </c>
      <c r="E13" s="45">
        <f>Estimate!I17</f>
        <v>748.9</v>
      </c>
      <c r="F13" s="45">
        <f>D13*E13</f>
        <v>6481.7009429408372</v>
      </c>
      <c r="G13" s="45">
        <f>V!G17</f>
        <v>8.6549618679941744</v>
      </c>
      <c r="H13" s="45">
        <f>V!I17</f>
        <v>748.9</v>
      </c>
      <c r="I13" s="45">
        <f>G13*H13</f>
        <v>6481.7009429408372</v>
      </c>
      <c r="J13" s="46">
        <f>I13-F13</f>
        <v>0</v>
      </c>
      <c r="K13" s="47"/>
      <c r="M13" s="34">
        <f>1.25*F13</f>
        <v>8102.126178676046</v>
      </c>
    </row>
    <row r="14" spans="1:13" s="34" customFormat="1" x14ac:dyDescent="0.25">
      <c r="A14" s="49"/>
      <c r="B14" s="50"/>
      <c r="C14" s="45"/>
      <c r="D14" s="45"/>
      <c r="E14" s="45"/>
      <c r="F14" s="45"/>
      <c r="G14" s="45"/>
      <c r="H14" s="45"/>
      <c r="I14" s="45"/>
      <c r="J14" s="46"/>
      <c r="K14" s="47"/>
    </row>
    <row r="15" spans="1:13" s="34" customFormat="1" ht="78.75" x14ac:dyDescent="0.25">
      <c r="A15" s="44">
        <f>Estimate!A19</f>
        <v>2</v>
      </c>
      <c r="B15" s="51" t="str">
        <f>Estimate!B19</f>
        <v>Providing and laying of hand pack locally available Stone soling with 150 to 200 mm thick stones and packing with smaller stone on prepared surface as per Drawing and Technical Specifications.</v>
      </c>
      <c r="C15" s="45" t="str">
        <f>Estimate!H27</f>
        <v>cum</v>
      </c>
      <c r="D15" s="45">
        <f>Estimate!G27</f>
        <v>9.6020484608351104</v>
      </c>
      <c r="E15" s="45">
        <f>Estimate!I27</f>
        <v>4458.5200000000004</v>
      </c>
      <c r="F15" s="45">
        <f>D15*E15</f>
        <v>42810.92510360256</v>
      </c>
      <c r="G15" s="45">
        <f>V!G27</f>
        <v>9.6020484608351104</v>
      </c>
      <c r="H15" s="45">
        <f>V!I27</f>
        <v>4458.5200000000004</v>
      </c>
      <c r="I15" s="45">
        <f>G15*H15</f>
        <v>42810.92510360256</v>
      </c>
      <c r="J15" s="46">
        <f>I15-F15</f>
        <v>0</v>
      </c>
      <c r="K15" s="47"/>
      <c r="M15" s="34">
        <f t="shared" ref="M15:M44" si="0">1.25*F15</f>
        <v>53513.656379503198</v>
      </c>
    </row>
    <row r="16" spans="1:13" s="34" customFormat="1" ht="15.75" x14ac:dyDescent="0.25">
      <c r="A16" s="44"/>
      <c r="B16" s="48" t="str">
        <f>Estimate!B28</f>
        <v>-13% VAT for stone</v>
      </c>
      <c r="C16" s="45"/>
      <c r="D16" s="45"/>
      <c r="E16" s="45"/>
      <c r="F16" s="45">
        <f>Estimate!J28</f>
        <v>3857.8019513238155</v>
      </c>
      <c r="G16" s="45"/>
      <c r="H16" s="45"/>
      <c r="I16" s="45">
        <f>V!J28</f>
        <v>3857.8019513238155</v>
      </c>
      <c r="J16" s="46">
        <f>I16-F16</f>
        <v>0</v>
      </c>
      <c r="K16" s="47"/>
      <c r="M16" s="34">
        <f t="shared" si="0"/>
        <v>4822.2524391547695</v>
      </c>
    </row>
    <row r="17" spans="1:13" s="34" customFormat="1" ht="15.75" x14ac:dyDescent="0.25">
      <c r="A17" s="44"/>
      <c r="B17" s="51"/>
      <c r="C17" s="45"/>
      <c r="D17" s="45"/>
      <c r="E17" s="45"/>
      <c r="F17" s="45"/>
      <c r="G17" s="45"/>
      <c r="H17" s="45"/>
      <c r="I17" s="45"/>
      <c r="J17" s="46"/>
      <c r="K17" s="47"/>
    </row>
    <row r="18" spans="1:13" s="34" customFormat="1" ht="63" x14ac:dyDescent="0.25">
      <c r="A18" s="44">
        <f>Estimate!A30</f>
        <v>3</v>
      </c>
      <c r="B18" s="51" t="str">
        <f>Estimate!B30</f>
        <v>Providing and laying of Plain/Reinforced Cement Concrete in Foundation complete as per Drawing and Technical Specifications, PCC Grade M 15</v>
      </c>
      <c r="C18" s="45" t="str">
        <f>Estimate!H39</f>
        <v>cum</v>
      </c>
      <c r="D18" s="45">
        <f>Estimate!G39</f>
        <v>1.7675691481255715</v>
      </c>
      <c r="E18" s="45">
        <f>Estimate!I39</f>
        <v>10964.46</v>
      </c>
      <c r="F18" s="45">
        <f>D18*E18</f>
        <v>19380.441221856901</v>
      </c>
      <c r="G18" s="45">
        <f>V!G39</f>
        <v>1.7675691481255715</v>
      </c>
      <c r="H18" s="45">
        <f>V!I39</f>
        <v>10964.46</v>
      </c>
      <c r="I18" s="45">
        <f>G18*H18</f>
        <v>19380.441221856901</v>
      </c>
      <c r="J18" s="46">
        <f>I18-F18</f>
        <v>0</v>
      </c>
      <c r="K18" s="47"/>
      <c r="M18" s="34">
        <f t="shared" si="0"/>
        <v>24225.551527321128</v>
      </c>
    </row>
    <row r="19" spans="1:13" s="34" customFormat="1" ht="15.75" x14ac:dyDescent="0.25">
      <c r="A19" s="44"/>
      <c r="B19" s="48" t="str">
        <f>Estimate!B40</f>
        <v>-13% VAT for cement</v>
      </c>
      <c r="C19" s="45"/>
      <c r="D19" s="45"/>
      <c r="E19" s="45"/>
      <c r="F19" s="45">
        <f>Estimate!J40</f>
        <v>824.4347751544359</v>
      </c>
      <c r="G19" s="45"/>
      <c r="H19" s="45"/>
      <c r="I19" s="45">
        <f>V!J40</f>
        <v>824.4347751544359</v>
      </c>
      <c r="J19" s="46">
        <f>I19-F19</f>
        <v>0</v>
      </c>
      <c r="K19" s="47"/>
      <c r="M19" s="34">
        <f t="shared" si="0"/>
        <v>1030.5434689430449</v>
      </c>
    </row>
    <row r="20" spans="1:13" s="34" customFormat="1" ht="15.75" x14ac:dyDescent="0.25">
      <c r="A20" s="44"/>
      <c r="B20" s="48" t="str">
        <f>Estimate!B41</f>
        <v>-13% VAT for sand</v>
      </c>
      <c r="C20" s="45"/>
      <c r="D20" s="45"/>
      <c r="E20" s="45"/>
      <c r="F20" s="45">
        <f>Estimate!J41</f>
        <v>328.32455520900641</v>
      </c>
      <c r="G20" s="45"/>
      <c r="H20" s="45"/>
      <c r="I20" s="45">
        <f>V!J41</f>
        <v>328.32455520900641</v>
      </c>
      <c r="J20" s="46">
        <f t="shared" ref="J20:J23" si="1">I20-F20</f>
        <v>0</v>
      </c>
      <c r="K20" s="47"/>
    </row>
    <row r="21" spans="1:13" s="34" customFormat="1" ht="15.75" x14ac:dyDescent="0.25">
      <c r="A21" s="44"/>
      <c r="B21" s="48" t="str">
        <f>Estimate!B42</f>
        <v>-13% VAT for aggregate</v>
      </c>
      <c r="C21" s="45"/>
      <c r="D21" s="45"/>
      <c r="E21" s="45"/>
      <c r="F21" s="45">
        <f>Estimate!J42</f>
        <v>667.59326225831308</v>
      </c>
      <c r="G21" s="45"/>
      <c r="H21" s="45"/>
      <c r="I21" s="45">
        <f>V!J42</f>
        <v>667.59326225831308</v>
      </c>
      <c r="J21" s="46">
        <f t="shared" si="1"/>
        <v>0</v>
      </c>
      <c r="K21" s="47"/>
    </row>
    <row r="22" spans="1:13" s="34" customFormat="1" ht="15.75" x14ac:dyDescent="0.25">
      <c r="A22" s="44"/>
      <c r="B22" s="48" t="str">
        <f>Estimate!B43</f>
        <v>-13% VAT for formwork</v>
      </c>
      <c r="C22" s="45"/>
      <c r="D22" s="45"/>
      <c r="E22" s="45"/>
      <c r="F22" s="45">
        <f>Estimate!J43</f>
        <v>96.90297205591537</v>
      </c>
      <c r="G22" s="45"/>
      <c r="H22" s="45"/>
      <c r="I22" s="45">
        <f>V!J43</f>
        <v>96.90297205591537</v>
      </c>
      <c r="J22" s="46">
        <f t="shared" si="1"/>
        <v>0</v>
      </c>
      <c r="K22" s="47"/>
    </row>
    <row r="23" spans="1:13" s="34" customFormat="1" ht="15.75" x14ac:dyDescent="0.25">
      <c r="A23" s="44"/>
      <c r="B23" s="48" t="str">
        <f>Estimate!B44</f>
        <v>-13% VAT for water</v>
      </c>
      <c r="C23" s="45"/>
      <c r="D23" s="45"/>
      <c r="E23" s="45"/>
      <c r="F23" s="45">
        <f>Estimate!J44</f>
        <v>14.246607333892106</v>
      </c>
      <c r="G23" s="45"/>
      <c r="H23" s="45"/>
      <c r="I23" s="45">
        <f>V!J44</f>
        <v>14.246607333892106</v>
      </c>
      <c r="J23" s="46">
        <f t="shared" si="1"/>
        <v>0</v>
      </c>
      <c r="K23" s="47"/>
    </row>
    <row r="24" spans="1:13" s="34" customFormat="1" x14ac:dyDescent="0.25">
      <c r="A24" s="49"/>
      <c r="B24" s="50"/>
      <c r="C24" s="45"/>
      <c r="D24" s="45"/>
      <c r="E24" s="45"/>
      <c r="F24" s="45"/>
      <c r="G24" s="45"/>
      <c r="H24" s="45"/>
      <c r="I24" s="45"/>
      <c r="J24" s="46"/>
      <c r="K24" s="47"/>
    </row>
    <row r="25" spans="1:13" s="34" customFormat="1" ht="78.75" x14ac:dyDescent="0.25">
      <c r="A25" s="44">
        <f>Estimate!A46</f>
        <v>4</v>
      </c>
      <c r="B25" s="51" t="str">
        <f>Estimate!B46</f>
        <v>Random Rubble Masonry, Providing and laying of Stone Masonry Work in Cement Mortar 1:6 in Foundation complete as per Drawing and Technical Specifications., Using Concrete Mixer</v>
      </c>
      <c r="C25" s="45" t="str">
        <f>Estimate!H49</f>
        <v>cum</v>
      </c>
      <c r="D25" s="45">
        <f>Estimate!G49</f>
        <v>6.5778627633775075</v>
      </c>
      <c r="E25" s="45">
        <f>Estimate!I49</f>
        <v>8987.83</v>
      </c>
      <c r="F25" s="45">
        <f>D25*E25</f>
        <v>59120.712280567262</v>
      </c>
      <c r="G25" s="45">
        <f>V!G49</f>
        <v>6.5778627633775075</v>
      </c>
      <c r="H25" s="45">
        <f>V!I49</f>
        <v>8987.83</v>
      </c>
      <c r="I25" s="45">
        <f>G25*H25</f>
        <v>59120.712280567262</v>
      </c>
      <c r="J25" s="46">
        <f>I25-F25</f>
        <v>0</v>
      </c>
      <c r="K25" s="47"/>
      <c r="M25" s="34">
        <f t="shared" si="0"/>
        <v>73900.890350709073</v>
      </c>
    </row>
    <row r="26" spans="1:13" s="34" customFormat="1" ht="15.75" x14ac:dyDescent="0.25">
      <c r="A26" s="44"/>
      <c r="B26" s="48" t="str">
        <f>Estimate!B50</f>
        <v>-13% VAT for cement</v>
      </c>
      <c r="C26" s="45"/>
      <c r="D26" s="45"/>
      <c r="E26" s="45"/>
      <c r="F26" s="45">
        <f>Estimate!J50</f>
        <v>1002.8787171339958</v>
      </c>
      <c r="G26" s="45"/>
      <c r="H26" s="45"/>
      <c r="I26" s="45">
        <f>V!J50</f>
        <v>1002.8787171339958</v>
      </c>
      <c r="J26" s="46">
        <f>I26-F26</f>
        <v>0</v>
      </c>
      <c r="K26" s="47"/>
      <c r="M26" s="34">
        <f t="shared" si="0"/>
        <v>1253.5983964174948</v>
      </c>
    </row>
    <row r="27" spans="1:13" s="34" customFormat="1" ht="15.75" x14ac:dyDescent="0.25">
      <c r="A27" s="44"/>
      <c r="B27" s="48" t="str">
        <f>Estimate!B51</f>
        <v>-13% VAT for sand</v>
      </c>
      <c r="C27" s="45"/>
      <c r="D27" s="45"/>
      <c r="E27" s="45"/>
      <c r="F27" s="45">
        <f>Estimate!J51</f>
        <v>1129.5164940866202</v>
      </c>
      <c r="G27" s="45"/>
      <c r="H27" s="45"/>
      <c r="I27" s="45">
        <f>V!J51</f>
        <v>1129.5164940866202</v>
      </c>
      <c r="J27" s="46">
        <f t="shared" ref="J27:J29" si="2">I27-F27</f>
        <v>0</v>
      </c>
      <c r="K27" s="47"/>
    </row>
    <row r="28" spans="1:13" s="34" customFormat="1" ht="15.75" x14ac:dyDescent="0.25">
      <c r="A28" s="44"/>
      <c r="B28" s="48" t="str">
        <f>Estimate!B52</f>
        <v>-13% VAT for stone</v>
      </c>
      <c r="C28" s="45"/>
      <c r="D28" s="45"/>
      <c r="E28" s="45"/>
      <c r="F28" s="45">
        <f>Estimate!J52</f>
        <v>2532.6631858592891</v>
      </c>
      <c r="G28" s="45"/>
      <c r="H28" s="45"/>
      <c r="I28" s="45">
        <f>V!J52</f>
        <v>2532.6631858592891</v>
      </c>
      <c r="J28" s="46">
        <f t="shared" si="2"/>
        <v>0</v>
      </c>
      <c r="K28" s="47"/>
    </row>
    <row r="29" spans="1:13" s="34" customFormat="1" ht="15.75" x14ac:dyDescent="0.25">
      <c r="A29" s="44"/>
      <c r="B29" s="48" t="str">
        <f>Estimate!B53</f>
        <v>-13% VAT for water</v>
      </c>
      <c r="C29" s="45"/>
      <c r="D29" s="45"/>
      <c r="E29" s="45"/>
      <c r="F29" s="45">
        <f>Estimate!J53</f>
        <v>53.017573872822709</v>
      </c>
      <c r="G29" s="45"/>
      <c r="H29" s="45"/>
      <c r="I29" s="45">
        <f>V!J53</f>
        <v>53.017573872822709</v>
      </c>
      <c r="J29" s="46">
        <f t="shared" si="2"/>
        <v>0</v>
      </c>
      <c r="K29" s="47"/>
    </row>
    <row r="30" spans="1:13" s="34" customFormat="1" x14ac:dyDescent="0.25">
      <c r="A30" s="49"/>
      <c r="B30" s="50"/>
      <c r="C30" s="45"/>
      <c r="D30" s="45"/>
      <c r="E30" s="45"/>
      <c r="F30" s="45"/>
      <c r="G30" s="45"/>
      <c r="H30" s="45"/>
      <c r="I30" s="45"/>
      <c r="J30" s="46"/>
      <c r="K30" s="47"/>
    </row>
    <row r="31" spans="1:13" s="34" customFormat="1" ht="30" x14ac:dyDescent="0.25">
      <c r="A31" s="44">
        <f>Estimate!A55</f>
        <v>5</v>
      </c>
      <c r="B31" s="35" t="str">
        <f>Estimate!B55</f>
        <v>e'O{+tNnfdf lrDgL e§fsf] O{+6fsf] uf/f] l;d]G6 d;nf -!M^_ df</v>
      </c>
      <c r="C31" s="45" t="str">
        <f>Estimate!H58</f>
        <v>cum</v>
      </c>
      <c r="D31" s="45">
        <f>Estimate!G58</f>
        <v>0.17233771213848337</v>
      </c>
      <c r="E31" s="45">
        <f>Estimate!I58</f>
        <v>14491.84</v>
      </c>
      <c r="F31" s="45">
        <f>D31*E31</f>
        <v>2497.4905502769589</v>
      </c>
      <c r="G31" s="45">
        <f>V!G58</f>
        <v>0.17233771213848337</v>
      </c>
      <c r="H31" s="45">
        <f>V!I58</f>
        <v>14491.84</v>
      </c>
      <c r="I31" s="45">
        <f>G31*H31</f>
        <v>2497.4905502769589</v>
      </c>
      <c r="J31" s="46">
        <f>I31-F31</f>
        <v>0</v>
      </c>
      <c r="K31" s="47"/>
      <c r="M31" s="34">
        <f t="shared" ref="M31:M32" si="3">1.25*F31</f>
        <v>3121.8631878461983</v>
      </c>
    </row>
    <row r="32" spans="1:13" s="34" customFormat="1" ht="15.75" x14ac:dyDescent="0.25">
      <c r="A32" s="44"/>
      <c r="B32" s="48" t="str">
        <f>Estimate!B59</f>
        <v>-13% VAT for cement</v>
      </c>
      <c r="C32" s="45"/>
      <c r="D32" s="45"/>
      <c r="E32" s="45"/>
      <c r="F32" s="45">
        <f>Estimate!J59</f>
        <v>20.436167814576848</v>
      </c>
      <c r="G32" s="45"/>
      <c r="H32" s="45"/>
      <c r="I32" s="45">
        <f>V!J59</f>
        <v>20.436167814576848</v>
      </c>
      <c r="J32" s="46">
        <f>I32-F32</f>
        <v>0</v>
      </c>
      <c r="K32" s="47"/>
      <c r="M32" s="34">
        <f t="shared" si="3"/>
        <v>25.54520976822106</v>
      </c>
    </row>
    <row r="33" spans="1:13" s="34" customFormat="1" ht="15.75" x14ac:dyDescent="0.25">
      <c r="A33" s="44"/>
      <c r="B33" s="48" t="str">
        <f>Estimate!B60</f>
        <v>-13% VAT for sand</v>
      </c>
      <c r="C33" s="45"/>
      <c r="D33" s="45"/>
      <c r="E33" s="45"/>
      <c r="F33" s="45">
        <f>Estimate!J60</f>
        <v>21.359208600790566</v>
      </c>
      <c r="G33" s="45"/>
      <c r="H33" s="45"/>
      <c r="I33" s="45">
        <f>V!J60</f>
        <v>21.359208600790566</v>
      </c>
      <c r="J33" s="46">
        <f t="shared" ref="J33:J35" si="4">I33-F33</f>
        <v>0</v>
      </c>
      <c r="K33" s="47"/>
    </row>
    <row r="34" spans="1:13" s="34" customFormat="1" ht="15.75" x14ac:dyDescent="0.25">
      <c r="A34" s="44"/>
      <c r="B34" s="48" t="str">
        <f>Estimate!B61</f>
        <v>-13% VAT for brick</v>
      </c>
      <c r="C34" s="45"/>
      <c r="D34" s="45"/>
      <c r="E34" s="45"/>
      <c r="F34" s="45">
        <f>Estimate!J61</f>
        <v>190.01197854455771</v>
      </c>
      <c r="G34" s="45"/>
      <c r="H34" s="45"/>
      <c r="I34" s="45">
        <f>V!J61</f>
        <v>190.01197854455771</v>
      </c>
      <c r="J34" s="46">
        <f t="shared" si="4"/>
        <v>0</v>
      </c>
      <c r="K34" s="47"/>
    </row>
    <row r="35" spans="1:13" s="34" customFormat="1" ht="15.75" x14ac:dyDescent="0.25">
      <c r="A35" s="44"/>
      <c r="B35" s="48" t="str">
        <f>Estimate!B62</f>
        <v>-13% VAT for water</v>
      </c>
      <c r="C35" s="45"/>
      <c r="D35" s="45"/>
      <c r="E35" s="45"/>
      <c r="F35" s="45">
        <f>Estimate!J62</f>
        <v>0.6273092721840795</v>
      </c>
      <c r="G35" s="45"/>
      <c r="H35" s="45"/>
      <c r="I35" s="45">
        <f>V!J62</f>
        <v>0.6273092721840795</v>
      </c>
      <c r="J35" s="46">
        <f t="shared" si="4"/>
        <v>0</v>
      </c>
      <c r="K35" s="47"/>
    </row>
    <row r="36" spans="1:13" s="34" customFormat="1" x14ac:dyDescent="0.25">
      <c r="A36" s="49"/>
      <c r="B36" s="50"/>
      <c r="C36" s="45"/>
      <c r="D36" s="45"/>
      <c r="E36" s="45"/>
      <c r="F36" s="45"/>
      <c r="G36" s="45"/>
      <c r="H36" s="45"/>
      <c r="I36" s="45"/>
      <c r="J36" s="46"/>
      <c r="K36" s="47"/>
    </row>
    <row r="37" spans="1:13" s="34" customFormat="1" x14ac:dyDescent="0.25">
      <c r="A37" s="44">
        <f>Estimate!A64</f>
        <v>6</v>
      </c>
      <c r="B37" s="35" t="str">
        <f>Estimate!B64</f>
        <v>!@=% dL=dL= l;d]G6 afn'jf -!M$_ Knfi6/</v>
      </c>
      <c r="C37" s="45" t="str">
        <f>Estimate!H67</f>
        <v>sqm</v>
      </c>
      <c r="D37" s="45">
        <f>Estimate!G67</f>
        <v>1.498588801204203</v>
      </c>
      <c r="E37" s="45">
        <f>Estimate!I67</f>
        <v>415.5</v>
      </c>
      <c r="F37" s="45">
        <f>D37*E37</f>
        <v>622.66364690034641</v>
      </c>
      <c r="G37" s="45">
        <f>V!G67</f>
        <v>1.498588801204203</v>
      </c>
      <c r="H37" s="45">
        <f>V!I67</f>
        <v>415.5</v>
      </c>
      <c r="I37" s="45">
        <f>G37*H37</f>
        <v>622.66364690034641</v>
      </c>
      <c r="J37" s="46">
        <f>I37-F37</f>
        <v>0</v>
      </c>
      <c r="K37" s="47"/>
      <c r="M37" s="34">
        <f t="shared" ref="M37:M38" si="5">1.25*F37</f>
        <v>778.32955862543304</v>
      </c>
    </row>
    <row r="38" spans="1:13" s="34" customFormat="1" ht="15.75" x14ac:dyDescent="0.25">
      <c r="A38" s="44"/>
      <c r="B38" s="48" t="str">
        <f>Estimate!B68</f>
        <v>-13% VAT for cement</v>
      </c>
      <c r="C38" s="45"/>
      <c r="D38" s="45"/>
      <c r="E38" s="45"/>
      <c r="F38" s="45">
        <f>Estimate!J68</f>
        <v>13.657945016219751</v>
      </c>
      <c r="G38" s="45"/>
      <c r="H38" s="45"/>
      <c r="I38" s="45">
        <f>V!J68</f>
        <v>13.657945016219751</v>
      </c>
      <c r="J38" s="46">
        <f>I38-F38</f>
        <v>0</v>
      </c>
      <c r="K38" s="47"/>
      <c r="M38" s="34">
        <f t="shared" si="5"/>
        <v>17.072431270274688</v>
      </c>
    </row>
    <row r="39" spans="1:13" s="34" customFormat="1" ht="15.75" x14ac:dyDescent="0.25">
      <c r="A39" s="44"/>
      <c r="B39" s="48" t="str">
        <f>Estimate!B69</f>
        <v>-13% VAT for sand</v>
      </c>
      <c r="C39" s="45"/>
      <c r="D39" s="45"/>
      <c r="E39" s="45"/>
      <c r="F39" s="45">
        <f>Estimate!J69</f>
        <v>9.0389616441945293</v>
      </c>
      <c r="G39" s="45"/>
      <c r="H39" s="45"/>
      <c r="I39" s="45">
        <f>V!J69</f>
        <v>9.0389616441945293</v>
      </c>
      <c r="J39" s="46">
        <f>I39-F39</f>
        <v>0</v>
      </c>
      <c r="K39" s="47"/>
    </row>
    <row r="40" spans="1:13" s="34" customFormat="1" x14ac:dyDescent="0.25">
      <c r="A40" s="49"/>
      <c r="B40" s="50"/>
      <c r="C40" s="45"/>
      <c r="D40" s="45"/>
      <c r="E40" s="45"/>
      <c r="F40" s="45"/>
      <c r="G40" s="45"/>
      <c r="H40" s="45"/>
      <c r="I40" s="45"/>
      <c r="J40" s="46"/>
      <c r="K40" s="47"/>
    </row>
    <row r="41" spans="1:13" s="34" customFormat="1" x14ac:dyDescent="0.25">
      <c r="A41" s="44">
        <f>Estimate!A71</f>
        <v>7</v>
      </c>
      <c r="B41" s="35" t="str">
        <f>Estimate!B71</f>
        <v># dL=dL= df]6fO{ d;Lgf] l;d]G6 3f]6\g] sfd</v>
      </c>
      <c r="C41" s="45" t="str">
        <f>Estimate!H74</f>
        <v>sqm</v>
      </c>
      <c r="D41" s="45">
        <f>Estimate!G74</f>
        <v>1.498588801204203</v>
      </c>
      <c r="E41" s="45">
        <f>Estimate!I74</f>
        <v>287.32</v>
      </c>
      <c r="F41" s="45">
        <f>D41*E41</f>
        <v>430.5745343619916</v>
      </c>
      <c r="G41" s="45">
        <f>V!G74</f>
        <v>1.498588801204203</v>
      </c>
      <c r="H41" s="45">
        <f>V!I74</f>
        <v>287.32</v>
      </c>
      <c r="I41" s="45">
        <f>G41*H41</f>
        <v>430.5745343619916</v>
      </c>
      <c r="J41" s="46">
        <f>I41-F41</f>
        <v>0</v>
      </c>
      <c r="K41" s="47"/>
      <c r="M41" s="34">
        <f t="shared" ref="M41:M42" si="6">1.25*F41</f>
        <v>538.21816795248947</v>
      </c>
    </row>
    <row r="42" spans="1:13" s="34" customFormat="1" ht="15.75" x14ac:dyDescent="0.25">
      <c r="A42" s="44"/>
      <c r="B42" s="48" t="str">
        <f>Estimate!B75</f>
        <v>-13% VAT for cement</v>
      </c>
      <c r="C42" s="45"/>
      <c r="D42" s="45"/>
      <c r="E42" s="45"/>
      <c r="F42" s="45">
        <f>Estimate!J75</f>
        <v>13.505462107108423</v>
      </c>
      <c r="G42" s="45"/>
      <c r="H42" s="45"/>
      <c r="I42" s="45">
        <f>V!J75</f>
        <v>13.505462107108423</v>
      </c>
      <c r="J42" s="46">
        <f>I42-F42</f>
        <v>0</v>
      </c>
      <c r="K42" s="47"/>
      <c r="M42" s="34">
        <f t="shared" si="6"/>
        <v>16.881827633885528</v>
      </c>
    </row>
    <row r="43" spans="1:13" s="34" customFormat="1" x14ac:dyDescent="0.25">
      <c r="A43" s="49"/>
      <c r="B43" s="50"/>
      <c r="C43" s="45"/>
      <c r="D43" s="45"/>
      <c r="E43" s="45"/>
      <c r="F43" s="45"/>
      <c r="G43" s="45"/>
      <c r="H43" s="45"/>
      <c r="I43" s="45"/>
      <c r="J43" s="46"/>
      <c r="K43" s="47"/>
    </row>
    <row r="44" spans="1:13" s="34" customFormat="1" ht="31.5" x14ac:dyDescent="0.25">
      <c r="A44" s="44">
        <f>Estimate!A77</f>
        <v>8</v>
      </c>
      <c r="B44" s="52" t="str">
        <f>Estimate!B77</f>
        <v>Prtovisional sum for unforseen works</v>
      </c>
      <c r="C44" s="45" t="str">
        <f>Estimate!H77</f>
        <v>PS</v>
      </c>
      <c r="D44" s="45">
        <f>Estimate!G77</f>
        <v>1</v>
      </c>
      <c r="E44" s="45">
        <f>Estimate!I77</f>
        <v>2000</v>
      </c>
      <c r="F44" s="45">
        <f>D44*E44</f>
        <v>2000</v>
      </c>
      <c r="G44" s="45">
        <f>V!G77</f>
        <v>1</v>
      </c>
      <c r="H44" s="45">
        <f>V!I77</f>
        <v>2000</v>
      </c>
      <c r="I44" s="45">
        <f>G44*H44</f>
        <v>2000</v>
      </c>
      <c r="J44" s="46">
        <f>I44-F44</f>
        <v>0</v>
      </c>
      <c r="K44" s="47"/>
      <c r="M44" s="34">
        <f t="shared" si="0"/>
        <v>2500</v>
      </c>
    </row>
    <row r="45" spans="1:13" s="34" customFormat="1" x14ac:dyDescent="0.25">
      <c r="A45" s="49"/>
      <c r="B45" s="50"/>
      <c r="C45" s="45"/>
      <c r="D45" s="45"/>
      <c r="E45" s="45"/>
      <c r="F45" s="45"/>
      <c r="G45" s="45"/>
      <c r="H45" s="45"/>
      <c r="I45" s="45"/>
      <c r="J45" s="46"/>
      <c r="K45" s="47"/>
    </row>
    <row r="46" spans="1:13" s="34" customFormat="1" x14ac:dyDescent="0.25">
      <c r="A46" s="44">
        <f>Estimate!A79</f>
        <v>9</v>
      </c>
      <c r="B46" s="53" t="str">
        <f>Estimate!B79</f>
        <v>Information board (सुचना पाटि)</v>
      </c>
      <c r="C46" s="45" t="str">
        <f>Estimate!H79</f>
        <v>no.</v>
      </c>
      <c r="D46" s="45">
        <f>Estimate!G79</f>
        <v>1</v>
      </c>
      <c r="E46" s="45">
        <f>Estimate!I79</f>
        <v>500</v>
      </c>
      <c r="F46" s="45">
        <f>D46*E46</f>
        <v>500</v>
      </c>
      <c r="G46" s="45">
        <f>V!G79</f>
        <v>1</v>
      </c>
      <c r="H46" s="45">
        <f>V!I79</f>
        <v>500</v>
      </c>
      <c r="I46" s="45">
        <f>G46*H46</f>
        <v>500</v>
      </c>
      <c r="J46" s="46">
        <f>I46-F46</f>
        <v>0</v>
      </c>
      <c r="K46" s="47"/>
    </row>
    <row r="47" spans="1:13" s="34" customFormat="1" x14ac:dyDescent="0.25">
      <c r="A47" s="50"/>
      <c r="B47" s="50"/>
      <c r="C47" s="45"/>
      <c r="D47" s="45"/>
      <c r="E47" s="45"/>
      <c r="F47" s="45"/>
      <c r="G47" s="45"/>
      <c r="H47" s="45"/>
      <c r="I47" s="45"/>
      <c r="J47" s="46"/>
      <c r="K47" s="47"/>
    </row>
    <row r="48" spans="1:13" x14ac:dyDescent="0.25">
      <c r="A48" s="54"/>
      <c r="B48" s="55" t="s">
        <v>20</v>
      </c>
      <c r="C48" s="55"/>
      <c r="D48" s="56"/>
      <c r="E48" s="56"/>
      <c r="F48" s="56">
        <f>SUM(F13:F46)</f>
        <v>144620.52540779463</v>
      </c>
      <c r="G48" s="56"/>
      <c r="H48" s="56"/>
      <c r="I48" s="56">
        <f>SUM(I13:I46)</f>
        <v>144620.52540779463</v>
      </c>
      <c r="J48" s="57">
        <f>I48-F48</f>
        <v>0</v>
      </c>
      <c r="K48" s="54"/>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3CB5-CED9-4B95-AE26-06DAB5246BB1}">
  <dimension ref="A1:S88"/>
  <sheetViews>
    <sheetView view="pageBreakPreview" topLeftCell="A74" zoomScale="95" zoomScaleNormal="90" zoomScaleSheetLayoutView="95" workbookViewId="0">
      <selection activeCell="B84" sqref="B84"/>
    </sheetView>
  </sheetViews>
  <sheetFormatPr defaultColWidth="9.140625" defaultRowHeight="15" x14ac:dyDescent="0.25"/>
  <cols>
    <col min="1" max="1" width="4.7109375" style="17" customWidth="1"/>
    <col min="2" max="2" width="30.85546875" style="17" customWidth="1"/>
    <col min="3" max="3" width="4.42578125" style="17" bestFit="1" customWidth="1"/>
    <col min="4" max="4" width="8.42578125" style="17" customWidth="1"/>
    <col min="5" max="5" width="8.5703125" style="17" customWidth="1"/>
    <col min="6" max="6" width="7.28515625" style="17" customWidth="1"/>
    <col min="7" max="7" width="9.140625" style="17"/>
    <col min="8" max="8" width="5" style="17" bestFit="1" customWidth="1"/>
    <col min="9" max="9" width="9.5703125" style="17" customWidth="1"/>
    <col min="10" max="10" width="10.7109375" style="17" bestFit="1" customWidth="1"/>
    <col min="11" max="12" width="9.140625" style="17"/>
    <col min="13" max="16" width="0" style="17" hidden="1" customWidth="1"/>
    <col min="17" max="16384" width="9.140625" style="17"/>
  </cols>
  <sheetData>
    <row r="1" spans="1:11" x14ac:dyDescent="0.25">
      <c r="A1" s="71" t="s">
        <v>0</v>
      </c>
      <c r="B1" s="71"/>
      <c r="C1" s="71"/>
      <c r="D1" s="71"/>
      <c r="E1" s="71"/>
      <c r="F1" s="71"/>
      <c r="G1" s="71"/>
      <c r="H1" s="71"/>
      <c r="I1" s="71"/>
      <c r="J1" s="71"/>
      <c r="K1" s="71"/>
    </row>
    <row r="2" spans="1:11" ht="22.5" x14ac:dyDescent="0.25">
      <c r="A2" s="72" t="s">
        <v>1</v>
      </c>
      <c r="B2" s="72"/>
      <c r="C2" s="72"/>
      <c r="D2" s="72"/>
      <c r="E2" s="72"/>
      <c r="F2" s="72"/>
      <c r="G2" s="72"/>
      <c r="H2" s="72"/>
      <c r="I2" s="72"/>
      <c r="J2" s="72"/>
      <c r="K2" s="72"/>
    </row>
    <row r="3" spans="1:11" x14ac:dyDescent="0.25">
      <c r="A3" s="73" t="s">
        <v>2</v>
      </c>
      <c r="B3" s="73"/>
      <c r="C3" s="73"/>
      <c r="D3" s="73"/>
      <c r="E3" s="73"/>
      <c r="F3" s="73"/>
      <c r="G3" s="73"/>
      <c r="H3" s="73"/>
      <c r="I3" s="73"/>
      <c r="J3" s="73"/>
      <c r="K3" s="73"/>
    </row>
    <row r="4" spans="1:11" x14ac:dyDescent="0.25">
      <c r="A4" s="73" t="s">
        <v>3</v>
      </c>
      <c r="B4" s="73"/>
      <c r="C4" s="73"/>
      <c r="D4" s="73"/>
      <c r="E4" s="73"/>
      <c r="F4" s="73"/>
      <c r="G4" s="73"/>
      <c r="H4" s="73"/>
      <c r="I4" s="73"/>
      <c r="J4" s="73"/>
      <c r="K4" s="73"/>
    </row>
    <row r="5" spans="1:11" ht="18.75" x14ac:dyDescent="0.3">
      <c r="A5" s="74" t="s">
        <v>68</v>
      </c>
      <c r="B5" s="74"/>
      <c r="C5" s="74"/>
      <c r="D5" s="74"/>
      <c r="E5" s="74"/>
      <c r="F5" s="74"/>
      <c r="G5" s="74"/>
      <c r="H5" s="74"/>
      <c r="I5" s="74"/>
      <c r="J5" s="74"/>
      <c r="K5" s="74"/>
    </row>
    <row r="6" spans="1:11" ht="15.75" x14ac:dyDescent="0.25">
      <c r="A6" s="69" t="s">
        <v>66</v>
      </c>
      <c r="B6" s="69"/>
      <c r="C6" s="69"/>
      <c r="D6" s="69"/>
      <c r="E6" s="69"/>
      <c r="F6" s="69"/>
      <c r="G6" s="10"/>
      <c r="H6" s="70" t="s">
        <v>25</v>
      </c>
      <c r="I6" s="70"/>
      <c r="J6" s="70"/>
      <c r="K6" s="70"/>
    </row>
    <row r="7" spans="1:11" ht="15.75" x14ac:dyDescent="0.25">
      <c r="A7" s="64" t="s">
        <v>40</v>
      </c>
      <c r="B7" s="64"/>
      <c r="C7" s="64"/>
      <c r="D7" s="64"/>
      <c r="E7" s="64"/>
      <c r="F7" s="64"/>
      <c r="G7" s="60"/>
      <c r="H7" s="65" t="s">
        <v>67</v>
      </c>
      <c r="I7" s="65"/>
      <c r="J7" s="65"/>
      <c r="K7" s="65"/>
    </row>
    <row r="8" spans="1:11" ht="15.75" x14ac:dyDescent="0.25">
      <c r="A8" s="11" t="s">
        <v>5</v>
      </c>
      <c r="B8" s="12" t="s">
        <v>6</v>
      </c>
      <c r="C8" s="11" t="s">
        <v>7</v>
      </c>
      <c r="D8" s="61" t="s">
        <v>8</v>
      </c>
      <c r="E8" s="61" t="s">
        <v>9</v>
      </c>
      <c r="F8" s="61" t="s">
        <v>10</v>
      </c>
      <c r="G8" s="61" t="s">
        <v>11</v>
      </c>
      <c r="H8" s="11" t="s">
        <v>12</v>
      </c>
      <c r="I8" s="61" t="s">
        <v>13</v>
      </c>
      <c r="J8" s="61" t="s">
        <v>14</v>
      </c>
      <c r="K8" s="13" t="s">
        <v>15</v>
      </c>
    </row>
    <row r="9" spans="1:11" ht="150" x14ac:dyDescent="0.25">
      <c r="A9" s="14">
        <v>1</v>
      </c>
      <c r="B9" s="38" t="s">
        <v>56</v>
      </c>
      <c r="C9" s="15"/>
      <c r="D9" s="15"/>
      <c r="E9" s="15"/>
      <c r="F9" s="15"/>
      <c r="G9" s="15"/>
      <c r="H9" s="15"/>
      <c r="I9" s="15"/>
      <c r="J9" s="16"/>
      <c r="K9" s="15"/>
    </row>
    <row r="10" spans="1:11" x14ac:dyDescent="0.25">
      <c r="A10" s="14"/>
      <c r="B10" s="30" t="s">
        <v>37</v>
      </c>
      <c r="C10" s="15">
        <v>1</v>
      </c>
      <c r="D10" s="31">
        <f>D20</f>
        <v>4.75</v>
      </c>
      <c r="E10" s="31">
        <f>E20</f>
        <v>0.81276033729553987</v>
      </c>
      <c r="F10" s="31">
        <v>0.9</v>
      </c>
      <c r="G10" s="31">
        <f t="shared" ref="G10:G16" si="0">PRODUCT(C10:F10)</f>
        <v>3.4745504419384332</v>
      </c>
      <c r="H10" s="15"/>
      <c r="I10" s="15"/>
      <c r="J10" s="16"/>
      <c r="K10" s="15"/>
    </row>
    <row r="11" spans="1:11" x14ac:dyDescent="0.25">
      <c r="A11" s="14"/>
      <c r="B11" s="30"/>
      <c r="C11" s="15">
        <v>1</v>
      </c>
      <c r="D11" s="31">
        <f>D21</f>
        <v>4.7888601036269431</v>
      </c>
      <c r="E11" s="31">
        <f>E21</f>
        <v>0.5</v>
      </c>
      <c r="F11" s="31">
        <v>0.6</v>
      </c>
      <c r="G11" s="31">
        <f t="shared" si="0"/>
        <v>1.436658031088083</v>
      </c>
      <c r="H11" s="15"/>
      <c r="I11" s="15"/>
      <c r="J11" s="16"/>
      <c r="K11" s="15"/>
    </row>
    <row r="12" spans="1:11" x14ac:dyDescent="0.25">
      <c r="A12" s="14"/>
      <c r="B12" s="30" t="s">
        <v>57</v>
      </c>
      <c r="C12" s="15">
        <v>1</v>
      </c>
      <c r="D12" s="31">
        <v>4</v>
      </c>
      <c r="E12" s="31">
        <f>((83+66)/2)/12/3.281</f>
        <v>1.8922076602661788</v>
      </c>
      <c r="F12" s="31">
        <v>0.15</v>
      </c>
      <c r="G12" s="31">
        <f t="shared" si="0"/>
        <v>1.1353245961597072</v>
      </c>
      <c r="H12" s="15"/>
      <c r="I12" s="15"/>
      <c r="J12" s="16"/>
      <c r="K12" s="15"/>
    </row>
    <row r="13" spans="1:11" x14ac:dyDescent="0.25">
      <c r="A13" s="14"/>
      <c r="B13" s="30"/>
      <c r="C13" s="15">
        <v>1</v>
      </c>
      <c r="D13" s="31">
        <v>7.4</v>
      </c>
      <c r="E13" s="31">
        <f>((55+45)/2)/12/3.281</f>
        <v>1.2699380270242813</v>
      </c>
      <c r="F13" s="31">
        <v>0.15</v>
      </c>
      <c r="G13" s="31">
        <f t="shared" si="0"/>
        <v>1.4096312099969521</v>
      </c>
      <c r="H13" s="15"/>
      <c r="I13" s="15"/>
      <c r="J13" s="16"/>
      <c r="K13" s="15"/>
    </row>
    <row r="14" spans="1:11" x14ac:dyDescent="0.25">
      <c r="A14" s="14"/>
      <c r="B14" s="30" t="s">
        <v>59</v>
      </c>
      <c r="C14" s="15">
        <v>1</v>
      </c>
      <c r="D14" s="31">
        <f>(83/12)</f>
        <v>6.916666666666667</v>
      </c>
      <c r="E14" s="31">
        <f>(66/12)</f>
        <v>5.5</v>
      </c>
      <c r="F14" s="31">
        <f>1/12/3.281</f>
        <v>2.5398760540485621E-2</v>
      </c>
      <c r="G14" s="31">
        <f t="shared" si="0"/>
        <v>0.96621118222764057</v>
      </c>
      <c r="H14" s="15"/>
      <c r="I14" s="15"/>
      <c r="J14" s="16"/>
      <c r="K14" s="15"/>
    </row>
    <row r="15" spans="1:11" x14ac:dyDescent="0.25">
      <c r="A15" s="14"/>
      <c r="B15" s="30"/>
      <c r="C15" s="15">
        <v>1</v>
      </c>
      <c r="D15" s="31">
        <v>1.2</v>
      </c>
      <c r="E15" s="31">
        <v>1.2</v>
      </c>
      <c r="F15" s="31">
        <v>2.5000000000000001E-2</v>
      </c>
      <c r="G15" s="31">
        <f t="shared" si="0"/>
        <v>3.5999999999999997E-2</v>
      </c>
      <c r="H15" s="15"/>
      <c r="I15" s="15"/>
      <c r="J15" s="16"/>
      <c r="K15" s="15"/>
    </row>
    <row r="16" spans="1:11" x14ac:dyDescent="0.25">
      <c r="A16" s="14"/>
      <c r="B16" s="30" t="s">
        <v>58</v>
      </c>
      <c r="C16" s="15">
        <v>1</v>
      </c>
      <c r="D16" s="31">
        <f>(43/12)/3.281</f>
        <v>1.0921467032408818</v>
      </c>
      <c r="E16" s="31">
        <v>1.2</v>
      </c>
      <c r="F16" s="31">
        <v>0.15</v>
      </c>
      <c r="G16" s="31">
        <f t="shared" si="0"/>
        <v>0.19658640658335871</v>
      </c>
      <c r="H16" s="15"/>
      <c r="I16" s="15"/>
      <c r="J16" s="16"/>
      <c r="K16" s="15"/>
    </row>
    <row r="17" spans="1:11" s="34" customFormat="1" x14ac:dyDescent="0.25">
      <c r="A17" s="2"/>
      <c r="B17" s="37" t="s">
        <v>35</v>
      </c>
      <c r="C17" s="3"/>
      <c r="D17" s="4"/>
      <c r="E17" s="5"/>
      <c r="F17" s="5"/>
      <c r="G17" s="36">
        <f>SUM(G10:G16)</f>
        <v>8.6549618679941744</v>
      </c>
      <c r="H17" s="7" t="s">
        <v>38</v>
      </c>
      <c r="I17" s="6">
        <v>748.9</v>
      </c>
      <c r="J17" s="36">
        <f>G17*I17</f>
        <v>6481.7009429408372</v>
      </c>
      <c r="K17" s="5"/>
    </row>
    <row r="18" spans="1:11" x14ac:dyDescent="0.25">
      <c r="A18" s="14"/>
      <c r="B18" s="30"/>
      <c r="C18" s="15"/>
      <c r="D18" s="15"/>
      <c r="E18" s="15"/>
      <c r="F18" s="15"/>
      <c r="G18" s="15"/>
      <c r="H18" s="15"/>
      <c r="I18" s="15"/>
      <c r="J18" s="16"/>
      <c r="K18" s="15"/>
    </row>
    <row r="19" spans="1:11" ht="89.25" customHeight="1" x14ac:dyDescent="0.25">
      <c r="A19" s="14">
        <v>2</v>
      </c>
      <c r="B19" s="38" t="s">
        <v>26</v>
      </c>
      <c r="C19" s="15"/>
      <c r="D19" s="15"/>
      <c r="E19" s="15"/>
      <c r="F19" s="15"/>
      <c r="G19" s="15"/>
      <c r="H19" s="15"/>
      <c r="I19" s="15"/>
      <c r="J19" s="16"/>
      <c r="K19" s="15"/>
    </row>
    <row r="20" spans="1:11" x14ac:dyDescent="0.25">
      <c r="A20" s="14"/>
      <c r="B20" s="30" t="s">
        <v>37</v>
      </c>
      <c r="C20" s="15">
        <v>1</v>
      </c>
      <c r="D20" s="31">
        <f>D31</f>
        <v>4.75</v>
      </c>
      <c r="E20" s="31">
        <f>E31</f>
        <v>0.81276033729553987</v>
      </c>
      <c r="F20" s="15">
        <v>0.15</v>
      </c>
      <c r="G20" s="31">
        <f t="shared" ref="G20:G26" si="1">PRODUCT(C20:F20)</f>
        <v>0.57909174032307209</v>
      </c>
      <c r="H20" s="15"/>
      <c r="I20" s="15"/>
      <c r="J20" s="16"/>
      <c r="K20" s="15"/>
    </row>
    <row r="21" spans="1:11" x14ac:dyDescent="0.25">
      <c r="A21" s="14"/>
      <c r="B21" s="30"/>
      <c r="C21" s="15">
        <v>1</v>
      </c>
      <c r="D21" s="31">
        <f>D33</f>
        <v>4.7888601036269431</v>
      </c>
      <c r="E21" s="31">
        <f>E33</f>
        <v>0.5</v>
      </c>
      <c r="F21" s="15">
        <v>0.15</v>
      </c>
      <c r="G21" s="31">
        <f t="shared" si="1"/>
        <v>0.35916450777202075</v>
      </c>
      <c r="H21" s="15"/>
      <c r="I21" s="15"/>
      <c r="J21" s="16"/>
      <c r="K21" s="15"/>
    </row>
    <row r="22" spans="1:11" x14ac:dyDescent="0.25">
      <c r="A22" s="14"/>
      <c r="B22" s="30" t="str">
        <f>B12</f>
        <v>-for pathway level</v>
      </c>
      <c r="C22" s="15">
        <f>C12</f>
        <v>1</v>
      </c>
      <c r="D22" s="31">
        <f>D12</f>
        <v>4</v>
      </c>
      <c r="E22" s="31">
        <f>E12</f>
        <v>1.8922076602661788</v>
      </c>
      <c r="F22" s="15">
        <v>0.15</v>
      </c>
      <c r="G22" s="31">
        <f t="shared" si="1"/>
        <v>1.1353245961597072</v>
      </c>
      <c r="H22" s="15"/>
      <c r="I22" s="15"/>
      <c r="J22" s="16"/>
      <c r="K22" s="15"/>
    </row>
    <row r="23" spans="1:11" x14ac:dyDescent="0.25">
      <c r="A23" s="14"/>
      <c r="B23" s="30"/>
      <c r="C23" s="15">
        <v>1</v>
      </c>
      <c r="D23" s="31">
        <f>D13</f>
        <v>7.4</v>
      </c>
      <c r="E23" s="31">
        <f>E13</f>
        <v>1.2699380270242813</v>
      </c>
      <c r="F23" s="15">
        <v>0.15</v>
      </c>
      <c r="G23" s="31">
        <f t="shared" si="1"/>
        <v>1.4096312099969521</v>
      </c>
      <c r="H23" s="15"/>
      <c r="I23" s="15"/>
      <c r="J23" s="16"/>
      <c r="K23" s="15"/>
    </row>
    <row r="24" spans="1:11" x14ac:dyDescent="0.25">
      <c r="A24" s="14"/>
      <c r="B24" s="30" t="str">
        <f>B14</f>
        <v>-at compound</v>
      </c>
      <c r="C24" s="15">
        <f>C14</f>
        <v>1</v>
      </c>
      <c r="D24" s="31">
        <f>D14</f>
        <v>6.916666666666667</v>
      </c>
      <c r="E24" s="31">
        <f>E14</f>
        <v>5.5</v>
      </c>
      <c r="F24" s="15">
        <v>0.15</v>
      </c>
      <c r="G24" s="31">
        <f t="shared" si="1"/>
        <v>5.7062500000000007</v>
      </c>
      <c r="H24" s="15"/>
      <c r="I24" s="15"/>
      <c r="J24" s="16"/>
      <c r="K24" s="15"/>
    </row>
    <row r="25" spans="1:11" x14ac:dyDescent="0.25">
      <c r="A25" s="14"/>
      <c r="B25" s="30"/>
      <c r="C25" s="15">
        <f>C15</f>
        <v>1</v>
      </c>
      <c r="D25" s="31">
        <f>D15</f>
        <v>1.2</v>
      </c>
      <c r="E25" s="31">
        <f>E15</f>
        <v>1.2</v>
      </c>
      <c r="F25" s="15">
        <v>0.15</v>
      </c>
      <c r="G25" s="31">
        <f t="shared" si="1"/>
        <v>0.216</v>
      </c>
      <c r="H25" s="15"/>
      <c r="I25" s="15"/>
      <c r="J25" s="16"/>
      <c r="K25" s="15"/>
    </row>
    <row r="26" spans="1:11" x14ac:dyDescent="0.25">
      <c r="A26" s="14"/>
      <c r="B26" s="30" t="str">
        <f>B16</f>
        <v>-for dhara</v>
      </c>
      <c r="C26" s="15">
        <f>C16</f>
        <v>1</v>
      </c>
      <c r="D26" s="31">
        <f>D16</f>
        <v>1.0921467032408818</v>
      </c>
      <c r="E26" s="31">
        <f>E16</f>
        <v>1.2</v>
      </c>
      <c r="F26" s="15">
        <v>0.15</v>
      </c>
      <c r="G26" s="31">
        <f t="shared" si="1"/>
        <v>0.19658640658335871</v>
      </c>
      <c r="H26" s="15"/>
      <c r="I26" s="15"/>
      <c r="J26" s="16"/>
      <c r="K26" s="15"/>
    </row>
    <row r="27" spans="1:11" s="34" customFormat="1" x14ac:dyDescent="0.25">
      <c r="A27" s="2"/>
      <c r="B27" s="37" t="s">
        <v>35</v>
      </c>
      <c r="C27" s="3"/>
      <c r="D27" s="4"/>
      <c r="E27" s="5"/>
      <c r="F27" s="5"/>
      <c r="G27" s="36">
        <f>SUM(G20:G26)</f>
        <v>9.6020484608351104</v>
      </c>
      <c r="H27" s="7" t="s">
        <v>38</v>
      </c>
      <c r="I27" s="6">
        <v>4458.5200000000004</v>
      </c>
      <c r="J27" s="36">
        <f>G27*I27</f>
        <v>42810.92510360256</v>
      </c>
      <c r="K27" s="5"/>
    </row>
    <row r="28" spans="1:11" x14ac:dyDescent="0.25">
      <c r="A28" s="14"/>
      <c r="B28" s="30" t="s">
        <v>32</v>
      </c>
      <c r="C28" s="15"/>
      <c r="D28" s="15"/>
      <c r="E28" s="15"/>
      <c r="F28" s="15"/>
      <c r="G28" s="15"/>
      <c r="H28" s="15"/>
      <c r="I28" s="15"/>
      <c r="J28" s="16">
        <f>0.13*G27*15452.64/5</f>
        <v>3857.8019513238155</v>
      </c>
      <c r="K28" s="15"/>
    </row>
    <row r="29" spans="1:11" x14ac:dyDescent="0.25">
      <c r="A29" s="14"/>
      <c r="B29" s="38"/>
      <c r="C29" s="15"/>
      <c r="D29" s="15"/>
      <c r="E29" s="15"/>
      <c r="F29" s="15"/>
      <c r="G29" s="15"/>
      <c r="H29" s="15"/>
      <c r="I29" s="15"/>
      <c r="J29" s="16"/>
      <c r="K29" s="15"/>
    </row>
    <row r="30" spans="1:11" ht="78" customHeight="1" x14ac:dyDescent="0.25">
      <c r="A30" s="14">
        <v>3</v>
      </c>
      <c r="B30" s="39" t="s">
        <v>27</v>
      </c>
      <c r="C30" s="15"/>
      <c r="D30" s="15"/>
      <c r="E30" s="15"/>
      <c r="F30" s="15"/>
      <c r="G30" s="15"/>
      <c r="H30" s="15"/>
      <c r="I30" s="15"/>
      <c r="J30" s="15"/>
      <c r="K30" s="15"/>
    </row>
    <row r="31" spans="1:11" x14ac:dyDescent="0.25">
      <c r="A31" s="14"/>
      <c r="B31" s="30" t="s">
        <v>37</v>
      </c>
      <c r="C31" s="15">
        <v>1</v>
      </c>
      <c r="D31" s="31">
        <f>D47</f>
        <v>4.75</v>
      </c>
      <c r="E31" s="31">
        <f>F47/2</f>
        <v>0.81276033729553987</v>
      </c>
      <c r="F31" s="15">
        <v>0.05</v>
      </c>
      <c r="G31" s="31">
        <f t="shared" ref="G31:G38" si="2">PRODUCT(C31:F31)</f>
        <v>0.19303058010769072</v>
      </c>
      <c r="H31" s="15"/>
      <c r="I31" s="15"/>
      <c r="J31" s="16"/>
      <c r="K31" s="15"/>
    </row>
    <row r="32" spans="1:11" x14ac:dyDescent="0.25">
      <c r="A32" s="14"/>
      <c r="B32" s="30"/>
      <c r="C32" s="15">
        <v>1</v>
      </c>
      <c r="D32" s="31">
        <f>D31</f>
        <v>4.75</v>
      </c>
      <c r="E32" s="15">
        <v>0.45</v>
      </c>
      <c r="F32" s="15">
        <v>0.05</v>
      </c>
      <c r="G32" s="31">
        <f t="shared" si="2"/>
        <v>0.10687500000000001</v>
      </c>
      <c r="H32" s="15"/>
      <c r="I32" s="15"/>
      <c r="J32" s="16"/>
      <c r="K32" s="15"/>
    </row>
    <row r="33" spans="1:16" x14ac:dyDescent="0.25">
      <c r="A33" s="14"/>
      <c r="B33" s="30"/>
      <c r="C33" s="15">
        <v>1</v>
      </c>
      <c r="D33" s="31">
        <f>D48</f>
        <v>4.7888601036269431</v>
      </c>
      <c r="E33" s="31">
        <f>E48</f>
        <v>0.5</v>
      </c>
      <c r="F33" s="15">
        <v>0.05</v>
      </c>
      <c r="G33" s="31">
        <f t="shared" si="2"/>
        <v>0.11972150259067359</v>
      </c>
      <c r="H33" s="15"/>
      <c r="I33" s="15"/>
      <c r="J33" s="16"/>
      <c r="K33" s="15"/>
    </row>
    <row r="34" spans="1:16" x14ac:dyDescent="0.25">
      <c r="A34" s="14"/>
      <c r="B34" s="30"/>
      <c r="C34" s="15">
        <v>1</v>
      </c>
      <c r="D34" s="31">
        <f>D48</f>
        <v>4.7888601036269431</v>
      </c>
      <c r="E34" s="31">
        <f>E33</f>
        <v>0.5</v>
      </c>
      <c r="F34" s="15">
        <v>0.05</v>
      </c>
      <c r="G34" s="31">
        <f t="shared" si="2"/>
        <v>0.11972150259067359</v>
      </c>
      <c r="H34" s="15"/>
      <c r="I34" s="15"/>
      <c r="J34" s="16"/>
      <c r="K34" s="15"/>
    </row>
    <row r="35" spans="1:16" x14ac:dyDescent="0.25">
      <c r="A35" s="14"/>
      <c r="B35" s="30" t="str">
        <f>B22</f>
        <v>-for pathway level</v>
      </c>
      <c r="C35" s="15">
        <f>C22</f>
        <v>1</v>
      </c>
      <c r="D35" s="31">
        <f>D22</f>
        <v>4</v>
      </c>
      <c r="E35" s="31">
        <f>E22</f>
        <v>1.8922076602661788</v>
      </c>
      <c r="F35" s="31">
        <v>0.05</v>
      </c>
      <c r="G35" s="31">
        <f t="shared" si="2"/>
        <v>0.37844153205323577</v>
      </c>
      <c r="H35" s="15"/>
      <c r="I35" s="15"/>
      <c r="J35" s="16"/>
      <c r="K35" s="15"/>
    </row>
    <row r="36" spans="1:16" x14ac:dyDescent="0.25">
      <c r="A36" s="14"/>
      <c r="B36" s="30"/>
      <c r="C36" s="15">
        <v>1</v>
      </c>
      <c r="D36" s="31">
        <f>D23</f>
        <v>7.4</v>
      </c>
      <c r="E36" s="31">
        <f>E23</f>
        <v>1.2699380270242813</v>
      </c>
      <c r="F36" s="31">
        <v>7.4999999999999997E-2</v>
      </c>
      <c r="G36" s="31">
        <f t="shared" si="2"/>
        <v>0.70481560499847606</v>
      </c>
      <c r="H36" s="15"/>
      <c r="I36" s="15"/>
      <c r="J36" s="16"/>
      <c r="K36" s="15"/>
    </row>
    <row r="37" spans="1:16" x14ac:dyDescent="0.25">
      <c r="A37" s="14"/>
      <c r="B37" s="30" t="str">
        <f>B26</f>
        <v>-for dhara</v>
      </c>
      <c r="C37" s="15">
        <f>C26</f>
        <v>1</v>
      </c>
      <c r="D37" s="31">
        <f>D26</f>
        <v>1.0921467032408818</v>
      </c>
      <c r="E37" s="31">
        <f>E26</f>
        <v>1.2</v>
      </c>
      <c r="F37" s="31">
        <v>0.05</v>
      </c>
      <c r="G37" s="31">
        <f t="shared" si="2"/>
        <v>6.5528802194452909E-2</v>
      </c>
      <c r="H37" s="15"/>
      <c r="I37" s="15"/>
      <c r="J37" s="16"/>
      <c r="K37" s="15"/>
    </row>
    <row r="38" spans="1:16" x14ac:dyDescent="0.25">
      <c r="A38" s="14"/>
      <c r="B38" s="30"/>
      <c r="C38" s="15">
        <v>1</v>
      </c>
      <c r="D38" s="31">
        <f>((43/12)+4+4)/3.281</f>
        <v>3.5304277151275016</v>
      </c>
      <c r="E38" s="31">
        <v>0.15</v>
      </c>
      <c r="F38" s="31">
        <v>0.15</v>
      </c>
      <c r="G38" s="31">
        <f t="shared" si="2"/>
        <v>7.9434623590368778E-2</v>
      </c>
      <c r="H38" s="15"/>
      <c r="I38" s="15"/>
      <c r="J38" s="16"/>
      <c r="K38" s="15"/>
    </row>
    <row r="39" spans="1:16" s="34" customFormat="1" x14ac:dyDescent="0.25">
      <c r="A39" s="2"/>
      <c r="B39" s="37" t="s">
        <v>35</v>
      </c>
      <c r="C39" s="3"/>
      <c r="D39" s="4"/>
      <c r="E39" s="5"/>
      <c r="F39" s="5"/>
      <c r="G39" s="36">
        <f>SUM(G31:G38)</f>
        <v>1.7675691481255715</v>
      </c>
      <c r="H39" s="7" t="s">
        <v>38</v>
      </c>
      <c r="I39" s="6">
        <v>10964.46</v>
      </c>
      <c r="J39" s="36">
        <f>G39*I39</f>
        <v>19380.441221856901</v>
      </c>
      <c r="K39" s="5"/>
    </row>
    <row r="40" spans="1:16" x14ac:dyDescent="0.25">
      <c r="A40" s="14"/>
      <c r="B40" s="30" t="s">
        <v>28</v>
      </c>
      <c r="C40" s="15"/>
      <c r="D40" s="15"/>
      <c r="E40" s="15"/>
      <c r="F40" s="15"/>
      <c r="G40" s="15"/>
      <c r="H40" s="15"/>
      <c r="I40" s="15"/>
      <c r="J40" s="16">
        <f>0.13*G39*53818.03/15</f>
        <v>824.4347751544359</v>
      </c>
      <c r="K40" s="15"/>
    </row>
    <row r="41" spans="1:16" x14ac:dyDescent="0.25">
      <c r="A41" s="14"/>
      <c r="B41" s="30" t="s">
        <v>29</v>
      </c>
      <c r="C41" s="15"/>
      <c r="D41" s="15"/>
      <c r="E41" s="15"/>
      <c r="F41" s="15"/>
      <c r="G41" s="15"/>
      <c r="H41" s="15"/>
      <c r="I41" s="15"/>
      <c r="J41" s="16">
        <f>0.13*G39*21432.6/15</f>
        <v>328.32455520900641</v>
      </c>
      <c r="K41" s="15"/>
    </row>
    <row r="42" spans="1:16" x14ac:dyDescent="0.25">
      <c r="A42" s="14"/>
      <c r="B42" s="30" t="s">
        <v>30</v>
      </c>
      <c r="C42" s="15"/>
      <c r="D42" s="15"/>
      <c r="E42" s="15"/>
      <c r="F42" s="15"/>
      <c r="G42" s="15"/>
      <c r="H42" s="15"/>
      <c r="I42" s="15"/>
      <c r="J42" s="16">
        <f>0.13*G39*(25719.12+13573.98+4286.52)/15</f>
        <v>667.59326225831308</v>
      </c>
      <c r="K42" s="15"/>
    </row>
    <row r="43" spans="1:16" x14ac:dyDescent="0.25">
      <c r="A43" s="14"/>
      <c r="B43" s="30" t="s">
        <v>39</v>
      </c>
      <c r="C43" s="15"/>
      <c r="D43" s="15"/>
      <c r="E43" s="15"/>
      <c r="F43" s="15"/>
      <c r="G43" s="15"/>
      <c r="H43" s="15"/>
      <c r="I43" s="15"/>
      <c r="J43" s="16">
        <f>0.13*G39*(6325.7/15)</f>
        <v>96.90297205591537</v>
      </c>
      <c r="K43" s="15"/>
    </row>
    <row r="44" spans="1:16" x14ac:dyDescent="0.25">
      <c r="A44" s="14"/>
      <c r="B44" s="30" t="s">
        <v>33</v>
      </c>
      <c r="C44" s="15"/>
      <c r="D44" s="15"/>
      <c r="E44" s="15"/>
      <c r="F44" s="15"/>
      <c r="G44" s="15"/>
      <c r="H44" s="15"/>
      <c r="I44" s="15"/>
      <c r="J44" s="16">
        <f>0.13*G39*(310)/5</f>
        <v>14.246607333892106</v>
      </c>
      <c r="K44" s="15"/>
    </row>
    <row r="45" spans="1:16" x14ac:dyDescent="0.25">
      <c r="A45" s="14"/>
      <c r="B45" s="30"/>
      <c r="C45" s="15"/>
      <c r="D45" s="15"/>
      <c r="E45" s="15"/>
      <c r="F45" s="15"/>
      <c r="G45" s="15"/>
      <c r="H45" s="15"/>
      <c r="I45" s="15"/>
      <c r="J45" s="16"/>
      <c r="K45" s="15"/>
    </row>
    <row r="46" spans="1:16" ht="110.25" x14ac:dyDescent="0.25">
      <c r="A46" s="14">
        <v>4</v>
      </c>
      <c r="B46" s="39" t="s">
        <v>31</v>
      </c>
      <c r="C46" s="15"/>
      <c r="D46" s="15"/>
      <c r="E46" s="15"/>
      <c r="F46" s="15"/>
      <c r="G46" s="15"/>
      <c r="H46" s="15"/>
      <c r="I46" s="15"/>
      <c r="J46" s="15"/>
      <c r="K46" s="15"/>
    </row>
    <row r="47" spans="1:16" x14ac:dyDescent="0.25">
      <c r="A47" s="14"/>
      <c r="B47" s="30" t="s">
        <v>37</v>
      </c>
      <c r="C47" s="15">
        <v>1</v>
      </c>
      <c r="D47" s="31">
        <v>4.75</v>
      </c>
      <c r="E47" s="31">
        <f>((F47/2)+0.45)/2</f>
        <v>0.63138016864776991</v>
      </c>
      <c r="F47" s="31">
        <f>64/12/3.281</f>
        <v>1.6255206745910797</v>
      </c>
      <c r="G47" s="31">
        <f>PRODUCT(C47:F47)</f>
        <v>4.875027208902825</v>
      </c>
      <c r="H47" s="15"/>
      <c r="I47" s="15"/>
      <c r="J47" s="15"/>
      <c r="K47" s="15"/>
      <c r="M47" s="31">
        <f>7</f>
        <v>7</v>
      </c>
      <c r="N47" s="31">
        <f>2</f>
        <v>2</v>
      </c>
      <c r="O47" s="31"/>
      <c r="P47" s="31">
        <f>PI()*M47*SQRT(M47^2+N47^2)</f>
        <v>160.09797821843054</v>
      </c>
    </row>
    <row r="48" spans="1:16" x14ac:dyDescent="0.25">
      <c r="A48" s="14"/>
      <c r="B48" s="30"/>
      <c r="C48" s="15">
        <v>1</v>
      </c>
      <c r="D48" s="31">
        <f>(8.33/3.281)+1.75+1.5-1</f>
        <v>4.7888601036269431</v>
      </c>
      <c r="E48" s="31">
        <v>0.5</v>
      </c>
      <c r="F48" s="31">
        <f>28/12/3.281</f>
        <v>0.7111652951335975</v>
      </c>
      <c r="G48" s="31">
        <f>PRODUCT(C48:F48)</f>
        <v>1.7028355544746827</v>
      </c>
      <c r="H48" s="15"/>
      <c r="I48" s="15"/>
      <c r="J48" s="15"/>
      <c r="K48" s="15"/>
      <c r="M48" s="33"/>
      <c r="N48" s="33"/>
      <c r="O48" s="33"/>
      <c r="P48" s="33"/>
    </row>
    <row r="49" spans="1:11" ht="15" customHeight="1" x14ac:dyDescent="0.25">
      <c r="A49" s="2"/>
      <c r="B49" s="32" t="s">
        <v>16</v>
      </c>
      <c r="C49" s="3"/>
      <c r="D49" s="4"/>
      <c r="E49" s="5"/>
      <c r="F49" s="5"/>
      <c r="G49" s="6">
        <f>SUM(G47:G48)</f>
        <v>6.5778627633775075</v>
      </c>
      <c r="H49" s="7" t="s">
        <v>38</v>
      </c>
      <c r="I49" s="6">
        <v>8987.83</v>
      </c>
      <c r="J49" s="16">
        <f>G49*I49</f>
        <v>59120.712280567262</v>
      </c>
      <c r="K49" s="5"/>
    </row>
    <row r="50" spans="1:11" x14ac:dyDescent="0.25">
      <c r="A50" s="14"/>
      <c r="B50" s="30" t="s">
        <v>28</v>
      </c>
      <c r="C50" s="15"/>
      <c r="D50" s="15"/>
      <c r="E50" s="15"/>
      <c r="F50" s="15"/>
      <c r="G50" s="15"/>
      <c r="H50" s="15"/>
      <c r="I50" s="15"/>
      <c r="J50" s="16">
        <f>0.13*G49*(5863.95)/5</f>
        <v>1002.8787171339958</v>
      </c>
      <c r="K50" s="15"/>
    </row>
    <row r="51" spans="1:11" x14ac:dyDescent="0.25">
      <c r="A51" s="14"/>
      <c r="B51" s="30" t="s">
        <v>29</v>
      </c>
      <c r="C51" s="15"/>
      <c r="D51" s="15"/>
      <c r="E51" s="15"/>
      <c r="F51" s="15"/>
      <c r="G51" s="15"/>
      <c r="H51" s="15"/>
      <c r="I51" s="15"/>
      <c r="J51" s="16">
        <f>0.13*G49*(6604.416)/5</f>
        <v>1129.5164940866202</v>
      </c>
      <c r="K51" s="15"/>
    </row>
    <row r="52" spans="1:11" x14ac:dyDescent="0.25">
      <c r="A52" s="14"/>
      <c r="B52" s="30" t="s">
        <v>32</v>
      </c>
      <c r="C52" s="15"/>
      <c r="D52" s="15"/>
      <c r="E52" s="15"/>
      <c r="F52" s="15"/>
      <c r="G52" s="15"/>
      <c r="H52" s="15"/>
      <c r="I52" s="15"/>
      <c r="J52" s="16">
        <f>0.13*G49*(14808.78)/5</f>
        <v>2532.6631858592891</v>
      </c>
      <c r="K52" s="15"/>
    </row>
    <row r="53" spans="1:11" x14ac:dyDescent="0.25">
      <c r="A53" s="14"/>
      <c r="B53" s="30" t="s">
        <v>33</v>
      </c>
      <c r="C53" s="15"/>
      <c r="D53" s="15"/>
      <c r="E53" s="15"/>
      <c r="F53" s="15"/>
      <c r="G53" s="15"/>
      <c r="H53" s="15"/>
      <c r="I53" s="15"/>
      <c r="J53" s="16">
        <f>0.13*G49*(310)/5</f>
        <v>53.017573872822709</v>
      </c>
      <c r="K53" s="15"/>
    </row>
    <row r="54" spans="1:11" x14ac:dyDescent="0.25">
      <c r="A54" s="14"/>
      <c r="B54" s="30"/>
      <c r="C54" s="15"/>
      <c r="D54" s="15"/>
      <c r="E54" s="15"/>
      <c r="F54" s="15"/>
      <c r="G54" s="15"/>
      <c r="H54" s="15"/>
      <c r="I54" s="15"/>
      <c r="J54" s="16"/>
      <c r="K54" s="15"/>
    </row>
    <row r="55" spans="1:11" ht="30.75" x14ac:dyDescent="0.25">
      <c r="A55" s="14">
        <v>5</v>
      </c>
      <c r="B55" s="89" t="s">
        <v>62</v>
      </c>
      <c r="C55" s="15"/>
      <c r="D55" s="15"/>
      <c r="E55" s="15"/>
      <c r="F55" s="15"/>
      <c r="G55" s="15"/>
      <c r="H55" s="15"/>
      <c r="I55" s="15"/>
      <c r="J55" s="16"/>
      <c r="K55" s="15"/>
    </row>
    <row r="56" spans="1:11" x14ac:dyDescent="0.25">
      <c r="A56" s="14"/>
      <c r="B56" s="30" t="s">
        <v>63</v>
      </c>
      <c r="C56" s="15">
        <v>1</v>
      </c>
      <c r="D56" s="31">
        <f>(62-35)/12/3.281</f>
        <v>0.68576653459311188</v>
      </c>
      <c r="E56" s="31">
        <v>0.23</v>
      </c>
      <c r="F56" s="31">
        <f>0.5</f>
        <v>0.5</v>
      </c>
      <c r="G56" s="31">
        <f>PRODUCT(C56:F56)</f>
        <v>7.8863151478207869E-2</v>
      </c>
      <c r="H56" s="15"/>
      <c r="I56" s="15"/>
      <c r="J56" s="16"/>
      <c r="K56" s="15"/>
    </row>
    <row r="57" spans="1:11" x14ac:dyDescent="0.25">
      <c r="A57" s="14"/>
      <c r="B57" s="30"/>
      <c r="C57" s="15">
        <v>1</v>
      </c>
      <c r="D57" s="31">
        <f>35/12/3.281</f>
        <v>0.88895661891699673</v>
      </c>
      <c r="E57" s="31">
        <v>0.23</v>
      </c>
      <c r="F57" s="31">
        <f>18/12/3.281</f>
        <v>0.45717768972874123</v>
      </c>
      <c r="G57" s="31">
        <f>PRODUCT(C57:F57)</f>
        <v>9.3474560660275499E-2</v>
      </c>
      <c r="H57" s="15"/>
      <c r="I57" s="15"/>
      <c r="J57" s="16"/>
      <c r="K57" s="15"/>
    </row>
    <row r="58" spans="1:11" ht="15" customHeight="1" x14ac:dyDescent="0.25">
      <c r="A58" s="2"/>
      <c r="B58" s="32" t="s">
        <v>16</v>
      </c>
      <c r="C58" s="3"/>
      <c r="D58" s="4"/>
      <c r="E58" s="5"/>
      <c r="F58" s="5"/>
      <c r="G58" s="6">
        <f>SUM(G56:G57)</f>
        <v>0.17233771213848337</v>
      </c>
      <c r="H58" s="7" t="s">
        <v>38</v>
      </c>
      <c r="I58" s="6">
        <v>14491.84</v>
      </c>
      <c r="J58" s="16">
        <f>G58*I58</f>
        <v>2497.4905502769589</v>
      </c>
      <c r="K58" s="5"/>
    </row>
    <row r="59" spans="1:11" x14ac:dyDescent="0.25">
      <c r="A59" s="14"/>
      <c r="B59" s="30" t="s">
        <v>28</v>
      </c>
      <c r="C59" s="15"/>
      <c r="D59" s="15"/>
      <c r="E59" s="15"/>
      <c r="F59" s="15"/>
      <c r="G59" s="15"/>
      <c r="H59" s="15"/>
      <c r="I59" s="15"/>
      <c r="J59" s="16">
        <f>0.13*G58*912.17</f>
        <v>20.436167814576848</v>
      </c>
      <c r="K59" s="15"/>
    </row>
    <row r="60" spans="1:11" x14ac:dyDescent="0.25">
      <c r="A60" s="14"/>
      <c r="B60" s="30" t="s">
        <v>29</v>
      </c>
      <c r="C60" s="15"/>
      <c r="D60" s="15"/>
      <c r="E60" s="15"/>
      <c r="F60" s="15"/>
      <c r="G60" s="15"/>
      <c r="H60" s="15"/>
      <c r="I60" s="15"/>
      <c r="J60" s="16">
        <f>0.13*G58*953.37</f>
        <v>21.359208600790566</v>
      </c>
      <c r="K60" s="15"/>
    </row>
    <row r="61" spans="1:11" x14ac:dyDescent="0.25">
      <c r="A61" s="14"/>
      <c r="B61" s="30" t="s">
        <v>41</v>
      </c>
      <c r="C61" s="15"/>
      <c r="D61" s="15"/>
      <c r="E61" s="15"/>
      <c r="F61" s="15"/>
      <c r="G61" s="15"/>
      <c r="H61" s="15"/>
      <c r="I61" s="15"/>
      <c r="J61" s="16">
        <f>0.13*G58*(8481.2)</f>
        <v>190.01197854455771</v>
      </c>
      <c r="K61" s="15"/>
    </row>
    <row r="62" spans="1:11" x14ac:dyDescent="0.25">
      <c r="A62" s="14"/>
      <c r="B62" s="30" t="s">
        <v>33</v>
      </c>
      <c r="C62" s="15"/>
      <c r="D62" s="15"/>
      <c r="E62" s="15"/>
      <c r="F62" s="15"/>
      <c r="G62" s="15"/>
      <c r="H62" s="15"/>
      <c r="I62" s="15"/>
      <c r="J62" s="16">
        <f>0.13*G58*28</f>
        <v>0.6273092721840795</v>
      </c>
      <c r="K62" s="15"/>
    </row>
    <row r="63" spans="1:11" x14ac:dyDescent="0.25">
      <c r="A63" s="14"/>
      <c r="B63" s="30"/>
      <c r="C63" s="15"/>
      <c r="D63" s="15"/>
      <c r="E63" s="15"/>
      <c r="F63" s="15"/>
      <c r="G63" s="15"/>
      <c r="H63" s="15"/>
      <c r="I63" s="15"/>
      <c r="J63" s="16"/>
      <c r="K63" s="15"/>
    </row>
    <row r="64" spans="1:11" ht="30.75" x14ac:dyDescent="0.25">
      <c r="A64" s="14">
        <v>6</v>
      </c>
      <c r="B64" s="89" t="s">
        <v>64</v>
      </c>
      <c r="C64" s="15"/>
      <c r="D64" s="15"/>
      <c r="E64" s="15"/>
      <c r="F64" s="15"/>
      <c r="G64" s="15"/>
      <c r="H64" s="15"/>
      <c r="I64" s="15"/>
      <c r="J64" s="16"/>
      <c r="K64" s="15"/>
    </row>
    <row r="65" spans="1:11" x14ac:dyDescent="0.25">
      <c r="A65" s="14"/>
      <c r="B65" s="30" t="s">
        <v>63</v>
      </c>
      <c r="C65" s="15">
        <v>2</v>
      </c>
      <c r="D65" s="31">
        <f>(62-35)/12/3.281</f>
        <v>0.68576653459311188</v>
      </c>
      <c r="E65" s="31"/>
      <c r="F65" s="31">
        <f>0.5</f>
        <v>0.5</v>
      </c>
      <c r="G65" s="31">
        <f>PRODUCT(C65:F65)</f>
        <v>0.68576653459311188</v>
      </c>
      <c r="H65" s="15"/>
      <c r="I65" s="15"/>
      <c r="J65" s="16"/>
      <c r="K65" s="15"/>
    </row>
    <row r="66" spans="1:11" x14ac:dyDescent="0.25">
      <c r="A66" s="14"/>
      <c r="B66" s="30"/>
      <c r="C66" s="15">
        <v>2</v>
      </c>
      <c r="D66" s="31">
        <f>35/12/3.281</f>
        <v>0.88895661891699673</v>
      </c>
      <c r="E66" s="31"/>
      <c r="F66" s="31">
        <f>18/12/3.281</f>
        <v>0.45717768972874123</v>
      </c>
      <c r="G66" s="31">
        <f>PRODUCT(C66:F66)</f>
        <v>0.81282226661109114</v>
      </c>
      <c r="H66" s="15"/>
      <c r="I66" s="15"/>
      <c r="J66" s="16"/>
      <c r="K66" s="15"/>
    </row>
    <row r="67" spans="1:11" ht="15" customHeight="1" x14ac:dyDescent="0.25">
      <c r="A67" s="2"/>
      <c r="B67" s="32" t="s">
        <v>16</v>
      </c>
      <c r="C67" s="3"/>
      <c r="D67" s="4"/>
      <c r="E67" s="5"/>
      <c r="F67" s="5"/>
      <c r="G67" s="6">
        <f>SUM(G65:G66)</f>
        <v>1.498588801204203</v>
      </c>
      <c r="H67" s="7" t="s">
        <v>36</v>
      </c>
      <c r="I67" s="6">
        <v>415.5</v>
      </c>
      <c r="J67" s="16">
        <f>G67*I67</f>
        <v>622.66364690034641</v>
      </c>
      <c r="K67" s="5"/>
    </row>
    <row r="68" spans="1:11" x14ac:dyDescent="0.25">
      <c r="A68" s="14"/>
      <c r="B68" s="30" t="s">
        <v>28</v>
      </c>
      <c r="C68" s="15"/>
      <c r="D68" s="15"/>
      <c r="E68" s="15"/>
      <c r="F68" s="15"/>
      <c r="G68" s="15"/>
      <c r="H68" s="15"/>
      <c r="I68" s="15"/>
      <c r="J68" s="16">
        <f>0.13*G67*7010.67/100</f>
        <v>13.657945016219751</v>
      </c>
      <c r="K68" s="15"/>
    </row>
    <row r="69" spans="1:11" x14ac:dyDescent="0.25">
      <c r="A69" s="14"/>
      <c r="B69" s="30" t="s">
        <v>29</v>
      </c>
      <c r="C69" s="15"/>
      <c r="D69" s="15"/>
      <c r="E69" s="15"/>
      <c r="F69" s="15"/>
      <c r="G69" s="15"/>
      <c r="H69" s="15"/>
      <c r="I69" s="15"/>
      <c r="J69" s="16">
        <f>0.13*G67*4639.73/100</f>
        <v>9.0389616441945293</v>
      </c>
      <c r="K69" s="15"/>
    </row>
    <row r="70" spans="1:11" x14ac:dyDescent="0.25">
      <c r="A70" s="14"/>
      <c r="B70" s="30"/>
      <c r="C70" s="15"/>
      <c r="D70" s="15"/>
      <c r="E70" s="15"/>
      <c r="F70" s="15"/>
      <c r="G70" s="15"/>
      <c r="H70" s="15"/>
      <c r="I70" s="15"/>
      <c r="J70" s="16"/>
      <c r="K70" s="15"/>
    </row>
    <row r="71" spans="1:11" ht="30.75" x14ac:dyDescent="0.25">
      <c r="A71" s="14">
        <v>7</v>
      </c>
      <c r="B71" s="89" t="s">
        <v>65</v>
      </c>
      <c r="C71" s="15"/>
      <c r="D71" s="15"/>
      <c r="E71" s="15"/>
      <c r="F71" s="15"/>
      <c r="G71" s="15"/>
      <c r="H71" s="15"/>
      <c r="I71" s="15"/>
      <c r="J71" s="16"/>
      <c r="K71" s="15"/>
    </row>
    <row r="72" spans="1:11" x14ac:dyDescent="0.25">
      <c r="A72" s="14"/>
      <c r="B72" s="30" t="s">
        <v>63</v>
      </c>
      <c r="C72" s="15">
        <v>2</v>
      </c>
      <c r="D72" s="31">
        <f>(62-35)/12/3.281</f>
        <v>0.68576653459311188</v>
      </c>
      <c r="E72" s="31"/>
      <c r="F72" s="31">
        <f>0.5</f>
        <v>0.5</v>
      </c>
      <c r="G72" s="31">
        <f>PRODUCT(C72:F72)</f>
        <v>0.68576653459311188</v>
      </c>
      <c r="H72" s="15"/>
      <c r="I72" s="15"/>
      <c r="J72" s="16"/>
      <c r="K72" s="15"/>
    </row>
    <row r="73" spans="1:11" x14ac:dyDescent="0.25">
      <c r="A73" s="14"/>
      <c r="B73" s="30"/>
      <c r="C73" s="15">
        <v>2</v>
      </c>
      <c r="D73" s="31">
        <f>35/12/3.281</f>
        <v>0.88895661891699673</v>
      </c>
      <c r="E73" s="31"/>
      <c r="F73" s="31">
        <f>18/12/3.281</f>
        <v>0.45717768972874123</v>
      </c>
      <c r="G73" s="31">
        <f>PRODUCT(C73:F73)</f>
        <v>0.81282226661109114</v>
      </c>
      <c r="H73" s="15"/>
      <c r="I73" s="15"/>
      <c r="J73" s="16"/>
      <c r="K73" s="15"/>
    </row>
    <row r="74" spans="1:11" ht="15" customHeight="1" x14ac:dyDescent="0.25">
      <c r="A74" s="2"/>
      <c r="B74" s="32" t="s">
        <v>16</v>
      </c>
      <c r="C74" s="3"/>
      <c r="D74" s="4"/>
      <c r="E74" s="5"/>
      <c r="F74" s="5"/>
      <c r="G74" s="6">
        <f>SUM(G72:G73)</f>
        <v>1.498588801204203</v>
      </c>
      <c r="H74" s="7" t="s">
        <v>36</v>
      </c>
      <c r="I74" s="6">
        <v>287.32</v>
      </c>
      <c r="J74" s="16">
        <f>G74*I74</f>
        <v>430.5745343619916</v>
      </c>
      <c r="K74" s="5"/>
    </row>
    <row r="75" spans="1:11" x14ac:dyDescent="0.25">
      <c r="A75" s="14"/>
      <c r="B75" s="30" t="s">
        <v>28</v>
      </c>
      <c r="C75" s="15"/>
      <c r="D75" s="15"/>
      <c r="E75" s="15"/>
      <c r="F75" s="15"/>
      <c r="G75" s="15"/>
      <c r="H75" s="15"/>
      <c r="I75" s="15"/>
      <c r="J75" s="16">
        <f>0.13*G74*693.24/10</f>
        <v>13.505462107108423</v>
      </c>
      <c r="K75" s="15"/>
    </row>
    <row r="76" spans="1:11" x14ac:dyDescent="0.25">
      <c r="A76" s="14"/>
      <c r="B76" s="30"/>
      <c r="C76" s="15"/>
      <c r="D76" s="15"/>
      <c r="E76" s="15"/>
      <c r="F76" s="15"/>
      <c r="G76" s="15"/>
      <c r="H76" s="15"/>
      <c r="I76" s="15"/>
      <c r="J76" s="16"/>
      <c r="K76" s="15"/>
    </row>
    <row r="77" spans="1:11" ht="15" customHeight="1" x14ac:dyDescent="0.25">
      <c r="A77" s="14">
        <v>8</v>
      </c>
      <c r="B77" s="1" t="s">
        <v>60</v>
      </c>
      <c r="C77" s="15">
        <v>1</v>
      </c>
      <c r="D77" s="4"/>
      <c r="E77" s="5"/>
      <c r="F77" s="5"/>
      <c r="G77" s="31">
        <f>PRODUCT(C77:F77)</f>
        <v>1</v>
      </c>
      <c r="H77" s="7" t="s">
        <v>61</v>
      </c>
      <c r="I77" s="6">
        <v>2000</v>
      </c>
      <c r="J77" s="16">
        <f>G77*I77</f>
        <v>2000</v>
      </c>
      <c r="K77" s="5"/>
    </row>
    <row r="78" spans="1:11" ht="15" customHeight="1" x14ac:dyDescent="0.25">
      <c r="A78" s="2"/>
      <c r="B78" s="32"/>
      <c r="C78" s="3"/>
      <c r="D78" s="4"/>
      <c r="E78" s="5"/>
      <c r="F78" s="5"/>
      <c r="G78" s="6"/>
      <c r="H78" s="7"/>
      <c r="I78" s="6"/>
      <c r="J78" s="16"/>
      <c r="K78" s="5"/>
    </row>
    <row r="79" spans="1:11" ht="15" customHeight="1" x14ac:dyDescent="0.25">
      <c r="A79" s="2">
        <v>9</v>
      </c>
      <c r="B79" s="1" t="s">
        <v>17</v>
      </c>
      <c r="C79" s="88">
        <v>1</v>
      </c>
      <c r="D79" s="4"/>
      <c r="E79" s="5"/>
      <c r="F79" s="5"/>
      <c r="G79" s="7">
        <f t="shared" ref="G79" si="3">PRODUCT(C79:F79)</f>
        <v>1</v>
      </c>
      <c r="H79" s="7" t="s">
        <v>18</v>
      </c>
      <c r="I79" s="6">
        <v>500</v>
      </c>
      <c r="J79" s="7">
        <f>G79*I79</f>
        <v>500</v>
      </c>
      <c r="K79" s="5"/>
    </row>
    <row r="80" spans="1:11" x14ac:dyDescent="0.25">
      <c r="A80" s="2"/>
      <c r="B80" s="8"/>
      <c r="C80" s="3"/>
      <c r="D80" s="4"/>
      <c r="E80" s="5"/>
      <c r="F80" s="5"/>
      <c r="G80" s="6"/>
      <c r="H80" s="7"/>
      <c r="I80" s="6"/>
      <c r="J80" s="16"/>
      <c r="K80" s="5"/>
    </row>
    <row r="81" spans="1:19" x14ac:dyDescent="0.25">
      <c r="A81" s="19"/>
      <c r="B81" s="20" t="s">
        <v>20</v>
      </c>
      <c r="C81" s="21"/>
      <c r="D81" s="22"/>
      <c r="E81" s="22"/>
      <c r="F81" s="22"/>
      <c r="G81" s="16"/>
      <c r="H81" s="16"/>
      <c r="I81" s="16"/>
      <c r="J81" s="16">
        <f>SUM(J9:J79)</f>
        <v>144620.52540779463</v>
      </c>
      <c r="K81" s="23"/>
    </row>
    <row r="82" spans="1:19" x14ac:dyDescent="0.25">
      <c r="M82" s="18"/>
      <c r="N82" s="18"/>
      <c r="O82" s="18"/>
      <c r="P82" s="18"/>
      <c r="Q82" s="18"/>
      <c r="R82" s="18"/>
      <c r="S82" s="18"/>
    </row>
    <row r="83" spans="1:19" s="18" customFormat="1" x14ac:dyDescent="0.25">
      <c r="A83" s="24"/>
      <c r="B83" s="25" t="s">
        <v>69</v>
      </c>
      <c r="C83" s="62">
        <f>J81</f>
        <v>144620.52540779463</v>
      </c>
      <c r="D83" s="63"/>
      <c r="E83" s="9">
        <v>100</v>
      </c>
      <c r="F83" s="24"/>
      <c r="G83" s="26"/>
      <c r="H83" s="24"/>
      <c r="I83" s="27"/>
      <c r="J83" s="28"/>
      <c r="K83" s="29"/>
      <c r="M83" s="17"/>
      <c r="N83" s="17"/>
      <c r="O83" s="17"/>
      <c r="P83" s="17"/>
      <c r="Q83" s="17"/>
      <c r="R83" s="17"/>
      <c r="S83" s="17"/>
    </row>
    <row r="84" spans="1:19" x14ac:dyDescent="0.25">
      <c r="B84" s="25" t="s">
        <v>21</v>
      </c>
      <c r="C84" s="66">
        <v>700000</v>
      </c>
      <c r="D84" s="67"/>
      <c r="E84" s="9"/>
    </row>
    <row r="85" spans="1:19" x14ac:dyDescent="0.25">
      <c r="B85" s="25" t="s">
        <v>22</v>
      </c>
      <c r="C85" s="66">
        <f>C84-C87-C88</f>
        <v>665000</v>
      </c>
      <c r="D85" s="67"/>
      <c r="E85" s="9">
        <f>C85/C83*100</f>
        <v>459.8240796905294</v>
      </c>
    </row>
    <row r="86" spans="1:19" x14ac:dyDescent="0.25">
      <c r="B86" s="25" t="s">
        <v>34</v>
      </c>
      <c r="C86" s="68">
        <f>C83-C85</f>
        <v>-520379.47459220537</v>
      </c>
      <c r="D86" s="68"/>
      <c r="E86" s="9">
        <f>100-E85</f>
        <v>-359.8240796905294</v>
      </c>
    </row>
    <row r="87" spans="1:19" x14ac:dyDescent="0.25">
      <c r="B87" s="25" t="s">
        <v>23</v>
      </c>
      <c r="C87" s="62">
        <f>C84*0.03</f>
        <v>21000</v>
      </c>
      <c r="D87" s="63"/>
      <c r="E87" s="9">
        <v>3</v>
      </c>
    </row>
    <row r="88" spans="1:19" x14ac:dyDescent="0.25">
      <c r="B88" s="25" t="s">
        <v>24</v>
      </c>
      <c r="C88" s="62">
        <f>C84*0.02</f>
        <v>14000</v>
      </c>
      <c r="D88" s="63"/>
      <c r="E88" s="9">
        <v>2</v>
      </c>
    </row>
  </sheetData>
  <mergeCells count="15">
    <mergeCell ref="A6:F6"/>
    <mergeCell ref="H6:K6"/>
    <mergeCell ref="A1:K1"/>
    <mergeCell ref="A2:K2"/>
    <mergeCell ref="A3:K3"/>
    <mergeCell ref="A4:K4"/>
    <mergeCell ref="A5:K5"/>
    <mergeCell ref="C87:D87"/>
    <mergeCell ref="C88:D88"/>
    <mergeCell ref="A7:F7"/>
    <mergeCell ref="H7:K7"/>
    <mergeCell ref="C83:D83"/>
    <mergeCell ref="C84:D84"/>
    <mergeCell ref="C85:D85"/>
    <mergeCell ref="C86:D8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3EC4A-3E73-461E-A675-1CA7186D5D53}">
  <dimension ref="A1:Q65"/>
  <sheetViews>
    <sheetView tabSelected="1" view="pageBreakPreview" topLeftCell="A54" zoomScale="95" zoomScaleNormal="90" zoomScaleSheetLayoutView="95" workbookViewId="0">
      <selection activeCell="G63" sqref="G63"/>
    </sheetView>
  </sheetViews>
  <sheetFormatPr defaultColWidth="9.140625" defaultRowHeight="15" x14ac:dyDescent="0.25"/>
  <cols>
    <col min="1" max="1" width="4.7109375" style="17" customWidth="1"/>
    <col min="2" max="2" width="30.85546875" style="17" customWidth="1"/>
    <col min="3" max="3" width="4.42578125" style="17" bestFit="1" customWidth="1"/>
    <col min="4" max="4" width="8.42578125" style="17" customWidth="1"/>
    <col min="5" max="5" width="8.5703125" style="17" customWidth="1"/>
    <col min="6" max="6" width="7.28515625" style="17" customWidth="1"/>
    <col min="7" max="7" width="9.140625" style="17"/>
    <col min="8" max="8" width="5" style="17" bestFit="1" customWidth="1"/>
    <col min="9" max="10" width="9.140625" style="17"/>
    <col min="11" max="14" width="0" style="17" hidden="1" customWidth="1"/>
    <col min="15" max="16384" width="9.140625" style="17"/>
  </cols>
  <sheetData>
    <row r="1" spans="1:9" x14ac:dyDescent="0.25">
      <c r="A1" s="71" t="s">
        <v>0</v>
      </c>
      <c r="B1" s="71"/>
      <c r="C1" s="71"/>
      <c r="D1" s="71"/>
      <c r="E1" s="71"/>
      <c r="F1" s="71"/>
      <c r="G1" s="71"/>
      <c r="H1" s="71"/>
      <c r="I1" s="71"/>
    </row>
    <row r="2" spans="1:9" ht="22.5" x14ac:dyDescent="0.25">
      <c r="A2" s="72" t="s">
        <v>1</v>
      </c>
      <c r="B2" s="72"/>
      <c r="C2" s="72"/>
      <c r="D2" s="72"/>
      <c r="E2" s="72"/>
      <c r="F2" s="72"/>
      <c r="G2" s="72"/>
      <c r="H2" s="72"/>
      <c r="I2" s="72"/>
    </row>
    <row r="3" spans="1:9" x14ac:dyDescent="0.25">
      <c r="A3" s="73" t="s">
        <v>2</v>
      </c>
      <c r="B3" s="73"/>
      <c r="C3" s="73"/>
      <c r="D3" s="73"/>
      <c r="E3" s="73"/>
      <c r="F3" s="73"/>
      <c r="G3" s="73"/>
      <c r="H3" s="73"/>
      <c r="I3" s="73"/>
    </row>
    <row r="4" spans="1:9" x14ac:dyDescent="0.25">
      <c r="A4" s="73" t="s">
        <v>3</v>
      </c>
      <c r="B4" s="73"/>
      <c r="C4" s="73"/>
      <c r="D4" s="73"/>
      <c r="E4" s="73"/>
      <c r="F4" s="73"/>
      <c r="G4" s="73"/>
      <c r="H4" s="73"/>
      <c r="I4" s="73"/>
    </row>
    <row r="5" spans="1:9" ht="18.75" x14ac:dyDescent="0.3">
      <c r="A5" s="74" t="s">
        <v>70</v>
      </c>
      <c r="B5" s="74"/>
      <c r="C5" s="74"/>
      <c r="D5" s="74"/>
      <c r="E5" s="74"/>
      <c r="F5" s="74"/>
      <c r="G5" s="74"/>
      <c r="H5" s="74"/>
      <c r="I5" s="74"/>
    </row>
    <row r="6" spans="1:9" ht="15.75" x14ac:dyDescent="0.25">
      <c r="A6" s="69" t="s">
        <v>66</v>
      </c>
      <c r="B6" s="69"/>
      <c r="C6" s="69"/>
      <c r="D6" s="69"/>
      <c r="E6" s="69"/>
      <c r="F6" s="69"/>
      <c r="G6" s="10"/>
      <c r="I6" s="58" t="s">
        <v>25</v>
      </c>
    </row>
    <row r="7" spans="1:9" ht="15.75" x14ac:dyDescent="0.25">
      <c r="A7" s="64" t="s">
        <v>40</v>
      </c>
      <c r="B7" s="64"/>
      <c r="C7" s="64"/>
      <c r="D7" s="64"/>
      <c r="E7" s="64"/>
      <c r="F7" s="64"/>
      <c r="G7" s="60"/>
      <c r="I7" s="59" t="s">
        <v>67</v>
      </c>
    </row>
    <row r="8" spans="1:9" ht="15.75" x14ac:dyDescent="0.25">
      <c r="A8" s="11" t="s">
        <v>5</v>
      </c>
      <c r="B8" s="12" t="s">
        <v>6</v>
      </c>
      <c r="C8" s="11" t="s">
        <v>7</v>
      </c>
      <c r="D8" s="61" t="s">
        <v>8</v>
      </c>
      <c r="E8" s="61" t="s">
        <v>9</v>
      </c>
      <c r="F8" s="61" t="s">
        <v>10</v>
      </c>
      <c r="G8" s="61" t="s">
        <v>11</v>
      </c>
      <c r="H8" s="11" t="s">
        <v>12</v>
      </c>
      <c r="I8" s="13" t="s">
        <v>15</v>
      </c>
    </row>
    <row r="9" spans="1:9" ht="150" x14ac:dyDescent="0.25">
      <c r="A9" s="14">
        <v>1</v>
      </c>
      <c r="B9" s="38" t="s">
        <v>56</v>
      </c>
      <c r="C9" s="15"/>
      <c r="D9" s="15"/>
      <c r="E9" s="15"/>
      <c r="F9" s="15"/>
      <c r="G9" s="15"/>
      <c r="H9" s="15"/>
      <c r="I9" s="15"/>
    </row>
    <row r="10" spans="1:9" x14ac:dyDescent="0.25">
      <c r="A10" s="14"/>
      <c r="B10" s="30" t="s">
        <v>37</v>
      </c>
      <c r="C10" s="15">
        <v>1</v>
      </c>
      <c r="D10" s="31">
        <f>D20</f>
        <v>4.75</v>
      </c>
      <c r="E10" s="31">
        <f>E20</f>
        <v>0.81276033729553987</v>
      </c>
      <c r="F10" s="31">
        <v>0.9</v>
      </c>
      <c r="G10" s="31">
        <f t="shared" ref="G10:G16" si="0">PRODUCT(C10:F10)</f>
        <v>3.4745504419384332</v>
      </c>
      <c r="H10" s="15"/>
      <c r="I10" s="15"/>
    </row>
    <row r="11" spans="1:9" x14ac:dyDescent="0.25">
      <c r="A11" s="14"/>
      <c r="B11" s="30"/>
      <c r="C11" s="15">
        <v>1</v>
      </c>
      <c r="D11" s="31">
        <f>D21</f>
        <v>4.7888601036269431</v>
      </c>
      <c r="E11" s="31">
        <f>E21</f>
        <v>0.5</v>
      </c>
      <c r="F11" s="31">
        <v>0.6</v>
      </c>
      <c r="G11" s="31">
        <f t="shared" si="0"/>
        <v>1.436658031088083</v>
      </c>
      <c r="H11" s="15"/>
      <c r="I11" s="15"/>
    </row>
    <row r="12" spans="1:9" x14ac:dyDescent="0.25">
      <c r="A12" s="14"/>
      <c r="B12" s="30" t="s">
        <v>57</v>
      </c>
      <c r="C12" s="15">
        <v>1</v>
      </c>
      <c r="D12" s="31">
        <v>4</v>
      </c>
      <c r="E12" s="31">
        <f>((83+66)/2)/12/3.281</f>
        <v>1.8922076602661788</v>
      </c>
      <c r="F12" s="31">
        <v>0.15</v>
      </c>
      <c r="G12" s="31">
        <f t="shared" si="0"/>
        <v>1.1353245961597072</v>
      </c>
      <c r="H12" s="15"/>
      <c r="I12" s="15"/>
    </row>
    <row r="13" spans="1:9" x14ac:dyDescent="0.25">
      <c r="A13" s="14"/>
      <c r="B13" s="30"/>
      <c r="C13" s="15">
        <v>1</v>
      </c>
      <c r="D13" s="31">
        <v>7.4</v>
      </c>
      <c r="E13" s="31">
        <f>((55+45)/2)/12/3.281</f>
        <v>1.2699380270242813</v>
      </c>
      <c r="F13" s="31">
        <v>0.15</v>
      </c>
      <c r="G13" s="31">
        <f t="shared" si="0"/>
        <v>1.4096312099969521</v>
      </c>
      <c r="H13" s="15"/>
      <c r="I13" s="15"/>
    </row>
    <row r="14" spans="1:9" x14ac:dyDescent="0.25">
      <c r="A14" s="14"/>
      <c r="B14" s="30" t="s">
        <v>59</v>
      </c>
      <c r="C14" s="15">
        <v>1</v>
      </c>
      <c r="D14" s="31">
        <f>(83/12)</f>
        <v>6.916666666666667</v>
      </c>
      <c r="E14" s="31">
        <f>(66/12)</f>
        <v>5.5</v>
      </c>
      <c r="F14" s="31">
        <f>1/12/3.281</f>
        <v>2.5398760540485621E-2</v>
      </c>
      <c r="G14" s="31">
        <f t="shared" si="0"/>
        <v>0.96621118222764057</v>
      </c>
      <c r="H14" s="15"/>
      <c r="I14" s="15"/>
    </row>
    <row r="15" spans="1:9" x14ac:dyDescent="0.25">
      <c r="A15" s="14"/>
      <c r="B15" s="30"/>
      <c r="C15" s="15">
        <v>1</v>
      </c>
      <c r="D15" s="31">
        <v>1.2</v>
      </c>
      <c r="E15" s="31">
        <v>1.2</v>
      </c>
      <c r="F15" s="31">
        <v>2.5000000000000001E-2</v>
      </c>
      <c r="G15" s="31">
        <f t="shared" si="0"/>
        <v>3.5999999999999997E-2</v>
      </c>
      <c r="H15" s="15"/>
      <c r="I15" s="15"/>
    </row>
    <row r="16" spans="1:9" x14ac:dyDescent="0.25">
      <c r="A16" s="14"/>
      <c r="B16" s="30" t="s">
        <v>58</v>
      </c>
      <c r="C16" s="15">
        <v>1</v>
      </c>
      <c r="D16" s="31">
        <f>(43/12)/3.281</f>
        <v>1.0921467032408818</v>
      </c>
      <c r="E16" s="31">
        <v>1.2</v>
      </c>
      <c r="F16" s="31">
        <v>0.15</v>
      </c>
      <c r="G16" s="31">
        <f t="shared" si="0"/>
        <v>0.19658640658335871</v>
      </c>
      <c r="H16" s="15"/>
      <c r="I16" s="15"/>
    </row>
    <row r="17" spans="1:9" s="34" customFormat="1" x14ac:dyDescent="0.25">
      <c r="A17" s="2"/>
      <c r="B17" s="37" t="s">
        <v>35</v>
      </c>
      <c r="C17" s="3"/>
      <c r="D17" s="4"/>
      <c r="E17" s="5"/>
      <c r="F17" s="5"/>
      <c r="G17" s="36">
        <f>SUM(G10:G16)</f>
        <v>8.6549618679941744</v>
      </c>
      <c r="H17" s="7" t="s">
        <v>38</v>
      </c>
      <c r="I17" s="5"/>
    </row>
    <row r="18" spans="1:9" x14ac:dyDescent="0.25">
      <c r="A18" s="14"/>
      <c r="B18" s="30"/>
      <c r="C18" s="15"/>
      <c r="D18" s="15"/>
      <c r="E18" s="15"/>
      <c r="F18" s="15"/>
      <c r="G18" s="15"/>
      <c r="H18" s="15"/>
      <c r="I18" s="15"/>
    </row>
    <row r="19" spans="1:9" ht="89.25" customHeight="1" x14ac:dyDescent="0.25">
      <c r="A19" s="14">
        <v>2</v>
      </c>
      <c r="B19" s="38" t="s">
        <v>26</v>
      </c>
      <c r="C19" s="15"/>
      <c r="D19" s="15"/>
      <c r="E19" s="15"/>
      <c r="F19" s="15"/>
      <c r="G19" s="15"/>
      <c r="H19" s="15"/>
      <c r="I19" s="15"/>
    </row>
    <row r="20" spans="1:9" x14ac:dyDescent="0.25">
      <c r="A20" s="14"/>
      <c r="B20" s="30" t="s">
        <v>37</v>
      </c>
      <c r="C20" s="15">
        <v>1</v>
      </c>
      <c r="D20" s="31">
        <f>D30</f>
        <v>4.75</v>
      </c>
      <c r="E20" s="31">
        <f>E30</f>
        <v>0.81276033729553987</v>
      </c>
      <c r="F20" s="15">
        <v>0.15</v>
      </c>
      <c r="G20" s="31">
        <f t="shared" ref="G20:G26" si="1">PRODUCT(C20:F20)</f>
        <v>0.57909174032307209</v>
      </c>
      <c r="H20" s="15"/>
      <c r="I20" s="15"/>
    </row>
    <row r="21" spans="1:9" x14ac:dyDescent="0.25">
      <c r="A21" s="14"/>
      <c r="B21" s="30"/>
      <c r="C21" s="15">
        <v>1</v>
      </c>
      <c r="D21" s="31">
        <f>D32</f>
        <v>4.7888601036269431</v>
      </c>
      <c r="E21" s="31">
        <f>E32</f>
        <v>0.5</v>
      </c>
      <c r="F21" s="15">
        <v>0.15</v>
      </c>
      <c r="G21" s="31">
        <f t="shared" si="1"/>
        <v>0.35916450777202075</v>
      </c>
      <c r="H21" s="15"/>
      <c r="I21" s="15"/>
    </row>
    <row r="22" spans="1:9" x14ac:dyDescent="0.25">
      <c r="A22" s="14"/>
      <c r="B22" s="30" t="str">
        <f>B12</f>
        <v>-for pathway level</v>
      </c>
      <c r="C22" s="15">
        <f>C12</f>
        <v>1</v>
      </c>
      <c r="D22" s="31">
        <f>D12</f>
        <v>4</v>
      </c>
      <c r="E22" s="31">
        <f>E12</f>
        <v>1.8922076602661788</v>
      </c>
      <c r="F22" s="15">
        <v>0.15</v>
      </c>
      <c r="G22" s="31">
        <f t="shared" si="1"/>
        <v>1.1353245961597072</v>
      </c>
      <c r="H22" s="15"/>
      <c r="I22" s="15"/>
    </row>
    <row r="23" spans="1:9" x14ac:dyDescent="0.25">
      <c r="A23" s="14"/>
      <c r="B23" s="30"/>
      <c r="C23" s="15">
        <v>1</v>
      </c>
      <c r="D23" s="31">
        <f>D13</f>
        <v>7.4</v>
      </c>
      <c r="E23" s="31">
        <f>E13</f>
        <v>1.2699380270242813</v>
      </c>
      <c r="F23" s="15">
        <v>0.15</v>
      </c>
      <c r="G23" s="31">
        <f t="shared" si="1"/>
        <v>1.4096312099969521</v>
      </c>
      <c r="H23" s="15"/>
      <c r="I23" s="15"/>
    </row>
    <row r="24" spans="1:9" x14ac:dyDescent="0.25">
      <c r="A24" s="14"/>
      <c r="B24" s="30" t="str">
        <f>B14</f>
        <v>-at compound</v>
      </c>
      <c r="C24" s="15">
        <f>C14</f>
        <v>1</v>
      </c>
      <c r="D24" s="31">
        <f>D14</f>
        <v>6.916666666666667</v>
      </c>
      <c r="E24" s="31">
        <f>E14</f>
        <v>5.5</v>
      </c>
      <c r="F24" s="15">
        <v>0.15</v>
      </c>
      <c r="G24" s="31">
        <f t="shared" si="1"/>
        <v>5.7062500000000007</v>
      </c>
      <c r="H24" s="15"/>
      <c r="I24" s="15"/>
    </row>
    <row r="25" spans="1:9" x14ac:dyDescent="0.25">
      <c r="A25" s="14"/>
      <c r="B25" s="30"/>
      <c r="C25" s="15">
        <f>C15</f>
        <v>1</v>
      </c>
      <c r="D25" s="31">
        <f>D15</f>
        <v>1.2</v>
      </c>
      <c r="E25" s="31">
        <f>E15</f>
        <v>1.2</v>
      </c>
      <c r="F25" s="15">
        <v>0.15</v>
      </c>
      <c r="G25" s="31">
        <f t="shared" si="1"/>
        <v>0.216</v>
      </c>
      <c r="H25" s="15"/>
      <c r="I25" s="15"/>
    </row>
    <row r="26" spans="1:9" x14ac:dyDescent="0.25">
      <c r="A26" s="14"/>
      <c r="B26" s="30" t="str">
        <f>B16</f>
        <v>-for dhara</v>
      </c>
      <c r="C26" s="15">
        <f>C16</f>
        <v>1</v>
      </c>
      <c r="D26" s="31">
        <f>D16</f>
        <v>1.0921467032408818</v>
      </c>
      <c r="E26" s="31">
        <f>E16</f>
        <v>1.2</v>
      </c>
      <c r="F26" s="15">
        <v>0.15</v>
      </c>
      <c r="G26" s="31">
        <f t="shared" si="1"/>
        <v>0.19658640658335871</v>
      </c>
      <c r="H26" s="15"/>
      <c r="I26" s="15"/>
    </row>
    <row r="27" spans="1:9" s="34" customFormat="1" x14ac:dyDescent="0.25">
      <c r="A27" s="2"/>
      <c r="B27" s="37" t="s">
        <v>35</v>
      </c>
      <c r="C27" s="3"/>
      <c r="D27" s="4"/>
      <c r="E27" s="5"/>
      <c r="F27" s="5"/>
      <c r="G27" s="36">
        <f>SUM(G20:G26)</f>
        <v>9.6020484608351104</v>
      </c>
      <c r="H27" s="7" t="s">
        <v>38</v>
      </c>
      <c r="I27" s="5"/>
    </row>
    <row r="28" spans="1:9" x14ac:dyDescent="0.25">
      <c r="A28" s="14"/>
      <c r="B28" s="38"/>
      <c r="C28" s="15"/>
      <c r="D28" s="15"/>
      <c r="E28" s="15"/>
      <c r="F28" s="15"/>
      <c r="G28" s="15"/>
      <c r="H28" s="15"/>
      <c r="I28" s="15"/>
    </row>
    <row r="29" spans="1:9" ht="78" customHeight="1" x14ac:dyDescent="0.25">
      <c r="A29" s="14">
        <v>3</v>
      </c>
      <c r="B29" s="39" t="s">
        <v>27</v>
      </c>
      <c r="C29" s="15"/>
      <c r="D29" s="15"/>
      <c r="E29" s="15"/>
      <c r="F29" s="15"/>
      <c r="G29" s="15"/>
      <c r="H29" s="15"/>
      <c r="I29" s="15"/>
    </row>
    <row r="30" spans="1:9" x14ac:dyDescent="0.25">
      <c r="A30" s="14"/>
      <c r="B30" s="30" t="s">
        <v>37</v>
      </c>
      <c r="C30" s="15">
        <v>1</v>
      </c>
      <c r="D30" s="31">
        <f>D41</f>
        <v>4.75</v>
      </c>
      <c r="E30" s="31">
        <f>F41/2</f>
        <v>0.81276033729553987</v>
      </c>
      <c r="F30" s="15">
        <v>0.05</v>
      </c>
      <c r="G30" s="31">
        <f t="shared" ref="G30:G37" si="2">PRODUCT(C30:F30)</f>
        <v>0.19303058010769072</v>
      </c>
      <c r="H30" s="15"/>
      <c r="I30" s="15"/>
    </row>
    <row r="31" spans="1:9" x14ac:dyDescent="0.25">
      <c r="A31" s="14"/>
      <c r="B31" s="30"/>
      <c r="C31" s="15">
        <v>1</v>
      </c>
      <c r="D31" s="31">
        <f>D30</f>
        <v>4.75</v>
      </c>
      <c r="E31" s="15">
        <v>0.45</v>
      </c>
      <c r="F31" s="15">
        <v>0.05</v>
      </c>
      <c r="G31" s="31">
        <f t="shared" si="2"/>
        <v>0.10687500000000001</v>
      </c>
      <c r="H31" s="15"/>
      <c r="I31" s="15"/>
    </row>
    <row r="32" spans="1:9" x14ac:dyDescent="0.25">
      <c r="A32" s="14"/>
      <c r="B32" s="30"/>
      <c r="C32" s="15">
        <v>1</v>
      </c>
      <c r="D32" s="31">
        <f>D42</f>
        <v>4.7888601036269431</v>
      </c>
      <c r="E32" s="31">
        <f>E42</f>
        <v>0.5</v>
      </c>
      <c r="F32" s="15">
        <v>0.05</v>
      </c>
      <c r="G32" s="31">
        <f t="shared" si="2"/>
        <v>0.11972150259067359</v>
      </c>
      <c r="H32" s="15"/>
      <c r="I32" s="15"/>
    </row>
    <row r="33" spans="1:14" x14ac:dyDescent="0.25">
      <c r="A33" s="14"/>
      <c r="B33" s="30"/>
      <c r="C33" s="15">
        <v>1</v>
      </c>
      <c r="D33" s="31">
        <f>D42</f>
        <v>4.7888601036269431</v>
      </c>
      <c r="E33" s="31">
        <f>E32</f>
        <v>0.5</v>
      </c>
      <c r="F33" s="15">
        <v>0.05</v>
      </c>
      <c r="G33" s="31">
        <f t="shared" si="2"/>
        <v>0.11972150259067359</v>
      </c>
      <c r="H33" s="15"/>
      <c r="I33" s="15"/>
    </row>
    <row r="34" spans="1:14" x14ac:dyDescent="0.25">
      <c r="A34" s="14"/>
      <c r="B34" s="30" t="str">
        <f>B22</f>
        <v>-for pathway level</v>
      </c>
      <c r="C34" s="15">
        <f>C22</f>
        <v>1</v>
      </c>
      <c r="D34" s="31">
        <f>D22</f>
        <v>4</v>
      </c>
      <c r="E34" s="31">
        <f>E22</f>
        <v>1.8922076602661788</v>
      </c>
      <c r="F34" s="31">
        <v>0.05</v>
      </c>
      <c r="G34" s="31">
        <f t="shared" si="2"/>
        <v>0.37844153205323577</v>
      </c>
      <c r="H34" s="15"/>
      <c r="I34" s="15"/>
    </row>
    <row r="35" spans="1:14" x14ac:dyDescent="0.25">
      <c r="A35" s="14"/>
      <c r="B35" s="30"/>
      <c r="C35" s="15">
        <v>1</v>
      </c>
      <c r="D35" s="31">
        <f>D23</f>
        <v>7.4</v>
      </c>
      <c r="E35" s="31">
        <f>E23</f>
        <v>1.2699380270242813</v>
      </c>
      <c r="F35" s="31">
        <v>7.4999999999999997E-2</v>
      </c>
      <c r="G35" s="31">
        <f t="shared" si="2"/>
        <v>0.70481560499847606</v>
      </c>
      <c r="H35" s="15"/>
      <c r="I35" s="15"/>
    </row>
    <row r="36" spans="1:14" x14ac:dyDescent="0.25">
      <c r="A36" s="14"/>
      <c r="B36" s="30" t="str">
        <f>B26</f>
        <v>-for dhara</v>
      </c>
      <c r="C36" s="15">
        <f>C26</f>
        <v>1</v>
      </c>
      <c r="D36" s="31">
        <f>D26</f>
        <v>1.0921467032408818</v>
      </c>
      <c r="E36" s="31">
        <f>E26</f>
        <v>1.2</v>
      </c>
      <c r="F36" s="31">
        <v>0.05</v>
      </c>
      <c r="G36" s="31">
        <f t="shared" si="2"/>
        <v>6.5528802194452909E-2</v>
      </c>
      <c r="H36" s="15"/>
      <c r="I36" s="15"/>
    </row>
    <row r="37" spans="1:14" x14ac:dyDescent="0.25">
      <c r="A37" s="14"/>
      <c r="B37" s="30"/>
      <c r="C37" s="15">
        <v>1</v>
      </c>
      <c r="D37" s="31">
        <f>((43/12)+4+4)/3.281</f>
        <v>3.5304277151275016</v>
      </c>
      <c r="E37" s="31">
        <v>0.15</v>
      </c>
      <c r="F37" s="31">
        <v>0.15</v>
      </c>
      <c r="G37" s="31">
        <f t="shared" si="2"/>
        <v>7.9434623590368778E-2</v>
      </c>
      <c r="H37" s="15"/>
      <c r="I37" s="15"/>
    </row>
    <row r="38" spans="1:14" s="34" customFormat="1" x14ac:dyDescent="0.25">
      <c r="A38" s="2"/>
      <c r="B38" s="37" t="s">
        <v>35</v>
      </c>
      <c r="C38" s="3"/>
      <c r="D38" s="4"/>
      <c r="E38" s="5"/>
      <c r="F38" s="5"/>
      <c r="G38" s="36">
        <f>SUM(G30:G37)</f>
        <v>1.7675691481255715</v>
      </c>
      <c r="H38" s="7" t="s">
        <v>38</v>
      </c>
      <c r="I38" s="5"/>
    </row>
    <row r="39" spans="1:14" x14ac:dyDescent="0.25">
      <c r="A39" s="14"/>
      <c r="B39" s="30"/>
      <c r="C39" s="15"/>
      <c r="D39" s="15"/>
      <c r="E39" s="15"/>
      <c r="F39" s="15"/>
      <c r="G39" s="15"/>
      <c r="H39" s="15"/>
      <c r="I39" s="15"/>
    </row>
    <row r="40" spans="1:14" ht="110.25" x14ac:dyDescent="0.25">
      <c r="A40" s="14">
        <v>4</v>
      </c>
      <c r="B40" s="39" t="s">
        <v>31</v>
      </c>
      <c r="C40" s="15"/>
      <c r="D40" s="15"/>
      <c r="E40" s="15"/>
      <c r="F40" s="15"/>
      <c r="G40" s="15"/>
      <c r="H40" s="15"/>
      <c r="I40" s="15"/>
    </row>
    <row r="41" spans="1:14" x14ac:dyDescent="0.25">
      <c r="A41" s="14"/>
      <c r="B41" s="30" t="s">
        <v>37</v>
      </c>
      <c r="C41" s="15">
        <v>1</v>
      </c>
      <c r="D41" s="31">
        <v>4.75</v>
      </c>
      <c r="E41" s="31">
        <f>((F41/2)+0.45)/2</f>
        <v>0.63138016864776991</v>
      </c>
      <c r="F41" s="31">
        <f>64/12/3.281</f>
        <v>1.6255206745910797</v>
      </c>
      <c r="G41" s="31">
        <f>PRODUCT(C41:F41)</f>
        <v>4.875027208902825</v>
      </c>
      <c r="H41" s="15"/>
      <c r="I41" s="15"/>
      <c r="K41" s="31">
        <f>7</f>
        <v>7</v>
      </c>
      <c r="L41" s="31">
        <f>2</f>
        <v>2</v>
      </c>
      <c r="M41" s="31"/>
      <c r="N41" s="31">
        <f>PI()*K41*SQRT(K41^2+L41^2)</f>
        <v>160.09797821843054</v>
      </c>
    </row>
    <row r="42" spans="1:14" x14ac:dyDescent="0.25">
      <c r="A42" s="14"/>
      <c r="B42" s="30"/>
      <c r="C42" s="15">
        <v>1</v>
      </c>
      <c r="D42" s="31">
        <f>(8.33/3.281)+1.75+1.5-1</f>
        <v>4.7888601036269431</v>
      </c>
      <c r="E42" s="31">
        <v>0.5</v>
      </c>
      <c r="F42" s="31">
        <f>28/12/3.281</f>
        <v>0.7111652951335975</v>
      </c>
      <c r="G42" s="31">
        <f>PRODUCT(C42:F42)</f>
        <v>1.7028355544746827</v>
      </c>
      <c r="H42" s="15"/>
      <c r="I42" s="15"/>
      <c r="K42" s="33"/>
      <c r="L42" s="33"/>
      <c r="M42" s="33"/>
      <c r="N42" s="33"/>
    </row>
    <row r="43" spans="1:14" ht="15" customHeight="1" x14ac:dyDescent="0.25">
      <c r="A43" s="2"/>
      <c r="B43" s="32" t="s">
        <v>16</v>
      </c>
      <c r="C43" s="3"/>
      <c r="D43" s="4"/>
      <c r="E43" s="5"/>
      <c r="F43" s="5"/>
      <c r="G43" s="6">
        <f>SUM(G41:G42)</f>
        <v>6.5778627633775075</v>
      </c>
      <c r="H43" s="7" t="s">
        <v>38</v>
      </c>
      <c r="I43" s="5"/>
    </row>
    <row r="44" spans="1:14" x14ac:dyDescent="0.25">
      <c r="A44" s="14"/>
      <c r="B44" s="30"/>
      <c r="C44" s="15"/>
      <c r="D44" s="15"/>
      <c r="E44" s="15"/>
      <c r="F44" s="15"/>
      <c r="G44" s="15"/>
      <c r="H44" s="15"/>
      <c r="I44" s="15"/>
    </row>
    <row r="45" spans="1:14" ht="30.75" x14ac:dyDescent="0.25">
      <c r="A45" s="14">
        <v>5</v>
      </c>
      <c r="B45" s="89" t="s">
        <v>62</v>
      </c>
      <c r="C45" s="15"/>
      <c r="D45" s="15"/>
      <c r="E45" s="15"/>
      <c r="F45" s="15"/>
      <c r="G45" s="15"/>
      <c r="H45" s="15"/>
      <c r="I45" s="15"/>
    </row>
    <row r="46" spans="1:14" x14ac:dyDescent="0.25">
      <c r="A46" s="14"/>
      <c r="B46" s="30" t="s">
        <v>63</v>
      </c>
      <c r="C46" s="15">
        <v>1</v>
      </c>
      <c r="D46" s="31">
        <f>(62-35)/12/3.281</f>
        <v>0.68576653459311188</v>
      </c>
      <c r="E46" s="31">
        <v>0.23</v>
      </c>
      <c r="F46" s="31">
        <f>0.5</f>
        <v>0.5</v>
      </c>
      <c r="G46" s="31">
        <f>PRODUCT(C46:F46)</f>
        <v>7.8863151478207869E-2</v>
      </c>
      <c r="H46" s="15"/>
      <c r="I46" s="15"/>
    </row>
    <row r="47" spans="1:14" x14ac:dyDescent="0.25">
      <c r="A47" s="14"/>
      <c r="B47" s="30"/>
      <c r="C47" s="15">
        <v>1</v>
      </c>
      <c r="D47" s="31">
        <f>35/12/3.281</f>
        <v>0.88895661891699673</v>
      </c>
      <c r="E47" s="31">
        <v>0.23</v>
      </c>
      <c r="F47" s="31">
        <f>18/12/3.281</f>
        <v>0.45717768972874123</v>
      </c>
      <c r="G47" s="31">
        <f>PRODUCT(C47:F47)</f>
        <v>9.3474560660275499E-2</v>
      </c>
      <c r="H47" s="15"/>
      <c r="I47" s="15"/>
    </row>
    <row r="48" spans="1:14" ht="15" customHeight="1" x14ac:dyDescent="0.25">
      <c r="A48" s="2"/>
      <c r="B48" s="32" t="s">
        <v>16</v>
      </c>
      <c r="C48" s="3"/>
      <c r="D48" s="4"/>
      <c r="E48" s="5"/>
      <c r="F48" s="5"/>
      <c r="G48" s="6">
        <f>SUM(G46:G47)</f>
        <v>0.17233771213848337</v>
      </c>
      <c r="H48" s="7" t="s">
        <v>38</v>
      </c>
      <c r="I48" s="5"/>
    </row>
    <row r="49" spans="1:9" x14ac:dyDescent="0.25">
      <c r="A49" s="14"/>
      <c r="B49" s="30"/>
      <c r="C49" s="15"/>
      <c r="D49" s="15"/>
      <c r="E49" s="15"/>
      <c r="F49" s="15"/>
      <c r="G49" s="15"/>
      <c r="H49" s="15"/>
      <c r="I49" s="15"/>
    </row>
    <row r="50" spans="1:9" ht="30.75" x14ac:dyDescent="0.25">
      <c r="A50" s="14">
        <v>6</v>
      </c>
      <c r="B50" s="89" t="s">
        <v>64</v>
      </c>
      <c r="C50" s="15"/>
      <c r="D50" s="15"/>
      <c r="E50" s="15"/>
      <c r="F50" s="15"/>
      <c r="G50" s="15"/>
      <c r="H50" s="15"/>
      <c r="I50" s="15"/>
    </row>
    <row r="51" spans="1:9" x14ac:dyDescent="0.25">
      <c r="A51" s="14"/>
      <c r="B51" s="30" t="s">
        <v>63</v>
      </c>
      <c r="C51" s="15">
        <v>2</v>
      </c>
      <c r="D51" s="31">
        <f>(62-35)/12/3.281</f>
        <v>0.68576653459311188</v>
      </c>
      <c r="E51" s="31"/>
      <c r="F51" s="31">
        <f>0.5</f>
        <v>0.5</v>
      </c>
      <c r="G51" s="31">
        <f>PRODUCT(C51:F51)</f>
        <v>0.68576653459311188</v>
      </c>
      <c r="H51" s="15"/>
      <c r="I51" s="15"/>
    </row>
    <row r="52" spans="1:9" x14ac:dyDescent="0.25">
      <c r="A52" s="14"/>
      <c r="B52" s="30"/>
      <c r="C52" s="15">
        <v>2</v>
      </c>
      <c r="D52" s="31">
        <f>35/12/3.281</f>
        <v>0.88895661891699673</v>
      </c>
      <c r="E52" s="31"/>
      <c r="F52" s="31">
        <f>18/12/3.281</f>
        <v>0.45717768972874123</v>
      </c>
      <c r="G52" s="31">
        <f>PRODUCT(C52:F52)</f>
        <v>0.81282226661109114</v>
      </c>
      <c r="H52" s="15"/>
      <c r="I52" s="15"/>
    </row>
    <row r="53" spans="1:9" ht="15" customHeight="1" x14ac:dyDescent="0.25">
      <c r="A53" s="2"/>
      <c r="B53" s="32" t="s">
        <v>16</v>
      </c>
      <c r="C53" s="3"/>
      <c r="D53" s="4"/>
      <c r="E53" s="5"/>
      <c r="F53" s="5"/>
      <c r="G53" s="6">
        <f>SUM(G51:G52)</f>
        <v>1.498588801204203</v>
      </c>
      <c r="H53" s="7" t="s">
        <v>36</v>
      </c>
      <c r="I53" s="5"/>
    </row>
    <row r="54" spans="1:9" x14ac:dyDescent="0.25">
      <c r="A54" s="14"/>
      <c r="B54" s="30"/>
      <c r="C54" s="15"/>
      <c r="D54" s="15"/>
      <c r="E54" s="15"/>
      <c r="F54" s="15"/>
      <c r="G54" s="15"/>
      <c r="H54" s="15"/>
      <c r="I54" s="15"/>
    </row>
    <row r="55" spans="1:9" ht="30.75" x14ac:dyDescent="0.25">
      <c r="A55" s="14">
        <v>7</v>
      </c>
      <c r="B55" s="89" t="s">
        <v>65</v>
      </c>
      <c r="C55" s="15"/>
      <c r="D55" s="15"/>
      <c r="E55" s="15"/>
      <c r="F55" s="15"/>
      <c r="G55" s="15"/>
      <c r="H55" s="15"/>
      <c r="I55" s="15"/>
    </row>
    <row r="56" spans="1:9" x14ac:dyDescent="0.25">
      <c r="A56" s="14"/>
      <c r="B56" s="30" t="s">
        <v>63</v>
      </c>
      <c r="C56" s="15">
        <v>2</v>
      </c>
      <c r="D56" s="31">
        <f>(62-35)/12/3.281</f>
        <v>0.68576653459311188</v>
      </c>
      <c r="E56" s="31"/>
      <c r="F56" s="31">
        <f>0.5</f>
        <v>0.5</v>
      </c>
      <c r="G56" s="31">
        <f>PRODUCT(C56:F56)</f>
        <v>0.68576653459311188</v>
      </c>
      <c r="H56" s="15"/>
      <c r="I56" s="15"/>
    </row>
    <row r="57" spans="1:9" x14ac:dyDescent="0.25">
      <c r="A57" s="14"/>
      <c r="B57" s="30"/>
      <c r="C57" s="15">
        <v>2</v>
      </c>
      <c r="D57" s="31">
        <f>35/12/3.281</f>
        <v>0.88895661891699673</v>
      </c>
      <c r="E57" s="31"/>
      <c r="F57" s="31">
        <f>18/12/3.281</f>
        <v>0.45717768972874123</v>
      </c>
      <c r="G57" s="31">
        <f>PRODUCT(C57:F57)</f>
        <v>0.81282226661109114</v>
      </c>
      <c r="H57" s="15"/>
      <c r="I57" s="15"/>
    </row>
    <row r="58" spans="1:9" ht="15" customHeight="1" x14ac:dyDescent="0.25">
      <c r="A58" s="2"/>
      <c r="B58" s="32" t="s">
        <v>16</v>
      </c>
      <c r="C58" s="3"/>
      <c r="D58" s="4"/>
      <c r="E58" s="5"/>
      <c r="F58" s="5"/>
      <c r="G58" s="6">
        <f>SUM(G56:G57)</f>
        <v>1.498588801204203</v>
      </c>
      <c r="H58" s="7" t="s">
        <v>36</v>
      </c>
      <c r="I58" s="5"/>
    </row>
    <row r="59" spans="1:9" x14ac:dyDescent="0.25">
      <c r="A59" s="14"/>
      <c r="B59" s="30"/>
      <c r="C59" s="15"/>
      <c r="D59" s="15"/>
      <c r="E59" s="15"/>
      <c r="F59" s="15"/>
      <c r="G59" s="15"/>
      <c r="H59" s="15"/>
      <c r="I59" s="15"/>
    </row>
    <row r="60" spans="1:9" ht="15" customHeight="1" x14ac:dyDescent="0.25">
      <c r="A60" s="14">
        <v>8</v>
      </c>
      <c r="B60" s="1" t="s">
        <v>60</v>
      </c>
      <c r="C60" s="15">
        <v>1</v>
      </c>
      <c r="D60" s="4"/>
      <c r="E60" s="5"/>
      <c r="F60" s="5"/>
      <c r="G60" s="31">
        <f>PRODUCT(C60:F60)</f>
        <v>1</v>
      </c>
      <c r="H60" s="7" t="s">
        <v>61</v>
      </c>
      <c r="I60" s="5"/>
    </row>
    <row r="61" spans="1:9" ht="15" customHeight="1" x14ac:dyDescent="0.25">
      <c r="A61" s="2"/>
      <c r="B61" s="32"/>
      <c r="C61" s="3"/>
      <c r="D61" s="4"/>
      <c r="E61" s="5"/>
      <c r="F61" s="5"/>
      <c r="G61" s="6"/>
      <c r="H61" s="7"/>
      <c r="I61" s="5"/>
    </row>
    <row r="62" spans="1:9" ht="15" customHeight="1" x14ac:dyDescent="0.25">
      <c r="A62" s="2">
        <v>9</v>
      </c>
      <c r="B62" s="1" t="s">
        <v>17</v>
      </c>
      <c r="C62" s="88">
        <v>1</v>
      </c>
      <c r="D62" s="4"/>
      <c r="E62" s="5"/>
      <c r="F62" s="5"/>
      <c r="G62" s="7">
        <f t="shared" ref="G62" si="3">PRODUCT(C62:F62)</f>
        <v>1</v>
      </c>
      <c r="H62" s="7" t="s">
        <v>18</v>
      </c>
      <c r="I62" s="5"/>
    </row>
    <row r="63" spans="1:9" x14ac:dyDescent="0.25">
      <c r="A63" s="2"/>
      <c r="B63" s="8"/>
      <c r="C63" s="3"/>
      <c r="D63" s="4"/>
      <c r="E63" s="5"/>
      <c r="F63" s="5"/>
      <c r="G63" s="6"/>
      <c r="H63" s="7"/>
      <c r="I63" s="5"/>
    </row>
    <row r="64" spans="1:9" x14ac:dyDescent="0.25">
      <c r="A64" s="19"/>
      <c r="B64" s="20" t="s">
        <v>20</v>
      </c>
      <c r="C64" s="21"/>
      <c r="D64" s="22"/>
      <c r="E64" s="22"/>
      <c r="F64" s="22"/>
      <c r="G64" s="16"/>
      <c r="H64" s="16"/>
      <c r="I64" s="23"/>
    </row>
    <row r="65" spans="11:17" x14ac:dyDescent="0.25">
      <c r="K65" s="18"/>
      <c r="L65" s="18"/>
      <c r="M65" s="18"/>
      <c r="N65" s="18"/>
      <c r="O65" s="18"/>
      <c r="P65" s="18"/>
      <c r="Q65" s="18"/>
    </row>
  </sheetData>
  <mergeCells count="7">
    <mergeCell ref="A7:F7"/>
    <mergeCell ref="A1:I1"/>
    <mergeCell ref="A2:I2"/>
    <mergeCell ref="A3:I3"/>
    <mergeCell ref="A4:I4"/>
    <mergeCell ref="A5:I5"/>
    <mergeCell ref="A6:F6"/>
  </mergeCells>
  <pageMargins left="0.70866141732283505" right="0.70866141732283505" top="0.74803149606299202" bottom="0.74803149606299202" header="0.31496062992126" footer="0.31496062992126"/>
  <pageSetup paperSize="9" scale="95"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Estimate</vt:lpstr>
      <vt:lpstr>WCR</vt:lpstr>
      <vt:lpstr>V</vt:lpstr>
      <vt:lpstr>M</vt:lpstr>
      <vt:lpstr>Estimate!Print_Area</vt:lpstr>
      <vt:lpstr>M!Print_Area</vt:lpstr>
      <vt:lpstr>V!Print_Area</vt:lpstr>
      <vt:lpstr>WCR!Print_Area</vt:lpstr>
      <vt:lpstr>Estimate!Print_Titles</vt:lpstr>
      <vt:lpstr>M!Print_Titles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2026-06-29T04:36:01Z</dcterms:modified>
</cp:coreProperties>
</file>