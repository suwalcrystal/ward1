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124226"/>
  <xr:revisionPtr revIDLastSave="0" documentId="13_ncr:1_{54D31664-DFD7-4DCC-BDF0-1C186573EA62}" xr6:coauthVersionLast="47" xr6:coauthVersionMax="47" xr10:uidLastSave="{00000000-0000-0000-0000-000000000000}"/>
  <bookViews>
    <workbookView xWindow="-120" yWindow="-120" windowWidth="20730" windowHeight="11040" activeTab="1" xr2:uid="{00000000-000D-0000-FFFF-FFFF00000000}"/>
  </bookViews>
  <sheets>
    <sheet name="estimate" sheetId="12" r:id="rId1"/>
    <sheet name="estimate (2)" sheetId="13" r:id="rId2"/>
  </sheets>
  <externalReferences>
    <externalReference r:id="rId3"/>
    <externalReference r:id="rId4"/>
    <externalReference r:id="rId5"/>
  </externalReferences>
  <definedNames>
    <definedName name="description_103">[1]Abstract!$B$16</definedName>
    <definedName name="description_124" localSheetId="0">#REF!</definedName>
    <definedName name="description_124" localSheetId="1">#REF!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 localSheetId="1">#REF!</definedName>
    <definedName name="description_310">#REF!</definedName>
    <definedName name="description_312" localSheetId="0">#REF!</definedName>
    <definedName name="description_312" localSheetId="1">#REF!</definedName>
    <definedName name="description_312">#REF!</definedName>
    <definedName name="description_5">[1]Abstract!$B$171</definedName>
    <definedName name="description_6" localSheetId="0">#REF!</definedName>
    <definedName name="description_6" localSheetId="1">#REF!</definedName>
    <definedName name="description_6">#REF!</definedName>
    <definedName name="description_759">[1]Abstract!$B$278</definedName>
    <definedName name="description_781" localSheetId="0">#REF!</definedName>
    <definedName name="description_781" localSheetId="1">#REF!</definedName>
    <definedName name="description_781">#REF!</definedName>
    <definedName name="description_783">[1]Abstract!$B$301</definedName>
    <definedName name="description_784">[3]Abstract!$B$300</definedName>
    <definedName name="_xlnm.Print_Area" localSheetId="0">estimate!$A$1:$K$61</definedName>
    <definedName name="_xlnm.Print_Area" localSheetId="1">'estimate (2)'!$A$1:$K$59</definedName>
    <definedName name="_xlnm.Print_Titles" localSheetId="0">estimate!$1:$8</definedName>
    <definedName name="_xlnm.Print_Titles" localSheetId="1">'estimate (2)'!$1:$8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3" l="1"/>
  <c r="D17" i="13" l="1"/>
  <c r="F17" i="13"/>
  <c r="G17" i="13" s="1"/>
  <c r="C16" i="13"/>
  <c r="F16" i="13" s="1"/>
  <c r="G16" i="13" s="1"/>
  <c r="C15" i="13"/>
  <c r="F15" i="13" s="1"/>
  <c r="G15" i="13" s="1"/>
  <c r="C14" i="13"/>
  <c r="D13" i="13"/>
  <c r="F13" i="13" s="1"/>
  <c r="G13" i="13" s="1"/>
  <c r="C13" i="13"/>
  <c r="D16" i="13"/>
  <c r="D15" i="13"/>
  <c r="D14" i="13"/>
  <c r="E22" i="13"/>
  <c r="D22" i="13"/>
  <c r="D12" i="13"/>
  <c r="D11" i="13"/>
  <c r="F14" i="13" l="1"/>
  <c r="G14" i="13" s="1"/>
  <c r="C59" i="13" l="1"/>
  <c r="C58" i="13"/>
  <c r="G50" i="13"/>
  <c r="J50" i="13" s="1"/>
  <c r="F42" i="13"/>
  <c r="C41" i="13"/>
  <c r="B41" i="13"/>
  <c r="E36" i="13"/>
  <c r="E42" i="13" s="1"/>
  <c r="D36" i="13"/>
  <c r="D42" i="13" s="1"/>
  <c r="B36" i="13"/>
  <c r="B42" i="13" s="1"/>
  <c r="E35" i="13"/>
  <c r="E41" i="13" s="1"/>
  <c r="D35" i="13"/>
  <c r="D41" i="13" s="1"/>
  <c r="F31" i="13"/>
  <c r="B31" i="13"/>
  <c r="C36" i="13"/>
  <c r="G22" i="13"/>
  <c r="F12" i="13"/>
  <c r="G12" i="13" s="1"/>
  <c r="F11" i="13"/>
  <c r="G11" i="13" s="1"/>
  <c r="D10" i="13"/>
  <c r="F10" i="13" s="1"/>
  <c r="G10" i="13" s="1"/>
  <c r="F44" i="12"/>
  <c r="D15" i="12"/>
  <c r="D11" i="12"/>
  <c r="D10" i="12"/>
  <c r="E21" i="12"/>
  <c r="E35" i="12"/>
  <c r="E30" i="12" s="1"/>
  <c r="F31" i="12"/>
  <c r="F30" i="12"/>
  <c r="B30" i="12"/>
  <c r="D31" i="13" l="1"/>
  <c r="C56" i="13"/>
  <c r="G30" i="13"/>
  <c r="G41" i="13"/>
  <c r="G23" i="13"/>
  <c r="G35" i="13"/>
  <c r="G36" i="13"/>
  <c r="C42" i="13"/>
  <c r="G42" i="13" s="1"/>
  <c r="E31" i="13"/>
  <c r="G31" i="13" s="1"/>
  <c r="E36" i="12"/>
  <c r="C42" i="12"/>
  <c r="B42" i="12"/>
  <c r="D36" i="12"/>
  <c r="E42" i="12"/>
  <c r="D35" i="12"/>
  <c r="J26" i="13" l="1"/>
  <c r="J24" i="13"/>
  <c r="G37" i="13"/>
  <c r="J27" i="13"/>
  <c r="J23" i="13"/>
  <c r="G43" i="13"/>
  <c r="J47" i="13" s="1"/>
  <c r="J25" i="13"/>
  <c r="G32" i="13"/>
  <c r="J32" i="13" s="1"/>
  <c r="J38" i="13"/>
  <c r="J37" i="13"/>
  <c r="J45" i="13"/>
  <c r="J43" i="13"/>
  <c r="J19" i="13"/>
  <c r="J18" i="13"/>
  <c r="D43" i="12"/>
  <c r="D31" i="12"/>
  <c r="G31" i="12" s="1"/>
  <c r="E43" i="12"/>
  <c r="E31" i="12"/>
  <c r="D42" i="12"/>
  <c r="D30" i="12"/>
  <c r="G30" i="12" s="1"/>
  <c r="J46" i="13" l="1"/>
  <c r="J44" i="13"/>
  <c r="J48" i="13"/>
  <c r="J52" i="13"/>
  <c r="C54" i="13" s="1"/>
  <c r="C29" i="12"/>
  <c r="D21" i="12"/>
  <c r="E20" i="12"/>
  <c r="D20" i="12"/>
  <c r="F15" i="12"/>
  <c r="G15" i="12" s="1"/>
  <c r="D14" i="12"/>
  <c r="D13" i="12"/>
  <c r="F13" i="12" s="1"/>
  <c r="G13" i="12" s="1"/>
  <c r="D12" i="12"/>
  <c r="C11" i="12"/>
  <c r="C10" i="12"/>
  <c r="C57" i="13" l="1"/>
  <c r="E56" i="13"/>
  <c r="E57" i="13" s="1"/>
  <c r="F14" i="12"/>
  <c r="G14" i="12" s="1"/>
  <c r="F12" i="12"/>
  <c r="G12" i="12" s="1"/>
  <c r="E37" i="12"/>
  <c r="E44" i="12" s="1"/>
  <c r="D37" i="12"/>
  <c r="D44" i="12" s="1"/>
  <c r="C37" i="12"/>
  <c r="C44" i="12" s="1"/>
  <c r="B37" i="12"/>
  <c r="B44" i="12" s="1"/>
  <c r="G29" i="12"/>
  <c r="G32" i="12" s="1"/>
  <c r="G44" i="12"/>
  <c r="G42" i="12" l="1"/>
  <c r="G37" i="12"/>
  <c r="G36" i="12"/>
  <c r="G43" i="12"/>
  <c r="G45" i="12" l="1"/>
  <c r="J48" i="12"/>
  <c r="G35" i="12"/>
  <c r="G38" i="12" s="1"/>
  <c r="J46" i="12" l="1"/>
  <c r="J50" i="12"/>
  <c r="J47" i="12"/>
  <c r="J49" i="12"/>
  <c r="J45" i="12"/>
  <c r="J32" i="12"/>
  <c r="J39" i="12"/>
  <c r="J38" i="12"/>
  <c r="G20" i="12" l="1"/>
  <c r="G21" i="12"/>
  <c r="G22" i="12" l="1"/>
  <c r="J25" i="12" s="1"/>
  <c r="J23" i="12" l="1"/>
  <c r="J26" i="12"/>
  <c r="J24" i="12"/>
  <c r="J22" i="12"/>
  <c r="Q11" i="12"/>
  <c r="R11" i="12" s="1"/>
  <c r="F10" i="12" l="1"/>
  <c r="G10" i="12" s="1"/>
  <c r="F11" i="12"/>
  <c r="G11" i="12" s="1"/>
  <c r="G16" i="12" l="1"/>
  <c r="J16" i="12"/>
  <c r="J17" i="12" l="1"/>
  <c r="C60" i="12" l="1"/>
  <c r="C61" i="12" l="1"/>
  <c r="C58" i="12" s="1"/>
  <c r="G52" i="12"/>
  <c r="J52" i="12" s="1"/>
  <c r="J54" i="12" s="1"/>
  <c r="C56" i="12" l="1"/>
  <c r="C59" i="12" s="1"/>
  <c r="E58" i="12" l="1"/>
  <c r="E59" i="12" s="1"/>
</calcChain>
</file>

<file path=xl/sharedStrings.xml><?xml version="1.0" encoding="utf-8"?>
<sst xmlns="http://schemas.openxmlformats.org/spreadsheetml/2006/main" count="135" uniqueCount="70">
  <si>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</si>
  <si>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</si>
  <si>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</si>
  <si>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</si>
  <si>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</si>
  <si>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</si>
  <si>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</si>
  <si>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</si>
  <si>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</si>
  <si>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</si>
  <si>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</si>
  <si>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</si>
  <si>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</si>
  <si>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</si>
  <si>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</si>
  <si>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</si>
  <si>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Information board (सुचना पाटि)</t>
  </si>
  <si>
    <t>no.</t>
  </si>
  <si>
    <t>Total Estimated</t>
  </si>
  <si>
    <t>Total</t>
  </si>
  <si>
    <t>Budget allocated</t>
  </si>
  <si>
    <t>Municipal payment</t>
  </si>
  <si>
    <t xml:space="preserve">Contingencies </t>
  </si>
  <si>
    <t xml:space="preserve">Maintanince </t>
  </si>
  <si>
    <t>F.Y.: 2082/2083</t>
  </si>
  <si>
    <t>Providing and laying of hand pack locally available Stone soling with 150 to 200 mm thick stones and packing with smaller stone on prepared surface as per Drawing and Technical Specifications.</t>
  </si>
  <si>
    <t>-13% VAT for cement</t>
  </si>
  <si>
    <t>-13% VAT for sand</t>
  </si>
  <si>
    <t>-13% VAT for aggregate</t>
  </si>
  <si>
    <t>-13% VAT for stone</t>
  </si>
  <si>
    <t>-13% VAT for water</t>
  </si>
  <si>
    <t>User contribution</t>
  </si>
  <si>
    <t>sfnf] kmnfd] kfO{ksf] 6«; agfO{ h8fg ug]{ sfd</t>
  </si>
  <si>
    <t>Length (m)</t>
  </si>
  <si>
    <t>Unit length (Kg/m)</t>
  </si>
  <si>
    <t>Total Weight (kg)</t>
  </si>
  <si>
    <t>sub-total</t>
  </si>
  <si>
    <t>Kg</t>
  </si>
  <si>
    <t>-VAT 13% for materials</t>
  </si>
  <si>
    <t>sqm</t>
  </si>
  <si>
    <t>-13% VAT for sheet</t>
  </si>
  <si>
    <t>-13% VAT for nut bolt</t>
  </si>
  <si>
    <t>-13% VAT for j-hook</t>
  </si>
  <si>
    <t>-13% VAT for bitumen washer</t>
  </si>
  <si>
    <t>)=$! dL=dL=afSnf] sf]?u]6]8 /+lug ss{6 kftfsf] 5fgf 5fpg] sfd</t>
  </si>
  <si>
    <t>cum</t>
  </si>
  <si>
    <t>-13% VAT for formwork</t>
  </si>
  <si>
    <t>-for footing of vertical post</t>
  </si>
  <si>
    <t>Location:- Shankharapur Municipality 1</t>
  </si>
  <si>
    <t>-MS black pipe of 3" of 2mm thickness for vertical post</t>
  </si>
  <si>
    <t>-MS black pipe of 2" of 2mm thickness for horizontal purlin</t>
  </si>
  <si>
    <t>-truss 1</t>
  </si>
  <si>
    <t>-truss 2</t>
  </si>
  <si>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t>
  </si>
  <si>
    <t>-for plinth</t>
  </si>
  <si>
    <t>Providing and laying of Plain/Reinforced Cement Concrete in Foundation complete as per Drawing and Technical Specifications, PCC Grade M15</t>
  </si>
  <si>
    <r>
      <t xml:space="preserve">Project:- </t>
    </r>
    <r>
      <rPr>
        <b/>
        <sz val="12"/>
        <rFont val="Preeti"/>
      </rPr>
      <t>9'+ufgf ufpF lzj dlGb/ 6[; lgdf{0f</t>
    </r>
  </si>
  <si>
    <t xml:space="preserve">Date:                  </t>
  </si>
  <si>
    <t>-MS square pipe of 3" * 3" of 2mm thickness for vertical post</t>
  </si>
  <si>
    <t>-MS square pipe of 1.5" * 1.5" of 1.6mm thickness for arch</t>
  </si>
  <si>
    <t>-MS square pipe of 1.5" * 1.5" of 1.6mm thickness for purlin</t>
  </si>
  <si>
    <t>-for roof</t>
  </si>
  <si>
    <t>=@ ld=ld= Kn]g kmfO{j/ Unf; kftfn] 5fgf 5fpg] sfd</t>
  </si>
  <si>
    <t>-13% VAT for fiber glass</t>
  </si>
  <si>
    <t>-13% VAT for 8mm nut bolt</t>
  </si>
  <si>
    <t>g/d k|sf/sf] Sn] / l;N6L df6f]df ;j} lsl;dsf] vGg] sfd</t>
  </si>
  <si>
    <t>sfnf] kmnfd] kfO{ksf] 6«; agfO{ h8fg ug]{ tyf ljleGg ;fO{hsf] kmnfd] PËn km]lj|s]zg u/L k|fOd/ k]G6 ;lxt ug]{ sfd</t>
  </si>
  <si>
    <t>-MS square pipe of 1" * 1" of 1 .2mm thickness for purlin</t>
  </si>
  <si>
    <t>Equal angle of 35mm*35mm*2mm for bench</t>
  </si>
  <si>
    <t>MS Flat bar of 20mm*5mm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</si>
</sst>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b/>
      <sz val="12"/>
      <name val="Preeti"/>
    </font>
    <font>
      <sz val="12"/>
      <name val="Times New Roman"/>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9">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0" fillId="0" borderId="0" xfId="0" applyAlignment="1">
      <alignment vertical="center"/>
    </xf>
    <xf numFmtId="0" fontId="12" fillId="2" borderId="2" xfId="0" applyFont="1" applyFill="1" applyBorder="1" applyAlignment="1">
      <alignment vertical="center" wrapText="1"/>
    </xf>
    <xf numFmtId="2" fontId="2" fillId="0" borderId="2" xfId="1" applyNumberFormat="1" applyFont="1" applyFill="1" applyBorder="1" applyAlignment="1">
      <alignment vertical="center" wrapText="1"/>
    </xf>
    <xf numFmtId="2" fontId="2" fillId="0" borderId="2" xfId="0" applyNumberFormat="1" applyFont="1" applyBorder="1" applyAlignment="1">
      <alignment vertical="center" wrapText="1"/>
    </xf>
    <xf numFmtId="2" fontId="6" fillId="0" borderId="2" xfId="0" applyNumberFormat="1" applyFont="1" applyBorder="1" applyAlignment="1">
      <alignment vertical="center"/>
    </xf>
    <xf numFmtId="0" fontId="2" fillId="0" borderId="2" xfId="0" quotePrefix="1" applyFont="1" applyBorder="1" applyAlignment="1">
      <alignment horizontal="right" vertical="center" wrapText="1"/>
    </xf>
    <xf numFmtId="164" fontId="4" fillId="0" borderId="2" xfId="0" applyNumberFormat="1" applyFont="1" applyBorder="1" applyAlignment="1">
      <alignment vertical="center"/>
    </xf>
    <xf numFmtId="0" fontId="4" fillId="0" borderId="2" xfId="0" quotePrefix="1" applyFont="1" applyBorder="1" applyAlignment="1">
      <alignment wrapText="1"/>
    </xf>
    <xf numFmtId="0" fontId="13" fillId="2" borderId="2" xfId="0" applyFont="1" applyFill="1" applyBorder="1" applyAlignment="1">
      <alignment vertical="center" wrapText="1"/>
    </xf>
    <xf numFmtId="0" fontId="13" fillId="2" borderId="0" xfId="0" applyFont="1" applyFill="1" applyAlignment="1">
      <alignment vertical="center" wrapText="1"/>
    </xf>
    <xf numFmtId="1" fontId="4" fillId="0" borderId="2" xfId="0" applyNumberFormat="1" applyFont="1" applyBorder="1"/>
    <xf numFmtId="0" fontId="12" fillId="2" borderId="2" xfId="0" quotePrefix="1" applyFont="1" applyFill="1" applyBorder="1" applyAlignment="1">
      <alignment vertical="center"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1"/>
  <sheetViews>
    <sheetView view="pageBreakPreview" topLeftCell="A5" zoomScaleNormal="90" zoomScaleSheetLayoutView="100" workbookViewId="0">
      <selection activeCell="J16" sqref="J16:J26"/>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customWidth="1"/>
    <col min="10" max="10" width="10.7109375" style="19" bestFit="1" customWidth="1"/>
    <col min="11" max="12" width="9.140625" style="19"/>
    <col min="13" max="16" width="0" style="19" hidden="1" customWidth="1"/>
    <col min="17" max="17" width="37.28515625" style="19" customWidth="1"/>
    <col min="18" max="16384" width="9.140625" style="19"/>
  </cols>
  <sheetData>
    <row r="1" spans="1:18" x14ac:dyDescent="0.25">
      <c r="A1" s="55" t="s">
        <v>0</v>
      </c>
      <c r="B1" s="55"/>
      <c r="C1" s="55"/>
      <c r="D1" s="55"/>
      <c r="E1" s="55"/>
      <c r="F1" s="55"/>
      <c r="G1" s="55"/>
      <c r="H1" s="55"/>
      <c r="I1" s="55"/>
      <c r="J1" s="55"/>
      <c r="K1" s="55"/>
    </row>
    <row r="2" spans="1:18" ht="22.5" x14ac:dyDescent="0.25">
      <c r="A2" s="56" t="s">
        <v>1</v>
      </c>
      <c r="B2" s="56"/>
      <c r="C2" s="56"/>
      <c r="D2" s="56"/>
      <c r="E2" s="56"/>
      <c r="F2" s="56"/>
      <c r="G2" s="56"/>
      <c r="H2" s="56"/>
      <c r="I2" s="56"/>
      <c r="J2" s="56"/>
      <c r="K2" s="56"/>
    </row>
    <row r="3" spans="1:18" x14ac:dyDescent="0.25">
      <c r="A3" s="57" t="s">
        <v>2</v>
      </c>
      <c r="B3" s="57"/>
      <c r="C3" s="57"/>
      <c r="D3" s="57"/>
      <c r="E3" s="57"/>
      <c r="F3" s="57"/>
      <c r="G3" s="57"/>
      <c r="H3" s="57"/>
      <c r="I3" s="57"/>
      <c r="J3" s="57"/>
      <c r="K3" s="57"/>
    </row>
    <row r="4" spans="1:18" x14ac:dyDescent="0.25">
      <c r="A4" s="57" t="s">
        <v>3</v>
      </c>
      <c r="B4" s="57"/>
      <c r="C4" s="57"/>
      <c r="D4" s="57"/>
      <c r="E4" s="57"/>
      <c r="F4" s="57"/>
      <c r="G4" s="57"/>
      <c r="H4" s="57"/>
      <c r="I4" s="57"/>
      <c r="J4" s="57"/>
      <c r="K4" s="57"/>
    </row>
    <row r="5" spans="1:18" ht="18.75" x14ac:dyDescent="0.3">
      <c r="A5" s="58" t="s">
        <v>4</v>
      </c>
      <c r="B5" s="58"/>
      <c r="C5" s="58"/>
      <c r="D5" s="58"/>
      <c r="E5" s="58"/>
      <c r="F5" s="58"/>
      <c r="G5" s="58"/>
      <c r="H5" s="58"/>
      <c r="I5" s="58"/>
      <c r="J5" s="58"/>
      <c r="K5" s="58"/>
    </row>
    <row r="6" spans="1:18" ht="15.75" x14ac:dyDescent="0.25">
      <c r="A6" s="53" t="s">
        <v>56</v>
      </c>
      <c r="B6" s="53"/>
      <c r="C6" s="53"/>
      <c r="D6" s="53"/>
      <c r="E6" s="53"/>
      <c r="F6" s="53"/>
      <c r="G6" s="10"/>
      <c r="H6" s="54" t="s">
        <v>24</v>
      </c>
      <c r="I6" s="54"/>
      <c r="J6" s="54"/>
      <c r="K6" s="54"/>
    </row>
    <row r="7" spans="1:18" ht="15.75" x14ac:dyDescent="0.25">
      <c r="A7" s="48" t="s">
        <v>48</v>
      </c>
      <c r="B7" s="48"/>
      <c r="C7" s="48"/>
      <c r="D7" s="48"/>
      <c r="E7" s="48"/>
      <c r="F7" s="48"/>
      <c r="G7" s="11"/>
      <c r="H7" s="49" t="s">
        <v>57</v>
      </c>
      <c r="I7" s="49"/>
      <c r="J7" s="49"/>
      <c r="K7" s="49"/>
    </row>
    <row r="8" spans="1:18" ht="15.75" x14ac:dyDescent="0.25">
      <c r="A8" s="12" t="s">
        <v>5</v>
      </c>
      <c r="B8" s="13" t="s">
        <v>6</v>
      </c>
      <c r="C8" s="12" t="s">
        <v>7</v>
      </c>
      <c r="D8" s="14" t="s">
        <v>8</v>
      </c>
      <c r="E8" s="14" t="s">
        <v>9</v>
      </c>
      <c r="F8" s="14" t="s">
        <v>10</v>
      </c>
      <c r="G8" s="14" t="s">
        <v>11</v>
      </c>
      <c r="H8" s="12" t="s">
        <v>12</v>
      </c>
      <c r="I8" s="14" t="s">
        <v>13</v>
      </c>
      <c r="J8" s="14" t="s">
        <v>14</v>
      </c>
      <c r="K8" s="15" t="s">
        <v>15</v>
      </c>
    </row>
    <row r="9" spans="1:18" s="34" customFormat="1" ht="45" x14ac:dyDescent="0.25">
      <c r="A9" s="2">
        <v>1</v>
      </c>
      <c r="B9" s="35" t="s">
        <v>32</v>
      </c>
      <c r="C9" s="3" t="s">
        <v>7</v>
      </c>
      <c r="D9" s="36" t="s">
        <v>33</v>
      </c>
      <c r="E9" s="37" t="s">
        <v>34</v>
      </c>
      <c r="F9" s="37" t="s">
        <v>35</v>
      </c>
      <c r="G9" s="37"/>
      <c r="H9" s="7"/>
      <c r="I9" s="6"/>
      <c r="J9" s="38"/>
      <c r="K9" s="5"/>
    </row>
    <row r="10" spans="1:18" s="34" customFormat="1" ht="30" x14ac:dyDescent="0.25">
      <c r="A10" s="16"/>
      <c r="B10" s="39" t="s">
        <v>49</v>
      </c>
      <c r="C10" s="40">
        <f>3+3</f>
        <v>6</v>
      </c>
      <c r="D10" s="9">
        <f>(9+1)/3.281</f>
        <v>3.047851264858275</v>
      </c>
      <c r="E10" s="9">
        <v>4.29</v>
      </c>
      <c r="F10" s="9">
        <f t="shared" ref="F10:F11" si="0">PRODUCT(C10:E10)</f>
        <v>78.451691557451994</v>
      </c>
      <c r="G10" s="9">
        <f t="shared" ref="G10:G11" si="1">F10</f>
        <v>78.451691557451994</v>
      </c>
      <c r="H10" s="38"/>
      <c r="I10" s="38"/>
      <c r="J10" s="38"/>
      <c r="K10" s="27"/>
    </row>
    <row r="11" spans="1:18" s="34" customFormat="1" ht="30" x14ac:dyDescent="0.25">
      <c r="A11" s="16"/>
      <c r="B11" s="39" t="s">
        <v>49</v>
      </c>
      <c r="C11" s="40">
        <f>3+3</f>
        <v>6</v>
      </c>
      <c r="D11" s="9">
        <f>(8+1)/3.281</f>
        <v>2.7430661383724475</v>
      </c>
      <c r="E11" s="9">
        <v>4.29</v>
      </c>
      <c r="F11" s="9">
        <f t="shared" si="0"/>
        <v>70.606522401706798</v>
      </c>
      <c r="G11" s="9">
        <f t="shared" si="1"/>
        <v>70.606522401706798</v>
      </c>
      <c r="H11" s="38"/>
      <c r="I11" s="38"/>
      <c r="J11" s="38"/>
      <c r="K11" s="27"/>
      <c r="Q11" s="34">
        <f>PRODUCT(C11:D11)</f>
        <v>16.458396830234683</v>
      </c>
      <c r="R11" s="34">
        <f>CONVERT(Q11,"m","ft")</f>
        <v>53.99736492859148</v>
      </c>
    </row>
    <row r="12" spans="1:18" s="34" customFormat="1" ht="30" x14ac:dyDescent="0.25">
      <c r="A12" s="16"/>
      <c r="B12" s="39" t="s">
        <v>50</v>
      </c>
      <c r="C12" s="40">
        <v>4</v>
      </c>
      <c r="D12" s="9">
        <f>20/3.281</f>
        <v>6.0957025297165499</v>
      </c>
      <c r="E12" s="9">
        <v>2.88</v>
      </c>
      <c r="F12" s="9">
        <f t="shared" ref="F12" si="2">PRODUCT(C12:E12)</f>
        <v>70.222493142334656</v>
      </c>
      <c r="G12" s="9">
        <f t="shared" ref="G12" si="3">F12</f>
        <v>70.222493142334656</v>
      </c>
      <c r="H12" s="38"/>
      <c r="I12" s="38"/>
      <c r="J12" s="38"/>
      <c r="K12" s="27"/>
    </row>
    <row r="13" spans="1:18" s="34" customFormat="1" x14ac:dyDescent="0.25">
      <c r="A13" s="16"/>
      <c r="B13" s="39"/>
      <c r="C13" s="40">
        <v>5</v>
      </c>
      <c r="D13" s="9">
        <f>14/3.281</f>
        <v>4.2669917708015843</v>
      </c>
      <c r="E13" s="9">
        <v>2.88</v>
      </c>
      <c r="F13" s="9">
        <f t="shared" ref="F13" si="4">PRODUCT(C13:E13)</f>
        <v>61.444681499542817</v>
      </c>
      <c r="G13" s="9">
        <f t="shared" ref="G13" si="5">F13</f>
        <v>61.444681499542817</v>
      </c>
      <c r="H13" s="38"/>
      <c r="I13" s="38"/>
      <c r="J13" s="38"/>
      <c r="K13" s="27"/>
    </row>
    <row r="14" spans="1:18" s="34" customFormat="1" ht="30" x14ac:dyDescent="0.25">
      <c r="A14" s="16"/>
      <c r="B14" s="39" t="s">
        <v>50</v>
      </c>
      <c r="C14" s="40">
        <v>3</v>
      </c>
      <c r="D14" s="9">
        <f>(18.5)/3.281</f>
        <v>5.6385248399878085</v>
      </c>
      <c r="E14" s="9">
        <v>2.88</v>
      </c>
      <c r="F14" s="9">
        <f t="shared" ref="F14" si="6">PRODUCT(C14:E14)</f>
        <v>48.716854617494661</v>
      </c>
      <c r="G14" s="9">
        <f t="shared" ref="G14" si="7">F14</f>
        <v>48.716854617494661</v>
      </c>
      <c r="H14" s="38"/>
      <c r="I14" s="38"/>
      <c r="J14" s="38"/>
      <c r="K14" s="27"/>
    </row>
    <row r="15" spans="1:18" s="34" customFormat="1" x14ac:dyDescent="0.25">
      <c r="A15" s="16"/>
      <c r="B15" s="39"/>
      <c r="C15" s="40">
        <v>5</v>
      </c>
      <c r="D15" s="9">
        <f>(10)/3.281</f>
        <v>3.047851264858275</v>
      </c>
      <c r="E15" s="9">
        <v>2.88</v>
      </c>
      <c r="F15" s="9">
        <f t="shared" ref="F15" si="8">PRODUCT(C15:E15)</f>
        <v>43.88905821395916</v>
      </c>
      <c r="G15" s="9">
        <f t="shared" ref="G15" si="9">F15</f>
        <v>43.88905821395916</v>
      </c>
      <c r="H15" s="38"/>
      <c r="I15" s="38"/>
      <c r="J15" s="38"/>
      <c r="K15" s="27"/>
    </row>
    <row r="16" spans="1:18" s="34" customFormat="1" x14ac:dyDescent="0.25">
      <c r="A16" s="2"/>
      <c r="B16" s="39" t="s">
        <v>36</v>
      </c>
      <c r="C16" s="3"/>
      <c r="D16" s="4"/>
      <c r="E16" s="5"/>
      <c r="F16" s="5"/>
      <c r="G16" s="38">
        <f>SUM(G10:G15)</f>
        <v>373.33130143249014</v>
      </c>
      <c r="H16" s="7" t="s">
        <v>37</v>
      </c>
      <c r="I16" s="6">
        <v>182.51</v>
      </c>
      <c r="J16" s="38">
        <f>G16*I16</f>
        <v>68136.69582444377</v>
      </c>
      <c r="K16" s="5"/>
    </row>
    <row r="17" spans="1:11" s="34" customFormat="1" x14ac:dyDescent="0.25">
      <c r="A17" s="2"/>
      <c r="B17" s="39" t="s">
        <v>38</v>
      </c>
      <c r="C17" s="3"/>
      <c r="D17" s="4"/>
      <c r="E17" s="5"/>
      <c r="F17" s="5"/>
      <c r="G17" s="38"/>
      <c r="H17" s="7"/>
      <c r="I17" s="6"/>
      <c r="J17" s="38">
        <f>0.13*G16*(1871.42/18.94)</f>
        <v>4795.4464802789225</v>
      </c>
      <c r="K17" s="5"/>
    </row>
    <row r="18" spans="1:11" s="34" customFormat="1" x14ac:dyDescent="0.25">
      <c r="A18" s="2"/>
      <c r="B18" s="39"/>
      <c r="C18" s="3"/>
      <c r="D18" s="4"/>
      <c r="E18" s="5"/>
      <c r="F18" s="5"/>
      <c r="G18" s="38"/>
      <c r="H18" s="7"/>
      <c r="I18" s="6"/>
      <c r="J18" s="38"/>
      <c r="K18" s="5"/>
    </row>
    <row r="19" spans="1:11" s="34" customFormat="1" ht="30" x14ac:dyDescent="0.25">
      <c r="A19" s="2">
        <v>2</v>
      </c>
      <c r="B19" s="35" t="s">
        <v>44</v>
      </c>
      <c r="C19" s="3"/>
      <c r="D19" s="4"/>
      <c r="E19" s="5"/>
      <c r="F19" s="5"/>
      <c r="G19" s="38"/>
      <c r="H19" s="7"/>
      <c r="I19" s="6"/>
      <c r="J19" s="38"/>
      <c r="K19" s="5"/>
    </row>
    <row r="20" spans="1:11" s="34" customFormat="1" x14ac:dyDescent="0.25">
      <c r="A20" s="2"/>
      <c r="B20" s="39" t="s">
        <v>51</v>
      </c>
      <c r="C20" s="3">
        <v>1</v>
      </c>
      <c r="D20" s="4">
        <f>20/3.281</f>
        <v>6.0957025297165499</v>
      </c>
      <c r="E20" s="5">
        <f>14/3.281</f>
        <v>4.2669917708015843</v>
      </c>
      <c r="F20" s="5"/>
      <c r="G20" s="33">
        <f t="shared" ref="G20:G21" si="10">PRODUCT(C20:F20)</f>
        <v>26.01031253155492</v>
      </c>
      <c r="H20" s="7"/>
      <c r="I20" s="6"/>
      <c r="J20" s="38"/>
      <c r="K20" s="5"/>
    </row>
    <row r="21" spans="1:11" s="34" customFormat="1" x14ac:dyDescent="0.25">
      <c r="A21" s="2"/>
      <c r="B21" s="39" t="s">
        <v>52</v>
      </c>
      <c r="C21" s="3">
        <v>1</v>
      </c>
      <c r="D21" s="4">
        <f>18.5/3.281</f>
        <v>5.6385248399878085</v>
      </c>
      <c r="E21" s="5">
        <f>((10+8.5)/2)/3.281</f>
        <v>2.8192624199939043</v>
      </c>
      <c r="F21" s="5"/>
      <c r="G21" s="33">
        <f t="shared" si="10"/>
        <v>15.896481185579772</v>
      </c>
      <c r="H21" s="7"/>
      <c r="I21" s="6"/>
      <c r="J21" s="38"/>
      <c r="K21" s="5"/>
    </row>
    <row r="22" spans="1:11" s="34" customFormat="1" x14ac:dyDescent="0.25">
      <c r="A22" s="2"/>
      <c r="B22" s="39" t="s">
        <v>36</v>
      </c>
      <c r="C22" s="3"/>
      <c r="D22" s="4"/>
      <c r="E22" s="5"/>
      <c r="F22" s="5"/>
      <c r="G22" s="38">
        <f>SUM(G20:G21)</f>
        <v>41.90679371713469</v>
      </c>
      <c r="H22" s="7" t="s">
        <v>39</v>
      </c>
      <c r="I22" s="6">
        <v>1112.58</v>
      </c>
      <c r="J22" s="38">
        <f>G22*I22</f>
        <v>46624.660553809714</v>
      </c>
      <c r="K22" s="5"/>
    </row>
    <row r="23" spans="1:11" x14ac:dyDescent="0.25">
      <c r="A23" s="16"/>
      <c r="B23" s="32" t="s">
        <v>40</v>
      </c>
      <c r="C23" s="17"/>
      <c r="D23" s="17"/>
      <c r="E23" s="17"/>
      <c r="F23" s="17"/>
      <c r="G23" s="17"/>
      <c r="H23" s="17"/>
      <c r="I23" s="17"/>
      <c r="J23" s="18">
        <f>0.13*G22*7050.67/10</f>
        <v>3841.1226523486707</v>
      </c>
      <c r="K23" s="17"/>
    </row>
    <row r="24" spans="1:11" x14ac:dyDescent="0.25">
      <c r="A24" s="16"/>
      <c r="B24" s="32" t="s">
        <v>41</v>
      </c>
      <c r="C24" s="17"/>
      <c r="D24" s="17"/>
      <c r="E24" s="17"/>
      <c r="F24" s="17"/>
      <c r="G24" s="17"/>
      <c r="H24" s="17"/>
      <c r="I24" s="17"/>
      <c r="J24" s="18">
        <f>0.13*G22*1023.75/10</f>
        <v>557.7270408829163</v>
      </c>
      <c r="K24" s="17"/>
    </row>
    <row r="25" spans="1:11" x14ac:dyDescent="0.25">
      <c r="A25" s="16"/>
      <c r="B25" s="32" t="s">
        <v>42</v>
      </c>
      <c r="C25" s="17"/>
      <c r="D25" s="17"/>
      <c r="E25" s="17"/>
      <c r="F25" s="17"/>
      <c r="G25" s="17"/>
      <c r="H25" s="17"/>
      <c r="I25" s="17"/>
      <c r="J25" s="18">
        <f>0.13*G22*348.21/10</f>
        <v>189.70074032316512</v>
      </c>
      <c r="K25" s="17"/>
    </row>
    <row r="26" spans="1:11" x14ac:dyDescent="0.25">
      <c r="A26" s="16"/>
      <c r="B26" s="32" t="s">
        <v>43</v>
      </c>
      <c r="C26" s="17"/>
      <c r="D26" s="17"/>
      <c r="E26" s="17"/>
      <c r="F26" s="17"/>
      <c r="G26" s="17"/>
      <c r="H26" s="17"/>
      <c r="I26" s="17"/>
      <c r="J26" s="18">
        <f>0.13*G22*165/10</f>
        <v>89.890072523253906</v>
      </c>
      <c r="K26" s="17"/>
    </row>
    <row r="27" spans="1:11" x14ac:dyDescent="0.25">
      <c r="A27" s="16"/>
      <c r="B27" s="32"/>
      <c r="C27" s="17"/>
      <c r="D27" s="17"/>
      <c r="E27" s="17"/>
      <c r="F27" s="17"/>
      <c r="G27" s="17"/>
      <c r="H27" s="17"/>
      <c r="I27" s="17"/>
      <c r="J27" s="18"/>
      <c r="K27" s="17"/>
    </row>
    <row r="28" spans="1:11" ht="150" x14ac:dyDescent="0.25">
      <c r="A28" s="16">
        <v>3</v>
      </c>
      <c r="B28" s="41" t="s">
        <v>53</v>
      </c>
      <c r="C28" s="17"/>
      <c r="D28" s="17"/>
      <c r="E28" s="17"/>
      <c r="F28" s="17"/>
      <c r="G28" s="17"/>
      <c r="H28" s="17"/>
      <c r="I28" s="17"/>
      <c r="J28" s="18"/>
      <c r="K28" s="17"/>
    </row>
    <row r="29" spans="1:11" x14ac:dyDescent="0.25">
      <c r="A29" s="16"/>
      <c r="B29" s="32" t="s">
        <v>47</v>
      </c>
      <c r="C29" s="17">
        <f>2*6</f>
        <v>12</v>
      </c>
      <c r="D29" s="33">
        <v>0.3</v>
      </c>
      <c r="E29" s="33">
        <v>0.3</v>
      </c>
      <c r="F29" s="17">
        <v>0.45</v>
      </c>
      <c r="G29" s="33">
        <f t="shared" ref="G29:G31" si="11">PRODUCT(C29:F29)</f>
        <v>0.48599999999999993</v>
      </c>
      <c r="H29" s="17"/>
      <c r="I29" s="17"/>
      <c r="J29" s="18"/>
      <c r="K29" s="17"/>
    </row>
    <row r="30" spans="1:11" x14ac:dyDescent="0.25">
      <c r="A30" s="16"/>
      <c r="B30" s="32" t="str">
        <f>B35</f>
        <v>-for plinth</v>
      </c>
      <c r="C30" s="44">
        <v>0.5</v>
      </c>
      <c r="D30" s="33">
        <f>D35</f>
        <v>5.6385248399878085</v>
      </c>
      <c r="E30" s="33">
        <f t="shared" ref="E30:F31" si="12">E35</f>
        <v>2.3620847302651629</v>
      </c>
      <c r="F30" s="33">
        <f t="shared" si="12"/>
        <v>0.15</v>
      </c>
      <c r="G30" s="33">
        <f t="shared" si="11"/>
        <v>0.99890050693170163</v>
      </c>
      <c r="H30" s="17"/>
      <c r="I30" s="17"/>
      <c r="J30" s="18"/>
      <c r="K30" s="17"/>
    </row>
    <row r="31" spans="1:11" x14ac:dyDescent="0.25">
      <c r="A31" s="16"/>
      <c r="B31" s="32"/>
      <c r="C31" s="44">
        <v>0.5</v>
      </c>
      <c r="D31" s="33">
        <f>D36</f>
        <v>6.0957025297165499</v>
      </c>
      <c r="E31" s="33">
        <f t="shared" si="12"/>
        <v>3.5812252362084727</v>
      </c>
      <c r="F31" s="33">
        <f t="shared" si="12"/>
        <v>0.15</v>
      </c>
      <c r="G31" s="33">
        <f t="shared" si="11"/>
        <v>1.6372562798880552</v>
      </c>
      <c r="H31" s="17"/>
      <c r="I31" s="17"/>
      <c r="J31" s="18"/>
      <c r="K31" s="17"/>
    </row>
    <row r="32" spans="1:11" s="34" customFormat="1" x14ac:dyDescent="0.25">
      <c r="A32" s="2"/>
      <c r="B32" s="39" t="s">
        <v>36</v>
      </c>
      <c r="C32" s="3"/>
      <c r="D32" s="4"/>
      <c r="E32" s="5"/>
      <c r="F32" s="5"/>
      <c r="G32" s="38">
        <f>SUM(G29:G31)</f>
        <v>3.1221567868197568</v>
      </c>
      <c r="H32" s="7" t="s">
        <v>45</v>
      </c>
      <c r="I32" s="6">
        <v>748.9</v>
      </c>
      <c r="J32" s="38">
        <f>G32*I32</f>
        <v>2338.1832176493158</v>
      </c>
      <c r="K32" s="5"/>
    </row>
    <row r="33" spans="1:17" x14ac:dyDescent="0.25">
      <c r="A33" s="16"/>
      <c r="B33" s="32"/>
      <c r="C33" s="17"/>
      <c r="D33" s="17"/>
      <c r="E33" s="17"/>
      <c r="F33" s="17"/>
      <c r="G33" s="17"/>
      <c r="H33" s="17"/>
      <c r="I33" s="17"/>
      <c r="J33" s="18"/>
      <c r="K33" s="17"/>
    </row>
    <row r="34" spans="1:17" ht="90" customHeight="1" x14ac:dyDescent="0.25">
      <c r="A34" s="16">
        <v>4</v>
      </c>
      <c r="B34" s="41" t="s">
        <v>25</v>
      </c>
      <c r="C34" s="17"/>
      <c r="D34" s="17"/>
      <c r="E34" s="17"/>
      <c r="F34" s="17"/>
      <c r="G34" s="17"/>
      <c r="H34" s="17"/>
      <c r="I34" s="17"/>
      <c r="J34" s="18"/>
      <c r="K34" s="17"/>
    </row>
    <row r="35" spans="1:17" x14ac:dyDescent="0.25">
      <c r="A35" s="16"/>
      <c r="B35" s="32" t="s">
        <v>54</v>
      </c>
      <c r="C35" s="17">
        <v>1</v>
      </c>
      <c r="D35" s="33">
        <f>18.5/3.281</f>
        <v>5.6385248399878085</v>
      </c>
      <c r="E35" s="33">
        <f>((8.5+7)/2)/3.281</f>
        <v>2.3620847302651629</v>
      </c>
      <c r="F35" s="33">
        <v>0.15</v>
      </c>
      <c r="G35" s="33">
        <f t="shared" ref="G35:G37" si="13">PRODUCT(C35:F35)</f>
        <v>1.9978010138634033</v>
      </c>
      <c r="H35" s="17"/>
      <c r="I35" s="17"/>
      <c r="J35" s="18"/>
      <c r="K35" s="17"/>
    </row>
    <row r="36" spans="1:17" x14ac:dyDescent="0.25">
      <c r="A36" s="16"/>
      <c r="B36" s="32"/>
      <c r="C36" s="17">
        <v>1</v>
      </c>
      <c r="D36" s="33">
        <f>20/3.281</f>
        <v>6.0957025297165499</v>
      </c>
      <c r="E36" s="33">
        <f>((10.5+13)/2)/3.281</f>
        <v>3.5812252362084727</v>
      </c>
      <c r="F36" s="33">
        <v>0.15</v>
      </c>
      <c r="G36" s="33">
        <f t="shared" si="13"/>
        <v>3.2745125597761104</v>
      </c>
      <c r="H36" s="17"/>
      <c r="I36" s="17"/>
      <c r="J36" s="18"/>
      <c r="K36" s="17"/>
    </row>
    <row r="37" spans="1:17" x14ac:dyDescent="0.25">
      <c r="A37" s="16"/>
      <c r="B37" s="32" t="str">
        <f>B29</f>
        <v>-for footing of vertical post</v>
      </c>
      <c r="C37" s="17">
        <f>C29</f>
        <v>12</v>
      </c>
      <c r="D37" s="33">
        <f>D29</f>
        <v>0.3</v>
      </c>
      <c r="E37" s="33">
        <f>E29</f>
        <v>0.3</v>
      </c>
      <c r="F37" s="33">
        <v>0.15</v>
      </c>
      <c r="G37" s="33">
        <f t="shared" si="13"/>
        <v>0.16199999999999998</v>
      </c>
      <c r="H37" s="17"/>
      <c r="I37" s="17"/>
      <c r="J37" s="18"/>
      <c r="K37" s="17"/>
    </row>
    <row r="38" spans="1:17" s="34" customFormat="1" x14ac:dyDescent="0.25">
      <c r="A38" s="2"/>
      <c r="B38" s="39" t="s">
        <v>36</v>
      </c>
      <c r="C38" s="3"/>
      <c r="D38" s="4"/>
      <c r="E38" s="5"/>
      <c r="F38" s="5"/>
      <c r="G38" s="38">
        <f>SUM(G35:G37)</f>
        <v>5.4343135736395132</v>
      </c>
      <c r="H38" s="7" t="s">
        <v>45</v>
      </c>
      <c r="I38" s="6">
        <v>4458.5200000000004</v>
      </c>
      <c r="J38" s="38">
        <f>G38*I38</f>
        <v>24228.995754343243</v>
      </c>
      <c r="K38" s="5"/>
    </row>
    <row r="39" spans="1:17" x14ac:dyDescent="0.25">
      <c r="A39" s="16"/>
      <c r="B39" s="32" t="s">
        <v>29</v>
      </c>
      <c r="C39" s="17"/>
      <c r="D39" s="17"/>
      <c r="E39" s="17"/>
      <c r="F39" s="17"/>
      <c r="G39" s="17"/>
      <c r="H39" s="17"/>
      <c r="I39" s="17"/>
      <c r="J39" s="18">
        <f>0.13*G38*15452.64/5</f>
        <v>2183.3367738146871</v>
      </c>
      <c r="K39" s="17"/>
    </row>
    <row r="40" spans="1:17" x14ac:dyDescent="0.25">
      <c r="A40" s="16"/>
      <c r="B40" s="41"/>
      <c r="C40" s="17"/>
      <c r="D40" s="17"/>
      <c r="E40" s="17"/>
      <c r="F40" s="17"/>
      <c r="G40" s="17"/>
      <c r="H40" s="17"/>
      <c r="I40" s="17"/>
      <c r="J40" s="18"/>
      <c r="K40" s="17"/>
    </row>
    <row r="41" spans="1:17" ht="83.25" customHeight="1" x14ac:dyDescent="0.25">
      <c r="A41" s="16">
        <v>5</v>
      </c>
      <c r="B41" s="42" t="s">
        <v>55</v>
      </c>
      <c r="C41" s="17"/>
      <c r="D41" s="17"/>
      <c r="E41" s="17"/>
      <c r="F41" s="17"/>
      <c r="G41" s="17"/>
      <c r="H41" s="17"/>
      <c r="I41" s="17"/>
      <c r="J41" s="17"/>
      <c r="K41" s="17"/>
      <c r="Q41" s="43"/>
    </row>
    <row r="42" spans="1:17" x14ac:dyDescent="0.25">
      <c r="A42" s="16"/>
      <c r="B42" s="32" t="str">
        <f>B35</f>
        <v>-for plinth</v>
      </c>
      <c r="C42" s="17">
        <f>C35</f>
        <v>1</v>
      </c>
      <c r="D42" s="33">
        <f>D35</f>
        <v>5.6385248399878085</v>
      </c>
      <c r="E42" s="33">
        <f>E35</f>
        <v>2.3620847302651629</v>
      </c>
      <c r="F42" s="33">
        <v>0.1</v>
      </c>
      <c r="G42" s="33">
        <f t="shared" ref="G42:G44" si="14">PRODUCT(C42:F42)</f>
        <v>1.3318673425756025</v>
      </c>
      <c r="H42" s="17"/>
      <c r="I42" s="17"/>
      <c r="J42" s="18"/>
      <c r="K42" s="17"/>
    </row>
    <row r="43" spans="1:17" x14ac:dyDescent="0.25">
      <c r="A43" s="16"/>
      <c r="B43" s="32"/>
      <c r="C43" s="17">
        <v>1</v>
      </c>
      <c r="D43" s="33">
        <f>D36</f>
        <v>6.0957025297165499</v>
      </c>
      <c r="E43" s="33">
        <f>E36</f>
        <v>3.5812252362084727</v>
      </c>
      <c r="F43" s="33">
        <v>0.1</v>
      </c>
      <c r="G43" s="33">
        <f t="shared" si="14"/>
        <v>2.1830083731840739</v>
      </c>
      <c r="H43" s="17"/>
      <c r="I43" s="17"/>
      <c r="J43" s="18"/>
      <c r="K43" s="17"/>
    </row>
    <row r="44" spans="1:17" x14ac:dyDescent="0.25">
      <c r="A44" s="16"/>
      <c r="B44" s="32" t="str">
        <f>B37</f>
        <v>-for footing of vertical post</v>
      </c>
      <c r="C44" s="17">
        <f>C37</f>
        <v>12</v>
      </c>
      <c r="D44" s="33">
        <f>D37</f>
        <v>0.3</v>
      </c>
      <c r="E44" s="33">
        <f>E37</f>
        <v>0.3</v>
      </c>
      <c r="F44" s="33">
        <f>0.05+0.3</f>
        <v>0.35</v>
      </c>
      <c r="G44" s="33">
        <f t="shared" si="14"/>
        <v>0.37799999999999995</v>
      </c>
      <c r="H44" s="17"/>
      <c r="I44" s="17"/>
      <c r="J44" s="18"/>
      <c r="K44" s="17"/>
    </row>
    <row r="45" spans="1:17" s="34" customFormat="1" x14ac:dyDescent="0.25">
      <c r="A45" s="2"/>
      <c r="B45" s="39" t="s">
        <v>36</v>
      </c>
      <c r="C45" s="3"/>
      <c r="D45" s="4"/>
      <c r="E45" s="5"/>
      <c r="F45" s="5"/>
      <c r="G45" s="38">
        <f>SUM(G42:G44)</f>
        <v>3.8928757157596765</v>
      </c>
      <c r="H45" s="7" t="s">
        <v>45</v>
      </c>
      <c r="I45" s="6">
        <v>10964.46</v>
      </c>
      <c r="J45" s="38">
        <f>G45*I45</f>
        <v>42683.280070418339</v>
      </c>
      <c r="K45" s="5"/>
    </row>
    <row r="46" spans="1:17" x14ac:dyDescent="0.25">
      <c r="A46" s="16"/>
      <c r="B46" s="32" t="s">
        <v>26</v>
      </c>
      <c r="C46" s="17"/>
      <c r="D46" s="17"/>
      <c r="E46" s="17"/>
      <c r="F46" s="17"/>
      <c r="G46" s="17"/>
      <c r="H46" s="17"/>
      <c r="I46" s="17"/>
      <c r="J46" s="18">
        <f>0.13*G45*53818.03/15</f>
        <v>1815.7264844942229</v>
      </c>
      <c r="K46" s="17"/>
    </row>
    <row r="47" spans="1:17" x14ac:dyDescent="0.25">
      <c r="A47" s="16"/>
      <c r="B47" s="32" t="s">
        <v>27</v>
      </c>
      <c r="C47" s="17"/>
      <c r="D47" s="17"/>
      <c r="E47" s="17"/>
      <c r="F47" s="17"/>
      <c r="G47" s="17"/>
      <c r="H47" s="17"/>
      <c r="I47" s="17"/>
      <c r="J47" s="18">
        <f>0.13*G45*21432.6/15</f>
        <v>723.09854990178724</v>
      </c>
      <c r="K47" s="17"/>
    </row>
    <row r="48" spans="1:17" x14ac:dyDescent="0.25">
      <c r="A48" s="16"/>
      <c r="B48" s="32" t="s">
        <v>28</v>
      </c>
      <c r="C48" s="17"/>
      <c r="D48" s="17"/>
      <c r="E48" s="17"/>
      <c r="F48" s="17"/>
      <c r="G48" s="17"/>
      <c r="H48" s="17"/>
      <c r="I48" s="17"/>
      <c r="J48" s="18">
        <f>0.13*G45*(25719.12+13573.98+4286.52)/15</f>
        <v>1470.3003848003004</v>
      </c>
      <c r="K48" s="17"/>
    </row>
    <row r="49" spans="1:19" x14ac:dyDescent="0.25">
      <c r="A49" s="16"/>
      <c r="B49" s="32" t="s">
        <v>46</v>
      </c>
      <c r="C49" s="17"/>
      <c r="D49" s="17"/>
      <c r="E49" s="17"/>
      <c r="F49" s="17"/>
      <c r="G49" s="17"/>
      <c r="H49" s="17"/>
      <c r="I49" s="17"/>
      <c r="J49" s="18">
        <f>0.13*G45*(6325.7/15)</f>
        <v>213.41808726490186</v>
      </c>
      <c r="K49" s="17"/>
    </row>
    <row r="50" spans="1:19" x14ac:dyDescent="0.25">
      <c r="A50" s="16"/>
      <c r="B50" s="32" t="s">
        <v>30</v>
      </c>
      <c r="C50" s="17"/>
      <c r="D50" s="17"/>
      <c r="E50" s="17"/>
      <c r="F50" s="17"/>
      <c r="G50" s="17"/>
      <c r="H50" s="17"/>
      <c r="I50" s="17"/>
      <c r="J50" s="18">
        <f>0.13*G45*(310)/5</f>
        <v>31.376578269022993</v>
      </c>
      <c r="K50" s="17"/>
    </row>
    <row r="51" spans="1:19" x14ac:dyDescent="0.25">
      <c r="A51" s="16"/>
      <c r="B51" s="32"/>
      <c r="C51" s="17"/>
      <c r="D51" s="17"/>
      <c r="E51" s="17"/>
      <c r="F51" s="17"/>
      <c r="G51" s="17"/>
      <c r="H51" s="17"/>
      <c r="I51" s="17"/>
      <c r="J51" s="18"/>
      <c r="K51" s="17"/>
    </row>
    <row r="52" spans="1:19" ht="15" customHeight="1" x14ac:dyDescent="0.25">
      <c r="A52" s="2">
        <v>6</v>
      </c>
      <c r="B52" s="1" t="s">
        <v>16</v>
      </c>
      <c r="C52" s="3">
        <v>1</v>
      </c>
      <c r="D52" s="4"/>
      <c r="E52" s="5"/>
      <c r="F52" s="5"/>
      <c r="G52" s="7">
        <f t="shared" ref="G52" si="15">PRODUCT(C52:F52)</f>
        <v>1</v>
      </c>
      <c r="H52" s="7" t="s">
        <v>17</v>
      </c>
      <c r="I52" s="6">
        <v>500</v>
      </c>
      <c r="J52" s="7">
        <f>G52*I52</f>
        <v>500</v>
      </c>
      <c r="K52" s="5"/>
    </row>
    <row r="53" spans="1:19" x14ac:dyDescent="0.25">
      <c r="A53" s="2"/>
      <c r="B53" s="8"/>
      <c r="C53" s="3"/>
      <c r="D53" s="4"/>
      <c r="E53" s="5"/>
      <c r="F53" s="5"/>
      <c r="G53" s="6"/>
      <c r="H53" s="7"/>
      <c r="I53" s="6"/>
      <c r="J53" s="18"/>
      <c r="K53" s="5"/>
    </row>
    <row r="54" spans="1:19" x14ac:dyDescent="0.25">
      <c r="A54" s="21"/>
      <c r="B54" s="22" t="s">
        <v>19</v>
      </c>
      <c r="C54" s="23"/>
      <c r="D54" s="24"/>
      <c r="E54" s="24"/>
      <c r="F54" s="24"/>
      <c r="G54" s="18"/>
      <c r="H54" s="18"/>
      <c r="I54" s="18"/>
      <c r="J54" s="18">
        <f>SUM(J9:J52)</f>
        <v>200422.95926556629</v>
      </c>
      <c r="K54" s="25"/>
    </row>
    <row r="55" spans="1:19" x14ac:dyDescent="0.25">
      <c r="M55" s="20"/>
      <c r="N55" s="20"/>
      <c r="O55" s="20"/>
      <c r="P55" s="20"/>
      <c r="Q55" s="20"/>
      <c r="R55" s="20"/>
      <c r="S55" s="20"/>
    </row>
    <row r="56" spans="1:19" s="20" customFormat="1" x14ac:dyDescent="0.25">
      <c r="A56" s="26"/>
      <c r="B56" s="27" t="s">
        <v>18</v>
      </c>
      <c r="C56" s="46">
        <f>J54</f>
        <v>200422.95926556629</v>
      </c>
      <c r="D56" s="47"/>
      <c r="E56" s="9">
        <v>100</v>
      </c>
      <c r="F56" s="26"/>
      <c r="G56" s="28"/>
      <c r="H56" s="26"/>
      <c r="I56" s="29"/>
      <c r="J56" s="30"/>
      <c r="K56" s="31"/>
      <c r="M56" s="19"/>
      <c r="N56" s="19"/>
      <c r="O56" s="19"/>
      <c r="P56" s="19"/>
      <c r="Q56" s="19"/>
      <c r="R56" s="19"/>
      <c r="S56" s="19"/>
    </row>
    <row r="57" spans="1:19" x14ac:dyDescent="0.25">
      <c r="B57" s="27" t="s">
        <v>20</v>
      </c>
      <c r="C57" s="50">
        <v>175000</v>
      </c>
      <c r="D57" s="51"/>
      <c r="E57" s="9"/>
    </row>
    <row r="58" spans="1:19" x14ac:dyDescent="0.25">
      <c r="B58" s="27" t="s">
        <v>21</v>
      </c>
      <c r="C58" s="50">
        <f>C57-C60-C61</f>
        <v>166250</v>
      </c>
      <c r="D58" s="51"/>
      <c r="E58" s="9">
        <f>C58/C56*100</f>
        <v>82.949578535917084</v>
      </c>
    </row>
    <row r="59" spans="1:19" x14ac:dyDescent="0.25">
      <c r="B59" s="27" t="s">
        <v>31</v>
      </c>
      <c r="C59" s="52">
        <f>C56-C58</f>
        <v>34172.959265566285</v>
      </c>
      <c r="D59" s="52"/>
      <c r="E59" s="9">
        <f>100-E58</f>
        <v>17.050421464082916</v>
      </c>
    </row>
    <row r="60" spans="1:19" x14ac:dyDescent="0.25">
      <c r="B60" s="27" t="s">
        <v>22</v>
      </c>
      <c r="C60" s="46">
        <f>C57*0.03</f>
        <v>5250</v>
      </c>
      <c r="D60" s="47"/>
      <c r="E60" s="9">
        <v>3</v>
      </c>
    </row>
    <row r="61" spans="1:19" x14ac:dyDescent="0.25">
      <c r="B61" s="27" t="s">
        <v>23</v>
      </c>
      <c r="C61" s="46">
        <f>C57*0.02</f>
        <v>3500</v>
      </c>
      <c r="D61" s="47"/>
      <c r="E61" s="9">
        <v>2</v>
      </c>
    </row>
  </sheetData>
  <mergeCells count="15">
    <mergeCell ref="A6:F6"/>
    <mergeCell ref="H6:K6"/>
    <mergeCell ref="A1:K1"/>
    <mergeCell ref="A2:K2"/>
    <mergeCell ref="A3:K3"/>
    <mergeCell ref="A4:K4"/>
    <mergeCell ref="A5:K5"/>
    <mergeCell ref="C60:D60"/>
    <mergeCell ref="C61:D61"/>
    <mergeCell ref="A7:F7"/>
    <mergeCell ref="H7:K7"/>
    <mergeCell ref="C56:D56"/>
    <mergeCell ref="C57:D57"/>
    <mergeCell ref="C58:D58"/>
    <mergeCell ref="C59:D59"/>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46B58-807D-4329-8B5F-7E44966801E9}">
  <dimension ref="A1:S59"/>
  <sheetViews>
    <sheetView tabSelected="1" view="pageBreakPreview" topLeftCell="A40" zoomScaleNormal="90" zoomScaleSheetLayoutView="100" workbookViewId="0">
      <selection activeCell="J42" sqref="J42"/>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customWidth="1"/>
    <col min="10" max="10" width="10.7109375" style="19" bestFit="1" customWidth="1"/>
    <col min="11" max="12" width="9.140625" style="19"/>
    <col min="13" max="16" width="0" style="19" hidden="1" customWidth="1"/>
    <col min="17" max="17" width="37.28515625" style="19" customWidth="1"/>
    <col min="18" max="16384" width="9.140625" style="19"/>
  </cols>
  <sheetData>
    <row r="1" spans="1:11" x14ac:dyDescent="0.25">
      <c r="A1" s="55" t="s">
        <v>0</v>
      </c>
      <c r="B1" s="55"/>
      <c r="C1" s="55"/>
      <c r="D1" s="55"/>
      <c r="E1" s="55"/>
      <c r="F1" s="55"/>
      <c r="G1" s="55"/>
      <c r="H1" s="55"/>
      <c r="I1" s="55"/>
      <c r="J1" s="55"/>
      <c r="K1" s="55"/>
    </row>
    <row r="2" spans="1:11" ht="22.5" x14ac:dyDescent="0.25">
      <c r="A2" s="56" t="s">
        <v>1</v>
      </c>
      <c r="B2" s="56"/>
      <c r="C2" s="56"/>
      <c r="D2" s="56"/>
      <c r="E2" s="56"/>
      <c r="F2" s="56"/>
      <c r="G2" s="56"/>
      <c r="H2" s="56"/>
      <c r="I2" s="56"/>
      <c r="J2" s="56"/>
      <c r="K2" s="56"/>
    </row>
    <row r="3" spans="1:11" x14ac:dyDescent="0.25">
      <c r="A3" s="57" t="s">
        <v>2</v>
      </c>
      <c r="B3" s="57"/>
      <c r="C3" s="57"/>
      <c r="D3" s="57"/>
      <c r="E3" s="57"/>
      <c r="F3" s="57"/>
      <c r="G3" s="57"/>
      <c r="H3" s="57"/>
      <c r="I3" s="57"/>
      <c r="J3" s="57"/>
      <c r="K3" s="57"/>
    </row>
    <row r="4" spans="1:11" x14ac:dyDescent="0.25">
      <c r="A4" s="57" t="s">
        <v>3</v>
      </c>
      <c r="B4" s="57"/>
      <c r="C4" s="57"/>
      <c r="D4" s="57"/>
      <c r="E4" s="57"/>
      <c r="F4" s="57"/>
      <c r="G4" s="57"/>
      <c r="H4" s="57"/>
      <c r="I4" s="57"/>
      <c r="J4" s="57"/>
      <c r="K4" s="57"/>
    </row>
    <row r="5" spans="1:11" ht="18.75" x14ac:dyDescent="0.3">
      <c r="A5" s="58" t="s">
        <v>4</v>
      </c>
      <c r="B5" s="58"/>
      <c r="C5" s="58"/>
      <c r="D5" s="58"/>
      <c r="E5" s="58"/>
      <c r="F5" s="58"/>
      <c r="G5" s="58"/>
      <c r="H5" s="58"/>
      <c r="I5" s="58"/>
      <c r="J5" s="58"/>
      <c r="K5" s="58"/>
    </row>
    <row r="6" spans="1:11" ht="15.75" x14ac:dyDescent="0.25">
      <c r="A6" s="53" t="s">
        <v>56</v>
      </c>
      <c r="B6" s="53"/>
      <c r="C6" s="53"/>
      <c r="D6" s="53"/>
      <c r="E6" s="53"/>
      <c r="F6" s="53"/>
      <c r="G6" s="10"/>
      <c r="H6" s="54" t="s">
        <v>24</v>
      </c>
      <c r="I6" s="54"/>
      <c r="J6" s="54"/>
      <c r="K6" s="54"/>
    </row>
    <row r="7" spans="1:11" ht="15.75" x14ac:dyDescent="0.25">
      <c r="A7" s="48" t="s">
        <v>48</v>
      </c>
      <c r="B7" s="48"/>
      <c r="C7" s="48"/>
      <c r="D7" s="48"/>
      <c r="E7" s="48"/>
      <c r="F7" s="48"/>
      <c r="G7" s="11"/>
      <c r="H7" s="49" t="s">
        <v>57</v>
      </c>
      <c r="I7" s="49"/>
      <c r="J7" s="49"/>
      <c r="K7" s="49"/>
    </row>
    <row r="8" spans="1:11" ht="15.75" x14ac:dyDescent="0.25">
      <c r="A8" s="12" t="s">
        <v>5</v>
      </c>
      <c r="B8" s="13" t="s">
        <v>6</v>
      </c>
      <c r="C8" s="12" t="s">
        <v>7</v>
      </c>
      <c r="D8" s="14" t="s">
        <v>8</v>
      </c>
      <c r="E8" s="14" t="s">
        <v>9</v>
      </c>
      <c r="F8" s="14" t="s">
        <v>10</v>
      </c>
      <c r="G8" s="14" t="s">
        <v>11</v>
      </c>
      <c r="H8" s="12" t="s">
        <v>12</v>
      </c>
      <c r="I8" s="14" t="s">
        <v>13</v>
      </c>
      <c r="J8" s="14" t="s">
        <v>14</v>
      </c>
      <c r="K8" s="15" t="s">
        <v>15</v>
      </c>
    </row>
    <row r="9" spans="1:11" s="34" customFormat="1" ht="60" x14ac:dyDescent="0.25">
      <c r="A9" s="2">
        <v>1</v>
      </c>
      <c r="B9" s="35" t="s">
        <v>66</v>
      </c>
      <c r="C9" s="3" t="s">
        <v>7</v>
      </c>
      <c r="D9" s="36" t="s">
        <v>33</v>
      </c>
      <c r="E9" s="37" t="s">
        <v>34</v>
      </c>
      <c r="F9" s="37" t="s">
        <v>35</v>
      </c>
      <c r="G9" s="37"/>
      <c r="H9" s="7"/>
      <c r="I9" s="6"/>
      <c r="J9" s="38"/>
      <c r="K9" s="5"/>
    </row>
    <row r="10" spans="1:11" s="34" customFormat="1" ht="30" x14ac:dyDescent="0.25">
      <c r="A10" s="16"/>
      <c r="B10" s="39" t="s">
        <v>58</v>
      </c>
      <c r="C10" s="40">
        <v>9</v>
      </c>
      <c r="D10" s="9">
        <f>(9+1)/3.281</f>
        <v>3.047851264858275</v>
      </c>
      <c r="E10" s="9">
        <v>4.4000000000000004</v>
      </c>
      <c r="F10" s="9">
        <f t="shared" ref="F10:F12" si="0">PRODUCT(C10:E10)</f>
        <v>120.69491008838769</v>
      </c>
      <c r="G10" s="9">
        <f t="shared" ref="G10:G12" si="1">F10</f>
        <v>120.69491008838769</v>
      </c>
      <c r="H10" s="38"/>
      <c r="I10" s="38"/>
      <c r="J10" s="38"/>
      <c r="K10" s="27"/>
    </row>
    <row r="11" spans="1:11" s="34" customFormat="1" ht="30" x14ac:dyDescent="0.25">
      <c r="A11" s="16"/>
      <c r="B11" s="39" t="s">
        <v>59</v>
      </c>
      <c r="C11" s="40">
        <v>6</v>
      </c>
      <c r="D11" s="9">
        <f>11/3.281</f>
        <v>3.3526363913441024</v>
      </c>
      <c r="E11" s="9">
        <v>1.83</v>
      </c>
      <c r="F11" s="9">
        <f t="shared" si="0"/>
        <v>36.811947576958246</v>
      </c>
      <c r="G11" s="9">
        <f t="shared" si="1"/>
        <v>36.811947576958246</v>
      </c>
      <c r="H11" s="38"/>
      <c r="I11" s="38"/>
      <c r="J11" s="38"/>
      <c r="K11" s="27"/>
    </row>
    <row r="12" spans="1:11" s="34" customFormat="1" ht="30" x14ac:dyDescent="0.25">
      <c r="A12" s="16"/>
      <c r="B12" s="39" t="s">
        <v>60</v>
      </c>
      <c r="C12" s="40">
        <v>10</v>
      </c>
      <c r="D12" s="9">
        <f>(35)/3.281</f>
        <v>10.667479427003961</v>
      </c>
      <c r="E12" s="9">
        <v>1.83</v>
      </c>
      <c r="F12" s="9">
        <f t="shared" si="0"/>
        <v>195.2148735141725</v>
      </c>
      <c r="G12" s="9">
        <f t="shared" si="1"/>
        <v>195.2148735141725</v>
      </c>
      <c r="H12" s="38"/>
      <c r="I12" s="38"/>
      <c r="J12" s="38"/>
      <c r="K12" s="27"/>
    </row>
    <row r="13" spans="1:11" s="34" customFormat="1" ht="30" x14ac:dyDescent="0.25">
      <c r="A13" s="16"/>
      <c r="B13" s="39" t="s">
        <v>68</v>
      </c>
      <c r="C13" s="40">
        <f>3*2</f>
        <v>6</v>
      </c>
      <c r="D13" s="9">
        <f>(2+2+1.33+2)/3.281</f>
        <v>2.2340749771411152</v>
      </c>
      <c r="E13" s="9">
        <v>1.04</v>
      </c>
      <c r="F13" s="9">
        <f t="shared" ref="F13:F14" si="2">PRODUCT(C13:E13)</f>
        <v>13.94062785736056</v>
      </c>
      <c r="G13" s="9">
        <f t="shared" ref="G13:G14" si="3">F13</f>
        <v>13.94062785736056</v>
      </c>
      <c r="H13" s="38"/>
      <c r="I13" s="38"/>
      <c r="J13" s="38"/>
      <c r="K13" s="27"/>
    </row>
    <row r="14" spans="1:11" s="34" customFormat="1" x14ac:dyDescent="0.25">
      <c r="A14" s="16"/>
      <c r="B14" s="39"/>
      <c r="C14" s="40">
        <f>2*3</f>
        <v>6</v>
      </c>
      <c r="D14" s="9">
        <f>10/3.281</f>
        <v>3.047851264858275</v>
      </c>
      <c r="E14" s="9">
        <v>1.04</v>
      </c>
      <c r="F14" s="9">
        <f t="shared" si="2"/>
        <v>19.018591892715637</v>
      </c>
      <c r="G14" s="9">
        <f t="shared" si="3"/>
        <v>19.018591892715637</v>
      </c>
      <c r="H14" s="38"/>
      <c r="I14" s="38"/>
      <c r="J14" s="38"/>
      <c r="K14" s="27"/>
    </row>
    <row r="15" spans="1:11" s="34" customFormat="1" ht="30" x14ac:dyDescent="0.25">
      <c r="A15" s="16"/>
      <c r="B15" s="39" t="s">
        <v>67</v>
      </c>
      <c r="C15" s="40">
        <f>2*2</f>
        <v>4</v>
      </c>
      <c r="D15" s="9">
        <f>10/3.281</f>
        <v>3.047851264858275</v>
      </c>
      <c r="E15" s="9">
        <v>0.9</v>
      </c>
      <c r="F15" s="9">
        <f t="shared" ref="F15:F16" si="4">PRODUCT(C15:E15)</f>
        <v>10.97226455348979</v>
      </c>
      <c r="G15" s="9">
        <f t="shared" ref="G15:G16" si="5">F15</f>
        <v>10.97226455348979</v>
      </c>
      <c r="H15" s="38"/>
      <c r="I15" s="38"/>
      <c r="J15" s="38"/>
      <c r="K15" s="27"/>
    </row>
    <row r="16" spans="1:11" s="34" customFormat="1" x14ac:dyDescent="0.25">
      <c r="A16" s="16"/>
      <c r="B16" s="39"/>
      <c r="C16" s="40">
        <f>2*3</f>
        <v>6</v>
      </c>
      <c r="D16" s="9">
        <f>1.25/3.281</f>
        <v>0.38098140810728437</v>
      </c>
      <c r="E16" s="9">
        <v>0.9</v>
      </c>
      <c r="F16" s="9">
        <f t="shared" si="4"/>
        <v>2.0572996037793354</v>
      </c>
      <c r="G16" s="9">
        <f t="shared" si="5"/>
        <v>2.0572996037793354</v>
      </c>
      <c r="H16" s="38"/>
      <c r="I16" s="38"/>
      <c r="J16" s="38"/>
      <c r="K16" s="27"/>
    </row>
    <row r="17" spans="1:17" s="34" customFormat="1" x14ac:dyDescent="0.25">
      <c r="A17" s="16"/>
      <c r="B17" s="39" t="s">
        <v>69</v>
      </c>
      <c r="C17" s="40">
        <v>13</v>
      </c>
      <c r="D17" s="9">
        <f>10/3.281</f>
        <v>3.047851264858275</v>
      </c>
      <c r="E17" s="9">
        <v>0.78</v>
      </c>
      <c r="F17" s="9">
        <f t="shared" ref="F17" si="6">PRODUCT(C17:E17)</f>
        <v>30.905211825662906</v>
      </c>
      <c r="G17" s="9">
        <f t="shared" ref="G17" si="7">F17</f>
        <v>30.905211825662906</v>
      </c>
      <c r="H17" s="38"/>
      <c r="I17" s="38"/>
      <c r="J17" s="38"/>
      <c r="K17" s="27"/>
    </row>
    <row r="18" spans="1:17" s="34" customFormat="1" x14ac:dyDescent="0.25">
      <c r="A18" s="2"/>
      <c r="B18" s="39" t="s">
        <v>36</v>
      </c>
      <c r="C18" s="3"/>
      <c r="D18" s="4"/>
      <c r="E18" s="5"/>
      <c r="F18" s="5"/>
      <c r="G18" s="38">
        <f>SUM(G10:G17)</f>
        <v>429.61572691252655</v>
      </c>
      <c r="H18" s="7" t="s">
        <v>37</v>
      </c>
      <c r="I18" s="6">
        <v>182.51</v>
      </c>
      <c r="J18" s="38">
        <f>G18*I18</f>
        <v>78409.166318805219</v>
      </c>
      <c r="K18" s="5"/>
    </row>
    <row r="19" spans="1:17" s="34" customFormat="1" x14ac:dyDescent="0.25">
      <c r="A19" s="2"/>
      <c r="B19" s="39" t="s">
        <v>38</v>
      </c>
      <c r="C19" s="3"/>
      <c r="D19" s="4"/>
      <c r="E19" s="5"/>
      <c r="F19" s="5"/>
      <c r="G19" s="38"/>
      <c r="H19" s="7"/>
      <c r="I19" s="6"/>
      <c r="J19" s="38">
        <f>0.13*G18*(1871.42/18.94)</f>
        <v>5518.4208170867614</v>
      </c>
      <c r="K19" s="5"/>
    </row>
    <row r="20" spans="1:17" s="34" customFormat="1" x14ac:dyDescent="0.25">
      <c r="A20" s="2"/>
      <c r="B20" s="39"/>
      <c r="C20" s="3"/>
      <c r="D20" s="4"/>
      <c r="E20" s="5"/>
      <c r="F20" s="5"/>
      <c r="G20" s="38"/>
      <c r="H20" s="7"/>
      <c r="I20" s="6"/>
      <c r="J20" s="38"/>
      <c r="K20" s="5"/>
    </row>
    <row r="21" spans="1:17" s="34" customFormat="1" ht="30" x14ac:dyDescent="0.25">
      <c r="A21" s="2">
        <v>2</v>
      </c>
      <c r="B21" s="45" t="s">
        <v>62</v>
      </c>
      <c r="C21" s="3"/>
      <c r="D21" s="4"/>
      <c r="E21" s="5"/>
      <c r="F21" s="5"/>
      <c r="G21" s="38"/>
      <c r="H21" s="7"/>
      <c r="I21" s="6"/>
      <c r="J21" s="38"/>
      <c r="K21" s="5"/>
    </row>
    <row r="22" spans="1:17" s="34" customFormat="1" x14ac:dyDescent="0.25">
      <c r="A22" s="2"/>
      <c r="B22" s="39" t="s">
        <v>61</v>
      </c>
      <c r="C22" s="3">
        <v>1</v>
      </c>
      <c r="D22" s="4">
        <f>35/3.281</f>
        <v>10.667479427003961</v>
      </c>
      <c r="E22" s="5">
        <f>11/3.281</f>
        <v>3.3526363913441024</v>
      </c>
      <c r="F22" s="5"/>
      <c r="G22" s="33">
        <f t="shared" ref="G22" si="8">PRODUCT(C22:F22)</f>
        <v>35.764179730888017</v>
      </c>
      <c r="H22" s="7"/>
      <c r="I22" s="6"/>
      <c r="J22" s="38"/>
      <c r="K22" s="5"/>
    </row>
    <row r="23" spans="1:17" s="34" customFormat="1" x14ac:dyDescent="0.25">
      <c r="A23" s="2"/>
      <c r="B23" s="39" t="s">
        <v>36</v>
      </c>
      <c r="C23" s="3"/>
      <c r="D23" s="4"/>
      <c r="E23" s="5"/>
      <c r="F23" s="5"/>
      <c r="G23" s="38">
        <f>SUM(G22:G22)</f>
        <v>35.764179730888017</v>
      </c>
      <c r="H23" s="7" t="s">
        <v>39</v>
      </c>
      <c r="I23" s="6">
        <v>2150.64</v>
      </c>
      <c r="J23" s="38">
        <f>G23*I23</f>
        <v>76915.875496437002</v>
      </c>
      <c r="K23" s="5"/>
      <c r="Q23" s="19"/>
    </row>
    <row r="24" spans="1:17" x14ac:dyDescent="0.25">
      <c r="A24" s="16"/>
      <c r="B24" s="32" t="s">
        <v>63</v>
      </c>
      <c r="C24" s="17"/>
      <c r="D24" s="17"/>
      <c r="E24" s="17"/>
      <c r="F24" s="17"/>
      <c r="G24" s="17"/>
      <c r="H24" s="17"/>
      <c r="I24" s="17"/>
      <c r="J24" s="18">
        <f>0.13*G23*17431.2/10</f>
        <v>8104.3634064257185</v>
      </c>
      <c r="K24" s="17"/>
    </row>
    <row r="25" spans="1:17" x14ac:dyDescent="0.25">
      <c r="A25" s="16"/>
      <c r="B25" s="32" t="s">
        <v>64</v>
      </c>
      <c r="C25" s="17"/>
      <c r="D25" s="17"/>
      <c r="E25" s="17"/>
      <c r="F25" s="17"/>
      <c r="G25" s="17"/>
      <c r="H25" s="17"/>
      <c r="I25" s="17"/>
      <c r="J25" s="18">
        <f>0.13*G23*1023.75/10</f>
        <v>475.97652699345599</v>
      </c>
      <c r="K25" s="17"/>
    </row>
    <row r="26" spans="1:17" x14ac:dyDescent="0.25">
      <c r="A26" s="16"/>
      <c r="B26" s="32" t="s">
        <v>42</v>
      </c>
      <c r="C26" s="17"/>
      <c r="D26" s="17"/>
      <c r="E26" s="17"/>
      <c r="F26" s="17"/>
      <c r="G26" s="17"/>
      <c r="H26" s="17"/>
      <c r="I26" s="17"/>
      <c r="J26" s="18">
        <f>0.13*G23*348.21/10</f>
        <v>161.8947853132027</v>
      </c>
      <c r="K26" s="17"/>
    </row>
    <row r="27" spans="1:17" x14ac:dyDescent="0.25">
      <c r="A27" s="16"/>
      <c r="B27" s="32" t="s">
        <v>43</v>
      </c>
      <c r="C27" s="17"/>
      <c r="D27" s="17"/>
      <c r="E27" s="17"/>
      <c r="F27" s="17"/>
      <c r="G27" s="17"/>
      <c r="H27" s="17"/>
      <c r="I27" s="17"/>
      <c r="J27" s="18">
        <f>0.13*G23*165/10</f>
        <v>76.714165522754811</v>
      </c>
      <c r="K27" s="17"/>
    </row>
    <row r="28" spans="1:17" x14ac:dyDescent="0.25">
      <c r="A28" s="16"/>
      <c r="B28" s="32"/>
      <c r="C28" s="17"/>
      <c r="D28" s="17"/>
      <c r="E28" s="17"/>
      <c r="F28" s="17"/>
      <c r="G28" s="17"/>
      <c r="H28" s="17"/>
      <c r="I28" s="17"/>
      <c r="J28" s="18"/>
      <c r="K28" s="17"/>
    </row>
    <row r="29" spans="1:17" ht="30" x14ac:dyDescent="0.25">
      <c r="A29" s="16">
        <v>3</v>
      </c>
      <c r="B29" s="45" t="s">
        <v>65</v>
      </c>
      <c r="C29" s="17"/>
      <c r="D29" s="17"/>
      <c r="E29" s="17"/>
      <c r="F29" s="17"/>
      <c r="G29" s="17"/>
      <c r="H29" s="17"/>
      <c r="I29" s="17"/>
      <c r="J29" s="18"/>
      <c r="K29" s="17"/>
    </row>
    <row r="30" spans="1:17" x14ac:dyDescent="0.25">
      <c r="A30" s="16"/>
      <c r="B30" s="32" t="s">
        <v>47</v>
      </c>
      <c r="C30" s="17">
        <v>3</v>
      </c>
      <c r="D30" s="33">
        <v>0.45</v>
      </c>
      <c r="E30" s="33">
        <v>0.45</v>
      </c>
      <c r="F30" s="33">
        <v>0.6</v>
      </c>
      <c r="G30" s="33">
        <f t="shared" ref="G30:G31" si="9">PRODUCT(C30:F30)</f>
        <v>0.36449999999999999</v>
      </c>
      <c r="H30" s="17"/>
      <c r="I30" s="17"/>
      <c r="J30" s="18"/>
      <c r="K30" s="17"/>
    </row>
    <row r="31" spans="1:17" x14ac:dyDescent="0.25">
      <c r="A31" s="16"/>
      <c r="B31" s="32" t="str">
        <f>B35</f>
        <v>-for plinth</v>
      </c>
      <c r="C31" s="44">
        <v>0.5</v>
      </c>
      <c r="D31" s="33">
        <f>D35</f>
        <v>5.6385248399878085</v>
      </c>
      <c r="E31" s="33">
        <f>E35</f>
        <v>2.3620847302651629</v>
      </c>
      <c r="F31" s="33">
        <f>F35</f>
        <v>0.15</v>
      </c>
      <c r="G31" s="33">
        <f t="shared" si="9"/>
        <v>0.99890050693170163</v>
      </c>
      <c r="H31" s="17"/>
      <c r="I31" s="17"/>
      <c r="J31" s="18"/>
      <c r="K31" s="17"/>
      <c r="Q31" s="34"/>
    </row>
    <row r="32" spans="1:17" s="34" customFormat="1" x14ac:dyDescent="0.25">
      <c r="A32" s="2"/>
      <c r="B32" s="39" t="s">
        <v>36</v>
      </c>
      <c r="C32" s="3"/>
      <c r="D32" s="4"/>
      <c r="E32" s="5"/>
      <c r="F32" s="5"/>
      <c r="G32" s="38">
        <f>SUM(G30:G31)</f>
        <v>1.3634005069317017</v>
      </c>
      <c r="H32" s="7" t="s">
        <v>45</v>
      </c>
      <c r="I32" s="6">
        <v>674.12</v>
      </c>
      <c r="J32" s="38">
        <f>G32*I32</f>
        <v>919.09554973279876</v>
      </c>
      <c r="K32" s="5"/>
      <c r="Q32" s="19"/>
    </row>
    <row r="33" spans="1:17" x14ac:dyDescent="0.25">
      <c r="A33" s="16"/>
      <c r="B33" s="32"/>
      <c r="C33" s="17"/>
      <c r="D33" s="17"/>
      <c r="E33" s="17"/>
      <c r="F33" s="17"/>
      <c r="G33" s="17"/>
      <c r="H33" s="17"/>
      <c r="I33" s="17"/>
      <c r="J33" s="18"/>
      <c r="K33" s="17"/>
    </row>
    <row r="34" spans="1:17" ht="90" customHeight="1" x14ac:dyDescent="0.25">
      <c r="A34" s="16">
        <v>4</v>
      </c>
      <c r="B34" s="41" t="s">
        <v>25</v>
      </c>
      <c r="C34" s="17"/>
      <c r="D34" s="17"/>
      <c r="E34" s="17"/>
      <c r="F34" s="17"/>
      <c r="G34" s="17"/>
      <c r="H34" s="17"/>
      <c r="I34" s="17"/>
      <c r="J34" s="18"/>
      <c r="K34" s="17"/>
    </row>
    <row r="35" spans="1:17" x14ac:dyDescent="0.25">
      <c r="A35" s="16"/>
      <c r="B35" s="32" t="s">
        <v>54</v>
      </c>
      <c r="C35" s="17">
        <v>1</v>
      </c>
      <c r="D35" s="33">
        <f>18.5/3.281</f>
        <v>5.6385248399878085</v>
      </c>
      <c r="E35" s="33">
        <f>((8.5+7)/2)/3.281</f>
        <v>2.3620847302651629</v>
      </c>
      <c r="F35" s="33">
        <v>0.15</v>
      </c>
      <c r="G35" s="33">
        <f t="shared" ref="G35:G36" si="10">PRODUCT(C35:F35)</f>
        <v>1.9978010138634033</v>
      </c>
      <c r="H35" s="17"/>
      <c r="I35" s="17"/>
      <c r="J35" s="18"/>
      <c r="K35" s="17"/>
    </row>
    <row r="36" spans="1:17" x14ac:dyDescent="0.25">
      <c r="A36" s="16"/>
      <c r="B36" s="32" t="str">
        <f>B30</f>
        <v>-for footing of vertical post</v>
      </c>
      <c r="C36" s="17">
        <f>C30</f>
        <v>3</v>
      </c>
      <c r="D36" s="33">
        <f>D30</f>
        <v>0.45</v>
      </c>
      <c r="E36" s="33">
        <f>E30</f>
        <v>0.45</v>
      </c>
      <c r="F36" s="33">
        <v>0.15</v>
      </c>
      <c r="G36" s="33">
        <f t="shared" si="10"/>
        <v>9.1124999999999998E-2</v>
      </c>
      <c r="H36" s="17"/>
      <c r="I36" s="17"/>
      <c r="J36" s="18"/>
      <c r="K36" s="17"/>
      <c r="Q36" s="34"/>
    </row>
    <row r="37" spans="1:17" s="34" customFormat="1" x14ac:dyDescent="0.25">
      <c r="A37" s="2"/>
      <c r="B37" s="39" t="s">
        <v>36</v>
      </c>
      <c r="C37" s="3"/>
      <c r="D37" s="4"/>
      <c r="E37" s="5"/>
      <c r="F37" s="5"/>
      <c r="G37" s="38">
        <f>SUM(G35:G36)</f>
        <v>2.0889260138634032</v>
      </c>
      <c r="H37" s="7" t="s">
        <v>45</v>
      </c>
      <c r="I37" s="6">
        <v>4458.5200000000004</v>
      </c>
      <c r="J37" s="38">
        <f>G37*I37</f>
        <v>9313.5184113302603</v>
      </c>
      <c r="K37" s="5"/>
      <c r="Q37" s="19"/>
    </row>
    <row r="38" spans="1:17" x14ac:dyDescent="0.25">
      <c r="A38" s="16"/>
      <c r="B38" s="32" t="s">
        <v>29</v>
      </c>
      <c r="C38" s="17"/>
      <c r="D38" s="17"/>
      <c r="E38" s="17"/>
      <c r="F38" s="17"/>
      <c r="G38" s="17"/>
      <c r="H38" s="17"/>
      <c r="I38" s="17"/>
      <c r="J38" s="18">
        <f>0.13*G37*15452.64/5</f>
        <v>839.2649636505206</v>
      </c>
      <c r="K38" s="17"/>
    </row>
    <row r="39" spans="1:17" ht="15.75" x14ac:dyDescent="0.25">
      <c r="A39" s="16"/>
      <c r="B39" s="41"/>
      <c r="C39" s="17"/>
      <c r="D39" s="17"/>
      <c r="E39" s="17"/>
      <c r="F39" s="17"/>
      <c r="G39" s="17"/>
      <c r="H39" s="17"/>
      <c r="I39" s="17"/>
      <c r="J39" s="18"/>
      <c r="K39" s="17"/>
      <c r="Q39" s="43"/>
    </row>
    <row r="40" spans="1:17" ht="83.25" customHeight="1" x14ac:dyDescent="0.25">
      <c r="A40" s="16">
        <v>5</v>
      </c>
      <c r="B40" s="42" t="s">
        <v>55</v>
      </c>
      <c r="C40" s="17"/>
      <c r="D40" s="17"/>
      <c r="E40" s="17"/>
      <c r="F40" s="17"/>
      <c r="G40" s="17"/>
      <c r="H40" s="17"/>
      <c r="I40" s="17"/>
      <c r="J40" s="17"/>
      <c r="K40" s="17"/>
    </row>
    <row r="41" spans="1:17" x14ac:dyDescent="0.25">
      <c r="A41" s="16"/>
      <c r="B41" s="32" t="str">
        <f t="shared" ref="B41:E42" si="11">B35</f>
        <v>-for plinth</v>
      </c>
      <c r="C41" s="17">
        <f t="shared" si="11"/>
        <v>1</v>
      </c>
      <c r="D41" s="33">
        <f t="shared" si="11"/>
        <v>5.6385248399878085</v>
      </c>
      <c r="E41" s="33">
        <f t="shared" si="11"/>
        <v>2.3620847302651629</v>
      </c>
      <c r="F41" s="33">
        <v>7.4999999999999997E-2</v>
      </c>
      <c r="G41" s="33">
        <f t="shared" ref="G41:G42" si="12">PRODUCT(C41:F41)</f>
        <v>0.99890050693170163</v>
      </c>
      <c r="H41" s="17"/>
      <c r="I41" s="17"/>
      <c r="J41" s="18"/>
      <c r="K41" s="17"/>
    </row>
    <row r="42" spans="1:17" x14ac:dyDescent="0.25">
      <c r="A42" s="16"/>
      <c r="B42" s="32" t="str">
        <f t="shared" si="11"/>
        <v>-for footing of vertical post</v>
      </c>
      <c r="C42" s="17">
        <f t="shared" si="11"/>
        <v>3</v>
      </c>
      <c r="D42" s="33">
        <f t="shared" si="11"/>
        <v>0.45</v>
      </c>
      <c r="E42" s="33">
        <f t="shared" si="11"/>
        <v>0.45</v>
      </c>
      <c r="F42" s="33">
        <f>0.05+0.3</f>
        <v>0.35</v>
      </c>
      <c r="G42" s="33">
        <f t="shared" si="12"/>
        <v>0.21262500000000001</v>
      </c>
      <c r="H42" s="17"/>
      <c r="I42" s="17"/>
      <c r="J42" s="18"/>
      <c r="K42" s="17"/>
      <c r="Q42" s="34"/>
    </row>
    <row r="43" spans="1:17" s="34" customFormat="1" x14ac:dyDescent="0.25">
      <c r="A43" s="2"/>
      <c r="B43" s="39" t="s">
        <v>36</v>
      </c>
      <c r="C43" s="3"/>
      <c r="D43" s="4"/>
      <c r="E43" s="5"/>
      <c r="F43" s="5"/>
      <c r="G43" s="38">
        <f>SUM(G41:G42)</f>
        <v>1.2115255069317017</v>
      </c>
      <c r="H43" s="7" t="s">
        <v>45</v>
      </c>
      <c r="I43" s="6">
        <v>10964.46</v>
      </c>
      <c r="J43" s="38">
        <f>G43*I43</f>
        <v>13283.722959732364</v>
      </c>
      <c r="K43" s="5"/>
      <c r="Q43" s="19"/>
    </row>
    <row r="44" spans="1:17" x14ac:dyDescent="0.25">
      <c r="A44" s="16"/>
      <c r="B44" s="32" t="s">
        <v>26</v>
      </c>
      <c r="C44" s="17"/>
      <c r="D44" s="17"/>
      <c r="E44" s="17"/>
      <c r="F44" s="17"/>
      <c r="G44" s="17"/>
      <c r="H44" s="17"/>
      <c r="I44" s="17"/>
      <c r="J44" s="18">
        <f>0.13*G43*53818.03/15</f>
        <v>565.08327267440131</v>
      </c>
      <c r="K44" s="17"/>
    </row>
    <row r="45" spans="1:17" x14ac:dyDescent="0.25">
      <c r="A45" s="16"/>
      <c r="B45" s="32" t="s">
        <v>27</v>
      </c>
      <c r="C45" s="17"/>
      <c r="D45" s="17"/>
      <c r="E45" s="17"/>
      <c r="F45" s="17"/>
      <c r="G45" s="17"/>
      <c r="H45" s="17"/>
      <c r="I45" s="17"/>
      <c r="J45" s="18">
        <f>0.13*G43*21432.6/15</f>
        <v>225.03989369215805</v>
      </c>
      <c r="K45" s="17"/>
    </row>
    <row r="46" spans="1:17" x14ac:dyDescent="0.25">
      <c r="A46" s="16"/>
      <c r="B46" s="32" t="s">
        <v>28</v>
      </c>
      <c r="C46" s="17"/>
      <c r="D46" s="17"/>
      <c r="E46" s="17"/>
      <c r="F46" s="17"/>
      <c r="G46" s="17"/>
      <c r="H46" s="17"/>
      <c r="I46" s="17"/>
      <c r="J46" s="18">
        <f>0.13*G43*(25719.12+13573.98+4286.52)/15</f>
        <v>457.58111717405467</v>
      </c>
      <c r="K46" s="17"/>
    </row>
    <row r="47" spans="1:17" x14ac:dyDescent="0.25">
      <c r="A47" s="16"/>
      <c r="B47" s="32" t="s">
        <v>46</v>
      </c>
      <c r="C47" s="17"/>
      <c r="D47" s="17"/>
      <c r="E47" s="17"/>
      <c r="F47" s="17"/>
      <c r="G47" s="17"/>
      <c r="H47" s="17"/>
      <c r="I47" s="17"/>
      <c r="J47" s="18">
        <f>0.13*G43*(6325.7/15)</f>
        <v>66.419139793048174</v>
      </c>
      <c r="K47" s="17"/>
    </row>
    <row r="48" spans="1:17" x14ac:dyDescent="0.25">
      <c r="A48" s="16"/>
      <c r="B48" s="32" t="s">
        <v>30</v>
      </c>
      <c r="C48" s="17"/>
      <c r="D48" s="17"/>
      <c r="E48" s="17"/>
      <c r="F48" s="17"/>
      <c r="G48" s="17"/>
      <c r="H48" s="17"/>
      <c r="I48" s="17"/>
      <c r="J48" s="18">
        <f>0.13*G43*(310)/5</f>
        <v>9.7648955858695157</v>
      </c>
      <c r="K48" s="17"/>
    </row>
    <row r="49" spans="1:19" x14ac:dyDescent="0.25">
      <c r="A49" s="16"/>
      <c r="B49" s="32"/>
      <c r="C49" s="17"/>
      <c r="D49" s="17"/>
      <c r="E49" s="17"/>
      <c r="F49" s="17"/>
      <c r="G49" s="17"/>
      <c r="H49" s="17"/>
      <c r="I49" s="17"/>
      <c r="J49" s="18"/>
      <c r="K49" s="17"/>
    </row>
    <row r="50" spans="1:19" ht="15" customHeight="1" x14ac:dyDescent="0.25">
      <c r="A50" s="2">
        <v>6</v>
      </c>
      <c r="B50" s="1" t="s">
        <v>16</v>
      </c>
      <c r="C50" s="3">
        <v>1</v>
      </c>
      <c r="D50" s="4"/>
      <c r="E50" s="5"/>
      <c r="F50" s="5"/>
      <c r="G50" s="7">
        <f t="shared" ref="G50" si="13">PRODUCT(C50:F50)</f>
        <v>1</v>
      </c>
      <c r="H50" s="7" t="s">
        <v>17</v>
      </c>
      <c r="I50" s="6">
        <v>500</v>
      </c>
      <c r="J50" s="7">
        <f>G50*I50</f>
        <v>500</v>
      </c>
      <c r="K50" s="5"/>
    </row>
    <row r="51" spans="1:19" x14ac:dyDescent="0.25">
      <c r="A51" s="2"/>
      <c r="B51" s="8"/>
      <c r="C51" s="3"/>
      <c r="D51" s="4"/>
      <c r="E51" s="5"/>
      <c r="F51" s="5"/>
      <c r="G51" s="6"/>
      <c r="H51" s="7"/>
      <c r="I51" s="6"/>
      <c r="J51" s="18"/>
      <c r="K51" s="5"/>
    </row>
    <row r="52" spans="1:19" x14ac:dyDescent="0.25">
      <c r="A52" s="21"/>
      <c r="B52" s="22" t="s">
        <v>19</v>
      </c>
      <c r="C52" s="23"/>
      <c r="D52" s="24"/>
      <c r="E52" s="24"/>
      <c r="F52" s="24"/>
      <c r="G52" s="18"/>
      <c r="H52" s="18"/>
      <c r="I52" s="18"/>
      <c r="J52" s="18">
        <f>SUM(J9:J50)</f>
        <v>195841.90171994959</v>
      </c>
      <c r="K52" s="25"/>
      <c r="Q52" s="20"/>
    </row>
    <row r="53" spans="1:19" x14ac:dyDescent="0.25">
      <c r="M53" s="20"/>
      <c r="N53" s="20"/>
      <c r="O53" s="20"/>
      <c r="P53" s="20"/>
      <c r="R53" s="20"/>
      <c r="S53" s="20"/>
    </row>
    <row r="54" spans="1:19" s="20" customFormat="1" x14ac:dyDescent="0.25">
      <c r="A54" s="26"/>
      <c r="B54" s="27" t="s">
        <v>18</v>
      </c>
      <c r="C54" s="46">
        <f>J52</f>
        <v>195841.90171994959</v>
      </c>
      <c r="D54" s="47"/>
      <c r="E54" s="9">
        <v>100</v>
      </c>
      <c r="F54" s="26"/>
      <c r="G54" s="28"/>
      <c r="H54" s="26"/>
      <c r="I54" s="29"/>
      <c r="J54" s="30"/>
      <c r="K54" s="31"/>
      <c r="M54" s="19"/>
      <c r="N54" s="19"/>
      <c r="O54" s="19"/>
      <c r="P54" s="19"/>
      <c r="Q54" s="19"/>
      <c r="R54" s="19"/>
      <c r="S54" s="19"/>
    </row>
    <row r="55" spans="1:19" x14ac:dyDescent="0.25">
      <c r="B55" s="27" t="s">
        <v>20</v>
      </c>
      <c r="C55" s="50">
        <v>175000</v>
      </c>
      <c r="D55" s="51"/>
      <c r="E55" s="9"/>
    </row>
    <row r="56" spans="1:19" x14ac:dyDescent="0.25">
      <c r="B56" s="27" t="s">
        <v>21</v>
      </c>
      <c r="C56" s="50">
        <f>C55-C58-C59</f>
        <v>166250</v>
      </c>
      <c r="D56" s="51"/>
      <c r="E56" s="9">
        <f>C56/C54*100</f>
        <v>84.889902794007028</v>
      </c>
    </row>
    <row r="57" spans="1:19" x14ac:dyDescent="0.25">
      <c r="B57" s="27" t="s">
        <v>31</v>
      </c>
      <c r="C57" s="52">
        <f>C54-C56</f>
        <v>29591.901719949587</v>
      </c>
      <c r="D57" s="52"/>
      <c r="E57" s="9">
        <f>100-E56</f>
        <v>15.110097205992972</v>
      </c>
    </row>
    <row r="58" spans="1:19" x14ac:dyDescent="0.25">
      <c r="B58" s="27" t="s">
        <v>22</v>
      </c>
      <c r="C58" s="46">
        <f>C55*0.03</f>
        <v>5250</v>
      </c>
      <c r="D58" s="47"/>
      <c r="E58" s="9">
        <v>3</v>
      </c>
    </row>
    <row r="59" spans="1:19" x14ac:dyDescent="0.25">
      <c r="B59" s="27" t="s">
        <v>23</v>
      </c>
      <c r="C59" s="46">
        <f>C55*0.02</f>
        <v>3500</v>
      </c>
      <c r="D59" s="47"/>
      <c r="E59" s="9">
        <v>2</v>
      </c>
    </row>
  </sheetData>
  <mergeCells count="15">
    <mergeCell ref="C58:D58"/>
    <mergeCell ref="C59:D59"/>
    <mergeCell ref="A7:F7"/>
    <mergeCell ref="H7:K7"/>
    <mergeCell ref="C54:D54"/>
    <mergeCell ref="C55:D55"/>
    <mergeCell ref="C56:D56"/>
    <mergeCell ref="C57:D57"/>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39"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estimate</vt:lpstr>
      <vt:lpstr>estimate (2)</vt:lpstr>
      <vt:lpstr>estimate!Print_Area</vt:lpstr>
      <vt:lpstr>'estimate (2)'!Print_Area</vt:lpstr>
      <vt:lpstr>estimate!Print_Titles</vt:lpstr>
      <vt:lpstr>'estimate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2026-02-09T07:10:30Z</dcterms:modified>
</cp:coreProperties>
</file>