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filterPrivacy="1" defaultThemeVersion="124226"/>
  <xr:revisionPtr revIDLastSave="0" documentId="13_ncr:1_{6ABED650-AEA0-42DD-B8F2-EDA139EAAB54}" xr6:coauthVersionLast="47" xr6:coauthVersionMax="47" xr10:uidLastSave="{00000000-0000-0000-0000-000000000000}"/>
  <bookViews>
    <workbookView xWindow="-120" yWindow="-120" windowWidth="20730" windowHeight="11040" xr2:uid="{00000000-000D-0000-FFFF-FFFF00000000}"/>
  </bookViews>
  <sheets>
    <sheet name="estimate" sheetId="12" r:id="rId1"/>
    <sheet name="small wall"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estimate!$A$1:$K$45</definedName>
    <definedName name="_xlnm.Print_Area" localSheetId="1">'small wall'!$A$1:$K$49</definedName>
    <definedName name="_xlnm.Print_Titles" localSheetId="0">estimate!$1:$8</definedName>
    <definedName name="_xlnm.Print_Titles" localSheetId="1">'small wall'!$1:$8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13" l="1"/>
  <c r="E24" i="13"/>
  <c r="E17" i="13" s="1"/>
  <c r="D24" i="13"/>
  <c r="D25" i="13" s="1"/>
  <c r="G25" i="13" s="1"/>
  <c r="N24" i="13"/>
  <c r="M24" i="13"/>
  <c r="P24" i="13" s="1"/>
  <c r="B24" i="13"/>
  <c r="E34" i="13"/>
  <c r="G34" i="13" s="1"/>
  <c r="G35" i="13" s="1"/>
  <c r="C49" i="13"/>
  <c r="C48" i="13"/>
  <c r="G40" i="13"/>
  <c r="J40" i="13" s="1"/>
  <c r="N33" i="13"/>
  <c r="M33" i="13"/>
  <c r="E33" i="13"/>
  <c r="D33" i="13"/>
  <c r="G33" i="13" s="1"/>
  <c r="N22" i="13"/>
  <c r="M22" i="13"/>
  <c r="N16" i="13"/>
  <c r="M16" i="13"/>
  <c r="D16" i="13"/>
  <c r="D22" i="13" s="1"/>
  <c r="B16" i="13"/>
  <c r="B22" i="13" s="1"/>
  <c r="B33" i="13" s="1"/>
  <c r="N10" i="13"/>
  <c r="M10" i="13"/>
  <c r="P10" i="13" s="1"/>
  <c r="E10" i="13"/>
  <c r="E16" i="13" s="1"/>
  <c r="E22" i="13" s="1"/>
  <c r="B9" i="13"/>
  <c r="E29" i="12"/>
  <c r="D29" i="12"/>
  <c r="D30" i="12" s="1"/>
  <c r="G30" i="12" s="1"/>
  <c r="N29" i="12"/>
  <c r="M29" i="12"/>
  <c r="N20" i="12"/>
  <c r="M20" i="12"/>
  <c r="D15" i="12"/>
  <c r="D20" i="12" s="1"/>
  <c r="D21" i="12" s="1"/>
  <c r="G21" i="12" s="1"/>
  <c r="B15" i="12"/>
  <c r="B20" i="12" s="1"/>
  <c r="B29" i="12" s="1"/>
  <c r="E10" i="12"/>
  <c r="E15" i="12" s="1"/>
  <c r="N15" i="12"/>
  <c r="M15" i="12"/>
  <c r="B9" i="12"/>
  <c r="D17" i="13" l="1"/>
  <c r="J35" i="13"/>
  <c r="P22" i="13"/>
  <c r="G24" i="13"/>
  <c r="G26" i="13" s="1"/>
  <c r="P16" i="13"/>
  <c r="C46" i="13"/>
  <c r="P33" i="13"/>
  <c r="G10" i="13"/>
  <c r="D23" i="13"/>
  <c r="G23" i="13" s="1"/>
  <c r="G22" i="13"/>
  <c r="G16" i="13"/>
  <c r="P20" i="12"/>
  <c r="P29" i="12"/>
  <c r="G29" i="12"/>
  <c r="G31" i="12" s="1"/>
  <c r="G10" i="12"/>
  <c r="P15" i="12"/>
  <c r="G15" i="12"/>
  <c r="G16" i="12" s="1"/>
  <c r="E20" i="12"/>
  <c r="G20" i="12" s="1"/>
  <c r="G22" i="12" s="1"/>
  <c r="G17" i="13" l="1"/>
  <c r="G18" i="13" s="1"/>
  <c r="J19" i="13" s="1"/>
  <c r="D11" i="13"/>
  <c r="G11" i="13" s="1"/>
  <c r="G12" i="13" s="1"/>
  <c r="J13" i="13" s="1"/>
  <c r="J36" i="13"/>
  <c r="J38" i="13"/>
  <c r="J37" i="13"/>
  <c r="J32" i="12"/>
  <c r="J33" i="12"/>
  <c r="J34" i="12"/>
  <c r="J26" i="12"/>
  <c r="J25" i="12"/>
  <c r="J24" i="12"/>
  <c r="J23" i="12"/>
  <c r="J31" i="12"/>
  <c r="J16" i="12"/>
  <c r="J17" i="12"/>
  <c r="J22" i="12"/>
  <c r="J12" i="13" l="1"/>
  <c r="J18" i="13"/>
  <c r="J30" i="13"/>
  <c r="J29" i="13"/>
  <c r="J28" i="13"/>
  <c r="J27" i="13"/>
  <c r="J26" i="13"/>
  <c r="N10" i="12"/>
  <c r="M10" i="12"/>
  <c r="J42" i="13" l="1"/>
  <c r="C44" i="13" s="1"/>
  <c r="P10" i="12"/>
  <c r="G11" i="12"/>
  <c r="C47" i="13" l="1"/>
  <c r="E46" i="13"/>
  <c r="E47" i="13" s="1"/>
  <c r="J11" i="12"/>
  <c r="J12" i="12"/>
  <c r="C45" i="12"/>
  <c r="C44" i="12"/>
  <c r="G36" i="12"/>
  <c r="J36" i="12" s="1"/>
  <c r="J38" i="12" l="1"/>
  <c r="C42" i="12"/>
  <c r="C40" i="12" l="1"/>
  <c r="E42" i="12" l="1"/>
  <c r="E43" i="12" s="1"/>
  <c r="C43" i="12"/>
</calcChain>
</file>

<file path=xl/sharedStrings.xml><?xml version="1.0" encoding="utf-8"?>
<sst xmlns="http://schemas.openxmlformats.org/spreadsheetml/2006/main" count="100" uniqueCount="41">
  <si>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</si>
  <si>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</si>
  <si>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</si>
  <si>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</si>
  <si>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</si>
  <si>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</si>
  <si>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</si>
  <si>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</si>
  <si>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</si>
  <si>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</si>
  <si>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</si>
  <si>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</si>
  <si>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</si>
  <si>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</si>
  <si>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</si>
  <si>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</si>
  <si>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</si>
  <si>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</si>
  <si>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</si>
  <si>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</si>
  <si>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</si>
  <si>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</si>
  <si>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</si>
  <si>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</si>
  <si>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</si>
  <si>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</si>
  <si>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</si>
  <si>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</si>
  <si>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</si>
  <si>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</si>
  <si>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Police sector contribution</t>
  </si>
  <si>
    <t>Project:-तिनघरे बाटो स्तरोन्नति</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</si>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</sst>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2" fontId="4" fillId="0" borderId="0" xfId="0" applyNumberFormat="1" applyFon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G:\2082_2083\rate%20analysis\For%20all%20Road-rate%20analysis%2082%2083%20shankharapur.xlsx" TargetMode="External"/><Relationship Id="rId1" Type="http://schemas.openxmlformats.org/officeDocument/2006/relationships/externalLinkPath" Target="/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5"/>
  <sheetViews>
    <sheetView tabSelected="1" zoomScale="90" zoomScaleNormal="90" zoomScaleSheetLayoutView="95" workbookViewId="0">
      <selection activeCell="B31" sqref="B31"/>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1.855468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31</v>
      </c>
      <c r="B6" s="37"/>
      <c r="C6" s="37"/>
      <c r="D6" s="37"/>
      <c r="E6" s="37"/>
      <c r="F6" s="37"/>
      <c r="G6" s="10"/>
      <c r="H6" s="38" t="s">
        <v>29</v>
      </c>
      <c r="I6" s="38"/>
      <c r="J6" s="38"/>
      <c r="K6" s="38"/>
    </row>
    <row r="7" spans="1:16" ht="15.75" x14ac:dyDescent="0.25">
      <c r="A7" s="45" t="s">
        <v>5</v>
      </c>
      <c r="B7" s="45"/>
      <c r="C7" s="45"/>
      <c r="D7" s="45"/>
      <c r="E7" s="45"/>
      <c r="F7" s="45"/>
      <c r="G7" s="11"/>
      <c r="H7" s="46" t="s">
        <v>23</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9" x14ac:dyDescent="0.25">
      <c r="A9" s="16">
        <v>1</v>
      </c>
      <c r="B9" s="35" t="str">
        <f>description_276</f>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
      <c r="C9" s="17"/>
      <c r="D9" s="17"/>
      <c r="E9" s="17"/>
      <c r="F9" s="17"/>
      <c r="G9" s="17"/>
      <c r="H9" s="17"/>
      <c r="I9" s="17"/>
      <c r="J9" s="17"/>
      <c r="K9" s="17"/>
    </row>
    <row r="10" spans="1:16" x14ac:dyDescent="0.25">
      <c r="A10" s="16"/>
      <c r="B10" s="32" t="s">
        <v>32</v>
      </c>
      <c r="C10" s="17">
        <v>1</v>
      </c>
      <c r="D10" s="33">
        <v>18.5</v>
      </c>
      <c r="E10" s="33">
        <f>F10/2</f>
        <v>1.5</v>
      </c>
      <c r="F10" s="33">
        <v>3</v>
      </c>
      <c r="G10" s="33">
        <f>PRODUCT(C10:F10)</f>
        <v>83.25</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83.25</v>
      </c>
      <c r="H11" s="7" t="s">
        <v>18</v>
      </c>
      <c r="I11" s="6">
        <v>94.43</v>
      </c>
      <c r="J11" s="18">
        <f>G11*I11</f>
        <v>7861.2975000000006</v>
      </c>
      <c r="K11" s="5"/>
    </row>
    <row r="12" spans="1:16" x14ac:dyDescent="0.25">
      <c r="A12" s="16"/>
      <c r="B12" s="32" t="s">
        <v>24</v>
      </c>
      <c r="C12" s="17"/>
      <c r="D12" s="17"/>
      <c r="E12" s="17"/>
      <c r="F12" s="17"/>
      <c r="G12" s="17"/>
      <c r="H12" s="17"/>
      <c r="I12" s="17"/>
      <c r="J12" s="18">
        <f>0.13*G11*(18612)/240</f>
        <v>839.28487499999994</v>
      </c>
      <c r="K12" s="17"/>
    </row>
    <row r="13" spans="1:16" x14ac:dyDescent="0.25">
      <c r="A13" s="16"/>
      <c r="B13" s="17"/>
      <c r="C13" s="17"/>
      <c r="D13" s="17"/>
      <c r="E13" s="17"/>
      <c r="F13" s="17"/>
      <c r="G13" s="17"/>
      <c r="H13" s="17"/>
      <c r="I13" s="17"/>
      <c r="J13" s="17"/>
      <c r="K13" s="17"/>
    </row>
    <row r="14" spans="1:16" ht="110.25" x14ac:dyDescent="0.25">
      <c r="A14" s="16">
        <v>2</v>
      </c>
      <c r="B14" s="35" t="s">
        <v>33</v>
      </c>
      <c r="C14" s="17"/>
      <c r="D14" s="17"/>
      <c r="E14" s="17"/>
      <c r="F14" s="17"/>
      <c r="G14" s="17"/>
      <c r="H14" s="17"/>
      <c r="I14" s="17"/>
      <c r="J14" s="17"/>
      <c r="K14" s="17"/>
    </row>
    <row r="15" spans="1:16" x14ac:dyDescent="0.25">
      <c r="A15" s="16"/>
      <c r="B15" s="32" t="str">
        <f>B10</f>
        <v>-for masonary wall</v>
      </c>
      <c r="C15" s="17">
        <v>1</v>
      </c>
      <c r="D15" s="33">
        <f>D10</f>
        <v>18.5</v>
      </c>
      <c r="E15" s="33">
        <f>E10</f>
        <v>1.5</v>
      </c>
      <c r="F15" s="33">
        <v>0.15</v>
      </c>
      <c r="G15" s="33">
        <f>PRODUCT(C15:F15)</f>
        <v>4.1624999999999996</v>
      </c>
      <c r="H15" s="17"/>
      <c r="I15" s="17"/>
      <c r="J15" s="17"/>
      <c r="K15" s="17"/>
      <c r="M15" s="33">
        <f>7</f>
        <v>7</v>
      </c>
      <c r="N15" s="33">
        <f>2</f>
        <v>2</v>
      </c>
      <c r="O15" s="33"/>
      <c r="P15" s="33">
        <f>PI()*M15*SQRT(M15^2+N15^2)</f>
        <v>160.09797821843054</v>
      </c>
    </row>
    <row r="16" spans="1:16" ht="15" customHeight="1" x14ac:dyDescent="0.25">
      <c r="A16" s="2"/>
      <c r="B16" s="34" t="s">
        <v>17</v>
      </c>
      <c r="C16" s="3"/>
      <c r="D16" s="4"/>
      <c r="E16" s="5"/>
      <c r="F16" s="5"/>
      <c r="G16" s="6">
        <f>SUM(G15:G15)</f>
        <v>4.1624999999999996</v>
      </c>
      <c r="H16" s="7" t="s">
        <v>18</v>
      </c>
      <c r="I16" s="6">
        <v>4458.5200000000004</v>
      </c>
      <c r="J16" s="18">
        <f>G16*I16</f>
        <v>18558.589500000002</v>
      </c>
      <c r="K16" s="5"/>
    </row>
    <row r="17" spans="1:16" x14ac:dyDescent="0.25">
      <c r="A17" s="16"/>
      <c r="B17" s="32" t="s">
        <v>24</v>
      </c>
      <c r="C17" s="17"/>
      <c r="D17" s="17"/>
      <c r="E17" s="17"/>
      <c r="F17" s="17"/>
      <c r="G17" s="17"/>
      <c r="H17" s="17"/>
      <c r="I17" s="17"/>
      <c r="J17" s="18">
        <f>0.13*G16*(14817.6)/5</f>
        <v>1603.6347599999999</v>
      </c>
      <c r="K17" s="17"/>
    </row>
    <row r="18" spans="1:16" x14ac:dyDescent="0.25">
      <c r="A18" s="16"/>
      <c r="B18" s="17"/>
      <c r="C18" s="17"/>
      <c r="D18" s="17"/>
      <c r="E18" s="17"/>
      <c r="F18" s="17"/>
      <c r="G18" s="17"/>
      <c r="H18" s="17"/>
      <c r="I18" s="17"/>
      <c r="J18" s="17"/>
      <c r="K18" s="17"/>
    </row>
    <row r="19" spans="1:16" ht="94.5" x14ac:dyDescent="0.25">
      <c r="A19" s="16">
        <v>3</v>
      </c>
      <c r="B19" s="35" t="s">
        <v>34</v>
      </c>
      <c r="C19" s="17"/>
      <c r="D19" s="17"/>
      <c r="E19" s="17"/>
      <c r="F19" s="17"/>
      <c r="G19" s="17"/>
      <c r="H19" s="17"/>
      <c r="I19" s="17"/>
      <c r="J19" s="17"/>
      <c r="K19" s="17"/>
    </row>
    <row r="20" spans="1:16" x14ac:dyDescent="0.25">
      <c r="A20" s="16"/>
      <c r="B20" s="32" t="str">
        <f>B15</f>
        <v>-for masonary wall</v>
      </c>
      <c r="C20" s="17">
        <v>1</v>
      </c>
      <c r="D20" s="33">
        <f>D15</f>
        <v>18.5</v>
      </c>
      <c r="E20" s="33">
        <f>E15</f>
        <v>1.5</v>
      </c>
      <c r="F20" s="33">
        <v>0.05</v>
      </c>
      <c r="G20" s="33">
        <f>PRODUCT(C20:F20)</f>
        <v>1.3875000000000002</v>
      </c>
      <c r="H20" s="17"/>
      <c r="I20" s="17"/>
      <c r="J20" s="17"/>
      <c r="K20" s="17"/>
      <c r="M20" s="33">
        <f>7</f>
        <v>7</v>
      </c>
      <c r="N20" s="33">
        <f>2</f>
        <v>2</v>
      </c>
      <c r="O20" s="33"/>
      <c r="P20" s="33">
        <f>PI()*M20*SQRT(M20^2+N20^2)</f>
        <v>160.09797821843054</v>
      </c>
    </row>
    <row r="21" spans="1:16" x14ac:dyDescent="0.25">
      <c r="A21" s="16"/>
      <c r="B21" s="32"/>
      <c r="C21" s="17">
        <v>1</v>
      </c>
      <c r="D21" s="33">
        <f>D20</f>
        <v>18.5</v>
      </c>
      <c r="E21" s="33">
        <v>0.45</v>
      </c>
      <c r="F21" s="33">
        <v>0.05</v>
      </c>
      <c r="G21" s="33">
        <f>PRODUCT(C21:F21)</f>
        <v>0.41625000000000006</v>
      </c>
      <c r="H21" s="17"/>
      <c r="I21" s="17"/>
      <c r="J21" s="17"/>
      <c r="K21" s="17"/>
      <c r="M21" s="36"/>
      <c r="N21" s="36"/>
      <c r="O21" s="36"/>
      <c r="P21" s="36"/>
    </row>
    <row r="22" spans="1:16" ht="15" customHeight="1" x14ac:dyDescent="0.25">
      <c r="A22" s="2"/>
      <c r="B22" s="34" t="s">
        <v>17</v>
      </c>
      <c r="C22" s="3"/>
      <c r="D22" s="4"/>
      <c r="E22" s="5"/>
      <c r="F22" s="5"/>
      <c r="G22" s="6">
        <f>SUM(G20:G21)</f>
        <v>1.8037500000000002</v>
      </c>
      <c r="H22" s="7" t="s">
        <v>18</v>
      </c>
      <c r="I22" s="6">
        <v>10964.46</v>
      </c>
      <c r="J22" s="18">
        <f>G22*I22</f>
        <v>19777.144725000002</v>
      </c>
      <c r="K22" s="5"/>
    </row>
    <row r="23" spans="1:16" x14ac:dyDescent="0.25">
      <c r="A23" s="16"/>
      <c r="B23" s="32" t="s">
        <v>35</v>
      </c>
      <c r="C23" s="17"/>
      <c r="D23" s="17"/>
      <c r="E23" s="17"/>
      <c r="F23" s="17"/>
      <c r="G23" s="17"/>
      <c r="H23" s="17"/>
      <c r="I23" s="17"/>
      <c r="J23" s="18">
        <f>0.13*G22*(53818.03)/15</f>
        <v>841.31035397500023</v>
      </c>
      <c r="K23" s="17"/>
    </row>
    <row r="24" spans="1:16" x14ac:dyDescent="0.25">
      <c r="A24" s="16"/>
      <c r="B24" s="32" t="s">
        <v>36</v>
      </c>
      <c r="C24" s="17"/>
      <c r="D24" s="17"/>
      <c r="E24" s="17"/>
      <c r="F24" s="17"/>
      <c r="G24" s="17"/>
      <c r="H24" s="17"/>
      <c r="I24" s="17"/>
      <c r="J24" s="18">
        <f>0.13*G22*(21432.6)/15</f>
        <v>335.0451195</v>
      </c>
      <c r="K24" s="17"/>
    </row>
    <row r="25" spans="1:16" x14ac:dyDescent="0.25">
      <c r="A25" s="16"/>
      <c r="B25" s="32" t="s">
        <v>37</v>
      </c>
      <c r="C25" s="17"/>
      <c r="D25" s="17"/>
      <c r="E25" s="17"/>
      <c r="F25" s="17"/>
      <c r="G25" s="17"/>
      <c r="H25" s="17"/>
      <c r="I25" s="17"/>
      <c r="J25" s="18">
        <f>0.13*G22*(25719.12+13573.98+4286.52)/15</f>
        <v>681.25840964999998</v>
      </c>
      <c r="K25" s="17"/>
    </row>
    <row r="26" spans="1:16" x14ac:dyDescent="0.25">
      <c r="A26" s="16"/>
      <c r="B26" s="32" t="s">
        <v>38</v>
      </c>
      <c r="C26" s="17"/>
      <c r="D26" s="17"/>
      <c r="E26" s="17"/>
      <c r="F26" s="17"/>
      <c r="G26" s="17"/>
      <c r="H26" s="17"/>
      <c r="I26" s="17"/>
      <c r="J26" s="18">
        <f>0.13*G22*(6325.7)/15</f>
        <v>98.886505250000013</v>
      </c>
      <c r="K26" s="17"/>
    </row>
    <row r="27" spans="1:16" x14ac:dyDescent="0.25">
      <c r="A27" s="16"/>
      <c r="B27" s="17"/>
      <c r="C27" s="17"/>
      <c r="D27" s="17"/>
      <c r="E27" s="17"/>
      <c r="F27" s="17"/>
      <c r="G27" s="17"/>
      <c r="H27" s="17"/>
      <c r="I27" s="17"/>
      <c r="J27" s="17"/>
      <c r="K27" s="17"/>
    </row>
    <row r="28" spans="1:16" ht="110.25" x14ac:dyDescent="0.25">
      <c r="A28" s="16">
        <v>4</v>
      </c>
      <c r="B28" s="35" t="s">
        <v>39</v>
      </c>
      <c r="C28" s="17"/>
      <c r="D28" s="17"/>
      <c r="E28" s="17"/>
      <c r="F28" s="17"/>
      <c r="G28" s="17"/>
      <c r="H28" s="17"/>
      <c r="I28" s="17"/>
      <c r="J28" s="17"/>
      <c r="K28" s="17"/>
    </row>
    <row r="29" spans="1:16" x14ac:dyDescent="0.25">
      <c r="A29" s="16"/>
      <c r="B29" s="32" t="str">
        <f>B20</f>
        <v>-for masonary wall</v>
      </c>
      <c r="C29" s="17">
        <v>1</v>
      </c>
      <c r="D29" s="33">
        <f>D10</f>
        <v>18.5</v>
      </c>
      <c r="E29" s="33">
        <f>((F29/2)+0.45)/2</f>
        <v>0.97499999999999998</v>
      </c>
      <c r="F29" s="33">
        <v>3</v>
      </c>
      <c r="G29" s="33">
        <f>PRODUCT(C29:F29)</f>
        <v>54.112499999999997</v>
      </c>
      <c r="H29" s="17"/>
      <c r="I29" s="17"/>
      <c r="J29" s="17"/>
      <c r="K29" s="17"/>
      <c r="M29" s="33">
        <f>7</f>
        <v>7</v>
      </c>
      <c r="N29" s="33">
        <f>2</f>
        <v>2</v>
      </c>
      <c r="O29" s="33"/>
      <c r="P29" s="33">
        <f>PI()*M29*SQRT(M29^2+N29^2)</f>
        <v>160.09797821843054</v>
      </c>
    </row>
    <row r="30" spans="1:16" x14ac:dyDescent="0.25">
      <c r="A30" s="16"/>
      <c r="B30" s="32"/>
      <c r="C30" s="17">
        <v>1</v>
      </c>
      <c r="D30" s="33">
        <f>D29</f>
        <v>18.5</v>
      </c>
      <c r="E30" s="33">
        <v>0.45</v>
      </c>
      <c r="F30" s="33">
        <v>0.05</v>
      </c>
      <c r="G30" s="33">
        <f>PRODUCT(C30:F30)</f>
        <v>0.41625000000000006</v>
      </c>
      <c r="H30" s="17"/>
      <c r="I30" s="17"/>
      <c r="J30" s="17"/>
      <c r="K30" s="17"/>
      <c r="M30" s="36"/>
      <c r="N30" s="36"/>
      <c r="O30" s="36"/>
      <c r="P30" s="36"/>
    </row>
    <row r="31" spans="1:16" ht="15" customHeight="1" x14ac:dyDescent="0.25">
      <c r="A31" s="2"/>
      <c r="B31" s="34" t="s">
        <v>17</v>
      </c>
      <c r="C31" s="3"/>
      <c r="D31" s="4"/>
      <c r="E31" s="5"/>
      <c r="F31" s="5"/>
      <c r="G31" s="6">
        <f>SUM(G29:G30)</f>
        <v>54.528749999999995</v>
      </c>
      <c r="H31" s="7" t="s">
        <v>18</v>
      </c>
      <c r="I31" s="6">
        <v>8987.83</v>
      </c>
      <c r="J31" s="18">
        <f>G31*I31</f>
        <v>490095.13511249993</v>
      </c>
      <c r="K31" s="5"/>
    </row>
    <row r="32" spans="1:16" x14ac:dyDescent="0.25">
      <c r="A32" s="16"/>
      <c r="B32" s="32" t="s">
        <v>35</v>
      </c>
      <c r="C32" s="17"/>
      <c r="D32" s="17"/>
      <c r="E32" s="17"/>
      <c r="F32" s="17"/>
      <c r="G32" s="17"/>
      <c r="H32" s="17"/>
      <c r="I32" s="17"/>
      <c r="J32" s="18">
        <f>0.13*G31*(5863.95)/5</f>
        <v>8313.6004526249999</v>
      </c>
      <c r="K32" s="17"/>
    </row>
    <row r="33" spans="1:19" x14ac:dyDescent="0.25">
      <c r="A33" s="16"/>
      <c r="B33" s="32" t="s">
        <v>36</v>
      </c>
      <c r="C33" s="17"/>
      <c r="D33" s="17"/>
      <c r="E33" s="17"/>
      <c r="F33" s="17"/>
      <c r="G33" s="17"/>
      <c r="H33" s="17"/>
      <c r="I33" s="17"/>
      <c r="J33" s="18">
        <f>0.13*G31*(6604.416)/5</f>
        <v>9363.3942729599985</v>
      </c>
      <c r="K33" s="17"/>
    </row>
    <row r="34" spans="1:19" x14ac:dyDescent="0.25">
      <c r="A34" s="16"/>
      <c r="B34" s="32" t="s">
        <v>40</v>
      </c>
      <c r="C34" s="17"/>
      <c r="D34" s="17"/>
      <c r="E34" s="17"/>
      <c r="F34" s="17"/>
      <c r="G34" s="17"/>
      <c r="H34" s="17"/>
      <c r="I34" s="17"/>
      <c r="J34" s="18">
        <f>0.13*G31*(14808.78)/5</f>
        <v>20995.110823049999</v>
      </c>
      <c r="K34" s="17"/>
    </row>
    <row r="35" spans="1:19" x14ac:dyDescent="0.25">
      <c r="A35" s="16"/>
      <c r="B35" s="17"/>
      <c r="C35" s="17"/>
      <c r="D35" s="17"/>
      <c r="E35" s="17"/>
      <c r="F35" s="17"/>
      <c r="G35" s="17"/>
      <c r="H35" s="17"/>
      <c r="I35" s="17"/>
      <c r="J35" s="17"/>
      <c r="K35" s="17"/>
    </row>
    <row r="36" spans="1:19" ht="15" customHeight="1" x14ac:dyDescent="0.25">
      <c r="A36" s="2">
        <v>5</v>
      </c>
      <c r="B36" s="1" t="s">
        <v>19</v>
      </c>
      <c r="C36" s="3">
        <v>1</v>
      </c>
      <c r="D36" s="4"/>
      <c r="E36" s="5"/>
      <c r="F36" s="5"/>
      <c r="G36" s="7">
        <f t="shared" ref="G36" si="0">PRODUCT(C36:F36)</f>
        <v>1</v>
      </c>
      <c r="H36" s="7" t="s">
        <v>20</v>
      </c>
      <c r="I36" s="6">
        <v>500</v>
      </c>
      <c r="J36" s="7">
        <f>G36*I36</f>
        <v>500</v>
      </c>
      <c r="K36" s="5"/>
    </row>
    <row r="37" spans="1:19" ht="11.25" customHeight="1" x14ac:dyDescent="0.25">
      <c r="A37" s="2"/>
      <c r="B37" s="8"/>
      <c r="C37" s="3"/>
      <c r="D37" s="4"/>
      <c r="E37" s="5"/>
      <c r="F37" s="5"/>
      <c r="G37" s="6"/>
      <c r="H37" s="7"/>
      <c r="I37" s="6"/>
      <c r="J37" s="18"/>
      <c r="K37" s="5"/>
    </row>
    <row r="38" spans="1:19" x14ac:dyDescent="0.25">
      <c r="A38" s="21"/>
      <c r="B38" s="22" t="s">
        <v>22</v>
      </c>
      <c r="C38" s="23"/>
      <c r="D38" s="24"/>
      <c r="E38" s="24"/>
      <c r="F38" s="24"/>
      <c r="G38" s="18"/>
      <c r="H38" s="18"/>
      <c r="I38" s="18"/>
      <c r="J38" s="18">
        <f>SUM(J9:J36)</f>
        <v>579863.69240950991</v>
      </c>
      <c r="K38" s="25"/>
    </row>
    <row r="39" spans="1:19" x14ac:dyDescent="0.25">
      <c r="M39" s="20"/>
      <c r="N39" s="20"/>
      <c r="O39" s="20"/>
      <c r="P39" s="20"/>
      <c r="Q39" s="20"/>
      <c r="R39" s="20"/>
      <c r="S39" s="20"/>
    </row>
    <row r="40" spans="1:19" s="20" customFormat="1" x14ac:dyDescent="0.25">
      <c r="A40" s="26"/>
      <c r="B40" s="27" t="s">
        <v>21</v>
      </c>
      <c r="C40" s="43">
        <f>J38</f>
        <v>579863.69240950991</v>
      </c>
      <c r="D40" s="44"/>
      <c r="E40" s="9">
        <v>100</v>
      </c>
      <c r="F40" s="26"/>
      <c r="G40" s="28"/>
      <c r="H40" s="26"/>
      <c r="I40" s="29"/>
      <c r="J40" s="30"/>
      <c r="K40" s="31"/>
      <c r="M40" s="19"/>
      <c r="N40" s="19"/>
      <c r="O40" s="19"/>
      <c r="P40" s="19"/>
      <c r="Q40" s="19"/>
      <c r="R40" s="19"/>
      <c r="S40" s="19"/>
    </row>
    <row r="41" spans="1:19" x14ac:dyDescent="0.25">
      <c r="B41" s="27" t="s">
        <v>25</v>
      </c>
      <c r="C41" s="47">
        <v>500000</v>
      </c>
      <c r="D41" s="48"/>
      <c r="E41" s="9"/>
    </row>
    <row r="42" spans="1:19" x14ac:dyDescent="0.25">
      <c r="B42" s="27" t="s">
        <v>26</v>
      </c>
      <c r="C42" s="47">
        <f>C41-C44-C45</f>
        <v>475000</v>
      </c>
      <c r="D42" s="48"/>
      <c r="E42" s="9">
        <f>C42/C40*100</f>
        <v>81.915803009881614</v>
      </c>
    </row>
    <row r="43" spans="1:19" x14ac:dyDescent="0.25">
      <c r="B43" s="27" t="s">
        <v>30</v>
      </c>
      <c r="C43" s="49">
        <f>C40-C42</f>
        <v>104863.69240950991</v>
      </c>
      <c r="D43" s="49"/>
      <c r="E43" s="9">
        <f>100-E42</f>
        <v>18.084196990118386</v>
      </c>
    </row>
    <row r="44" spans="1:19" x14ac:dyDescent="0.25">
      <c r="B44" s="27" t="s">
        <v>27</v>
      </c>
      <c r="C44" s="43">
        <f>C41*0.03</f>
        <v>15000</v>
      </c>
      <c r="D44" s="44"/>
      <c r="E44" s="9">
        <v>3</v>
      </c>
    </row>
    <row r="45" spans="1:19" x14ac:dyDescent="0.25">
      <c r="B45" s="27" t="s">
        <v>28</v>
      </c>
      <c r="C45" s="43">
        <f>C41*0.02</f>
        <v>10000</v>
      </c>
      <c r="D45" s="44"/>
      <c r="E45" s="9">
        <v>2</v>
      </c>
    </row>
  </sheetData>
  <mergeCells count="15">
    <mergeCell ref="C44:D44"/>
    <mergeCell ref="C45:D45"/>
    <mergeCell ref="A7:F7"/>
    <mergeCell ref="H7:K7"/>
    <mergeCell ref="C40:D40"/>
    <mergeCell ref="C41:D41"/>
    <mergeCell ref="C42:D42"/>
    <mergeCell ref="C43:D43"/>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3F575-1B1D-47E7-B8B7-D23E5E9CA2FD}">
  <dimension ref="A1:S49"/>
  <sheetViews>
    <sheetView zoomScale="90" zoomScaleNormal="90" zoomScaleSheetLayoutView="95" workbookViewId="0">
      <selection activeCell="J9" sqref="J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1.855468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31</v>
      </c>
      <c r="B6" s="37"/>
      <c r="C6" s="37"/>
      <c r="D6" s="37"/>
      <c r="E6" s="37"/>
      <c r="F6" s="37"/>
      <c r="G6" s="10"/>
      <c r="H6" s="38" t="s">
        <v>29</v>
      </c>
      <c r="I6" s="38"/>
      <c r="J6" s="38"/>
      <c r="K6" s="38"/>
    </row>
    <row r="7" spans="1:16" ht="15.75" x14ac:dyDescent="0.25">
      <c r="A7" s="45" t="s">
        <v>5</v>
      </c>
      <c r="B7" s="45"/>
      <c r="C7" s="45"/>
      <c r="D7" s="45"/>
      <c r="E7" s="45"/>
      <c r="F7" s="45"/>
      <c r="G7" s="11"/>
      <c r="H7" s="46" t="s">
        <v>23</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9" x14ac:dyDescent="0.25">
      <c r="A9" s="16">
        <v>1</v>
      </c>
      <c r="B9" s="35" t="str">
        <f>description_276</f>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
      <c r="C9" s="17"/>
      <c r="D9" s="17"/>
      <c r="E9" s="17"/>
      <c r="F9" s="17"/>
      <c r="G9" s="17"/>
      <c r="H9" s="17"/>
      <c r="I9" s="17"/>
      <c r="J9" s="17"/>
      <c r="K9" s="17"/>
    </row>
    <row r="10" spans="1:16" x14ac:dyDescent="0.25">
      <c r="A10" s="16"/>
      <c r="B10" s="32" t="s">
        <v>32</v>
      </c>
      <c r="C10" s="17">
        <v>1</v>
      </c>
      <c r="D10" s="33">
        <v>6.2</v>
      </c>
      <c r="E10" s="33">
        <f>F10/2</f>
        <v>2.25</v>
      </c>
      <c r="F10" s="33">
        <v>4.5</v>
      </c>
      <c r="G10" s="33">
        <f>PRODUCT(C10:F10)</f>
        <v>62.775000000000006</v>
      </c>
      <c r="H10" s="17"/>
      <c r="I10" s="17"/>
      <c r="J10" s="17"/>
      <c r="K10" s="17"/>
      <c r="M10" s="33">
        <f>7</f>
        <v>7</v>
      </c>
      <c r="N10" s="33">
        <f>2</f>
        <v>2</v>
      </c>
      <c r="O10" s="33"/>
      <c r="P10" s="33">
        <f>PI()*M10*SQRT(M10^2+N10^2)</f>
        <v>160.09797821843054</v>
      </c>
    </row>
    <row r="11" spans="1:16" x14ac:dyDescent="0.25">
      <c r="A11" s="16"/>
      <c r="B11" s="32"/>
      <c r="C11" s="17">
        <v>1</v>
      </c>
      <c r="D11" s="33">
        <f>D17</f>
        <v>5.5</v>
      </c>
      <c r="E11" s="33">
        <f>E17</f>
        <v>1.5</v>
      </c>
      <c r="F11" s="33">
        <v>3</v>
      </c>
      <c r="G11" s="33">
        <f>PRODUCT(C11:F11)</f>
        <v>24.75</v>
      </c>
      <c r="H11" s="17"/>
      <c r="I11" s="17"/>
      <c r="J11" s="17"/>
      <c r="K11" s="17"/>
      <c r="M11" s="50"/>
      <c r="N11" s="50"/>
      <c r="O11" s="50"/>
      <c r="P11" s="50"/>
    </row>
    <row r="12" spans="1:16" ht="15" customHeight="1" x14ac:dyDescent="0.25">
      <c r="A12" s="2"/>
      <c r="B12" s="34" t="s">
        <v>17</v>
      </c>
      <c r="C12" s="3"/>
      <c r="D12" s="4"/>
      <c r="E12" s="5"/>
      <c r="F12" s="5"/>
      <c r="G12" s="6">
        <f>SUM(G10:G11)</f>
        <v>87.525000000000006</v>
      </c>
      <c r="H12" s="7" t="s">
        <v>18</v>
      </c>
      <c r="I12" s="6">
        <v>94.43</v>
      </c>
      <c r="J12" s="18">
        <f>G12*I12</f>
        <v>8264.9857500000016</v>
      </c>
      <c r="K12" s="5"/>
    </row>
    <row r="13" spans="1:16" x14ac:dyDescent="0.25">
      <c r="A13" s="16"/>
      <c r="B13" s="32" t="s">
        <v>24</v>
      </c>
      <c r="C13" s="17"/>
      <c r="D13" s="17"/>
      <c r="E13" s="17"/>
      <c r="F13" s="17"/>
      <c r="G13" s="17"/>
      <c r="H13" s="17"/>
      <c r="I13" s="17"/>
      <c r="J13" s="18">
        <f>0.13*G12*(18612)/240</f>
        <v>882.38328750000016</v>
      </c>
      <c r="K13" s="17"/>
    </row>
    <row r="14" spans="1:16" x14ac:dyDescent="0.25">
      <c r="A14" s="16"/>
      <c r="B14" s="17"/>
      <c r="C14" s="17"/>
      <c r="D14" s="17"/>
      <c r="E14" s="17"/>
      <c r="F14" s="17"/>
      <c r="G14" s="17"/>
      <c r="H14" s="17"/>
      <c r="I14" s="17"/>
      <c r="J14" s="17"/>
      <c r="K14" s="17"/>
    </row>
    <row r="15" spans="1:16" ht="110.25" x14ac:dyDescent="0.25">
      <c r="A15" s="16">
        <v>2</v>
      </c>
      <c r="B15" s="35" t="s">
        <v>33</v>
      </c>
      <c r="C15" s="17"/>
      <c r="D15" s="17"/>
      <c r="E15" s="17"/>
      <c r="F15" s="17"/>
      <c r="G15" s="17"/>
      <c r="H15" s="17"/>
      <c r="I15" s="17"/>
      <c r="J15" s="17"/>
      <c r="K15" s="17"/>
    </row>
    <row r="16" spans="1:16" x14ac:dyDescent="0.25">
      <c r="A16" s="16"/>
      <c r="B16" s="32" t="str">
        <f>B10</f>
        <v>-for masonary wall</v>
      </c>
      <c r="C16" s="17">
        <v>1</v>
      </c>
      <c r="D16" s="33">
        <f>D10</f>
        <v>6.2</v>
      </c>
      <c r="E16" s="33">
        <f>E10</f>
        <v>2.25</v>
      </c>
      <c r="F16" s="33">
        <v>0.15</v>
      </c>
      <c r="G16" s="33">
        <f>PRODUCT(C16:F16)</f>
        <v>2.0925000000000002</v>
      </c>
      <c r="H16" s="17"/>
      <c r="I16" s="17"/>
      <c r="J16" s="17"/>
      <c r="K16" s="17"/>
      <c r="M16" s="33">
        <f>7</f>
        <v>7</v>
      </c>
      <c r="N16" s="33">
        <f>2</f>
        <v>2</v>
      </c>
      <c r="O16" s="33"/>
      <c r="P16" s="33">
        <f>PI()*M16*SQRT(M16^2+N16^2)</f>
        <v>160.09797821843054</v>
      </c>
    </row>
    <row r="17" spans="1:16" x14ac:dyDescent="0.25">
      <c r="A17" s="16"/>
      <c r="B17" s="32"/>
      <c r="C17" s="17">
        <v>1</v>
      </c>
      <c r="D17" s="33">
        <f>D24</f>
        <v>5.5</v>
      </c>
      <c r="E17" s="33">
        <f>E24</f>
        <v>1.5</v>
      </c>
      <c r="F17" s="33">
        <v>0.15</v>
      </c>
      <c r="G17" s="33">
        <f>PRODUCT(C17:F17)</f>
        <v>1.2375</v>
      </c>
      <c r="H17" s="17"/>
      <c r="I17" s="17"/>
      <c r="J17" s="17"/>
      <c r="K17" s="17"/>
      <c r="M17" s="50"/>
      <c r="N17" s="50"/>
      <c r="O17" s="50"/>
      <c r="P17" s="50"/>
    </row>
    <row r="18" spans="1:16" ht="15" customHeight="1" x14ac:dyDescent="0.25">
      <c r="A18" s="2"/>
      <c r="B18" s="34" t="s">
        <v>17</v>
      </c>
      <c r="C18" s="3"/>
      <c r="D18" s="4"/>
      <c r="E18" s="5"/>
      <c r="F18" s="5"/>
      <c r="G18" s="6">
        <f>SUM(G16:G17)</f>
        <v>3.33</v>
      </c>
      <c r="H18" s="7" t="s">
        <v>18</v>
      </c>
      <c r="I18" s="6">
        <v>4458.5200000000004</v>
      </c>
      <c r="J18" s="18">
        <f>G18*I18</f>
        <v>14846.871600000002</v>
      </c>
      <c r="K18" s="5"/>
    </row>
    <row r="19" spans="1:16" x14ac:dyDescent="0.25">
      <c r="A19" s="16"/>
      <c r="B19" s="32" t="s">
        <v>24</v>
      </c>
      <c r="C19" s="17"/>
      <c r="D19" s="17"/>
      <c r="E19" s="17"/>
      <c r="F19" s="17"/>
      <c r="G19" s="17"/>
      <c r="H19" s="17"/>
      <c r="I19" s="17"/>
      <c r="J19" s="18">
        <f>0.13*G18*(14817.6)/5</f>
        <v>1282.9078080000002</v>
      </c>
      <c r="K19" s="17"/>
    </row>
    <row r="20" spans="1:16" x14ac:dyDescent="0.25">
      <c r="A20" s="16"/>
      <c r="B20" s="17"/>
      <c r="C20" s="17"/>
      <c r="D20" s="17"/>
      <c r="E20" s="17"/>
      <c r="F20" s="17"/>
      <c r="G20" s="17"/>
      <c r="H20" s="17"/>
      <c r="I20" s="17"/>
      <c r="J20" s="17"/>
      <c r="K20" s="17"/>
    </row>
    <row r="21" spans="1:16" ht="94.5" x14ac:dyDescent="0.25">
      <c r="A21" s="16">
        <v>3</v>
      </c>
      <c r="B21" s="35" t="s">
        <v>34</v>
      </c>
      <c r="C21" s="17"/>
      <c r="D21" s="17"/>
      <c r="E21" s="17"/>
      <c r="F21" s="17"/>
      <c r="G21" s="17"/>
      <c r="H21" s="17"/>
      <c r="I21" s="17"/>
      <c r="J21" s="17"/>
      <c r="K21" s="17"/>
    </row>
    <row r="22" spans="1:16" x14ac:dyDescent="0.25">
      <c r="A22" s="16"/>
      <c r="B22" s="32" t="str">
        <f>B16</f>
        <v>-for masonary wall</v>
      </c>
      <c r="C22" s="17">
        <v>1</v>
      </c>
      <c r="D22" s="33">
        <f>D16</f>
        <v>6.2</v>
      </c>
      <c r="E22" s="33">
        <f>E16</f>
        <v>2.25</v>
      </c>
      <c r="F22" s="33">
        <v>7.4999999999999997E-2</v>
      </c>
      <c r="G22" s="33">
        <f>PRODUCT(C22:F22)</f>
        <v>1.0462500000000001</v>
      </c>
      <c r="H22" s="17"/>
      <c r="I22" s="17"/>
      <c r="J22" s="17"/>
      <c r="K22" s="17"/>
      <c r="M22" s="33">
        <f>7</f>
        <v>7</v>
      </c>
      <c r="N22" s="33">
        <f>2</f>
        <v>2</v>
      </c>
      <c r="O22" s="33"/>
      <c r="P22" s="33">
        <f>PI()*M22*SQRT(M22^2+N22^2)</f>
        <v>160.09797821843054</v>
      </c>
    </row>
    <row r="23" spans="1:16" x14ac:dyDescent="0.25">
      <c r="A23" s="16"/>
      <c r="B23" s="32"/>
      <c r="C23" s="17">
        <v>1</v>
      </c>
      <c r="D23" s="33">
        <f>D22</f>
        <v>6.2</v>
      </c>
      <c r="E23" s="33">
        <v>0.45</v>
      </c>
      <c r="F23" s="33">
        <v>0.05</v>
      </c>
      <c r="G23" s="33">
        <f>PRODUCT(C23:F23)</f>
        <v>0.13950000000000001</v>
      </c>
      <c r="H23" s="17"/>
      <c r="I23" s="17"/>
      <c r="J23" s="17"/>
      <c r="K23" s="17"/>
      <c r="M23" s="36"/>
      <c r="N23" s="36"/>
      <c r="O23" s="36"/>
      <c r="P23" s="36"/>
    </row>
    <row r="24" spans="1:16" x14ac:dyDescent="0.25">
      <c r="A24" s="16"/>
      <c r="B24" s="32" t="str">
        <f>B19</f>
        <v>-13% VAT for materials</v>
      </c>
      <c r="C24" s="17">
        <v>1</v>
      </c>
      <c r="D24" s="33">
        <f>D34</f>
        <v>5.5</v>
      </c>
      <c r="E24" s="33">
        <f>F34/2</f>
        <v>1.5</v>
      </c>
      <c r="F24" s="33">
        <v>7.4999999999999997E-2</v>
      </c>
      <c r="G24" s="33">
        <f>PRODUCT(C24:F24)</f>
        <v>0.61875000000000002</v>
      </c>
      <c r="H24" s="17"/>
      <c r="I24" s="17"/>
      <c r="J24" s="17"/>
      <c r="K24" s="17"/>
      <c r="M24" s="33">
        <f>7</f>
        <v>7</v>
      </c>
      <c r="N24" s="33">
        <f>2</f>
        <v>2</v>
      </c>
      <c r="O24" s="33"/>
      <c r="P24" s="33">
        <f>PI()*M24*SQRT(M24^2+N24^2)</f>
        <v>160.09797821843054</v>
      </c>
    </row>
    <row r="25" spans="1:16" x14ac:dyDescent="0.25">
      <c r="A25" s="16"/>
      <c r="B25" s="32"/>
      <c r="C25" s="17">
        <v>1</v>
      </c>
      <c r="D25" s="33">
        <f>D24</f>
        <v>5.5</v>
      </c>
      <c r="E25" s="33">
        <v>0.45</v>
      </c>
      <c r="F25" s="33">
        <v>0.05</v>
      </c>
      <c r="G25" s="33">
        <f>PRODUCT(C25:F25)</f>
        <v>0.12375000000000001</v>
      </c>
      <c r="H25" s="17"/>
      <c r="I25" s="17"/>
      <c r="J25" s="17"/>
      <c r="K25" s="17"/>
      <c r="M25" s="36"/>
      <c r="N25" s="36"/>
      <c r="O25" s="36"/>
      <c r="P25" s="36"/>
    </row>
    <row r="26" spans="1:16" ht="15" customHeight="1" x14ac:dyDescent="0.25">
      <c r="A26" s="2"/>
      <c r="B26" s="34" t="s">
        <v>17</v>
      </c>
      <c r="C26" s="3"/>
      <c r="D26" s="4"/>
      <c r="E26" s="5"/>
      <c r="F26" s="5"/>
      <c r="G26" s="6">
        <f>SUM(G22:G25)</f>
        <v>1.92825</v>
      </c>
      <c r="H26" s="7" t="s">
        <v>18</v>
      </c>
      <c r="I26" s="6">
        <v>10964.46</v>
      </c>
      <c r="J26" s="18">
        <f>G26*I26</f>
        <v>21142.219994999999</v>
      </c>
      <c r="K26" s="5"/>
    </row>
    <row r="27" spans="1:16" x14ac:dyDescent="0.25">
      <c r="A27" s="16"/>
      <c r="B27" s="32" t="s">
        <v>35</v>
      </c>
      <c r="C27" s="17"/>
      <c r="D27" s="17"/>
      <c r="E27" s="17"/>
      <c r="F27" s="17"/>
      <c r="G27" s="17"/>
      <c r="H27" s="17"/>
      <c r="I27" s="17"/>
      <c r="J27" s="18">
        <f>0.13*G26*(53818.03)/15</f>
        <v>899.38000834500008</v>
      </c>
      <c r="K27" s="17"/>
    </row>
    <row r="28" spans="1:16" x14ac:dyDescent="0.25">
      <c r="A28" s="16"/>
      <c r="B28" s="32" t="s">
        <v>36</v>
      </c>
      <c r="C28" s="17"/>
      <c r="D28" s="17"/>
      <c r="E28" s="17"/>
      <c r="F28" s="17"/>
      <c r="G28" s="17"/>
      <c r="H28" s="17"/>
      <c r="I28" s="17"/>
      <c r="J28" s="18">
        <f>0.13*G26*(21432.6)/15</f>
        <v>358.17089490000001</v>
      </c>
      <c r="K28" s="17"/>
    </row>
    <row r="29" spans="1:16" x14ac:dyDescent="0.25">
      <c r="A29" s="16"/>
      <c r="B29" s="32" t="s">
        <v>37</v>
      </c>
      <c r="C29" s="17"/>
      <c r="D29" s="17"/>
      <c r="E29" s="17"/>
      <c r="F29" s="17"/>
      <c r="G29" s="17"/>
      <c r="H29" s="17"/>
      <c r="I29" s="17"/>
      <c r="J29" s="18">
        <f>0.13*G26*(25719.12+13573.98+4286.52)/15</f>
        <v>728.28081963</v>
      </c>
      <c r="K29" s="17"/>
    </row>
    <row r="30" spans="1:16" x14ac:dyDescent="0.25">
      <c r="A30" s="16"/>
      <c r="B30" s="32" t="s">
        <v>38</v>
      </c>
      <c r="C30" s="17"/>
      <c r="D30" s="17"/>
      <c r="E30" s="17"/>
      <c r="F30" s="17"/>
      <c r="G30" s="17"/>
      <c r="H30" s="17"/>
      <c r="I30" s="17"/>
      <c r="J30" s="18">
        <f>0.13*G26*(6325.7)/15</f>
        <v>105.71193554999999</v>
      </c>
      <c r="K30" s="17"/>
    </row>
    <row r="31" spans="1:16" x14ac:dyDescent="0.25">
      <c r="A31" s="16"/>
      <c r="B31" s="17"/>
      <c r="C31" s="17"/>
      <c r="D31" s="17"/>
      <c r="E31" s="17"/>
      <c r="F31" s="17"/>
      <c r="G31" s="17"/>
      <c r="H31" s="17"/>
      <c r="I31" s="17"/>
      <c r="J31" s="17"/>
      <c r="K31" s="17"/>
    </row>
    <row r="32" spans="1:16" ht="110.25" x14ac:dyDescent="0.25">
      <c r="A32" s="16">
        <v>4</v>
      </c>
      <c r="B32" s="35" t="s">
        <v>39</v>
      </c>
      <c r="C32" s="17"/>
      <c r="D32" s="17"/>
      <c r="E32" s="17"/>
      <c r="F32" s="17"/>
      <c r="G32" s="17"/>
      <c r="H32" s="17"/>
      <c r="I32" s="17"/>
      <c r="J32" s="17"/>
      <c r="K32" s="17"/>
    </row>
    <row r="33" spans="1:19" x14ac:dyDescent="0.25">
      <c r="A33" s="16"/>
      <c r="B33" s="32" t="str">
        <f>B22</f>
        <v>-for masonary wall</v>
      </c>
      <c r="C33" s="17">
        <v>1</v>
      </c>
      <c r="D33" s="33">
        <f>D10</f>
        <v>6.2</v>
      </c>
      <c r="E33" s="33">
        <f>((F33/2)+0.45)/2</f>
        <v>1.35</v>
      </c>
      <c r="F33" s="33">
        <v>4.5</v>
      </c>
      <c r="G33" s="33">
        <f>PRODUCT(C33:F33)</f>
        <v>37.665000000000006</v>
      </c>
      <c r="H33" s="17"/>
      <c r="I33" s="17"/>
      <c r="J33" s="17"/>
      <c r="K33" s="17"/>
      <c r="M33" s="33">
        <f>7</f>
        <v>7</v>
      </c>
      <c r="N33" s="33">
        <f>2</f>
        <v>2</v>
      </c>
      <c r="O33" s="33"/>
      <c r="P33" s="33">
        <f>PI()*M33*SQRT(M33^2+N33^2)</f>
        <v>160.09797821843054</v>
      </c>
    </row>
    <row r="34" spans="1:19" x14ac:dyDescent="0.25">
      <c r="A34" s="16"/>
      <c r="B34" s="32"/>
      <c r="C34" s="17">
        <v>1</v>
      </c>
      <c r="D34" s="33">
        <v>5.5</v>
      </c>
      <c r="E34" s="33">
        <f>((F34/2)+0.45)/2</f>
        <v>0.97499999999999998</v>
      </c>
      <c r="F34" s="33">
        <v>3</v>
      </c>
      <c r="G34" s="33">
        <f>PRODUCT(C34:F34)</f>
        <v>16.087499999999999</v>
      </c>
      <c r="H34" s="17"/>
      <c r="I34" s="17"/>
      <c r="J34" s="17"/>
      <c r="K34" s="17"/>
      <c r="M34" s="50"/>
      <c r="N34" s="50"/>
      <c r="O34" s="50"/>
      <c r="P34" s="50"/>
    </row>
    <row r="35" spans="1:19" ht="15" customHeight="1" x14ac:dyDescent="0.25">
      <c r="A35" s="2"/>
      <c r="B35" s="34" t="s">
        <v>17</v>
      </c>
      <c r="C35" s="3"/>
      <c r="D35" s="4"/>
      <c r="E35" s="5"/>
      <c r="F35" s="5"/>
      <c r="G35" s="6">
        <f>SUM(G33:G34)</f>
        <v>53.752500000000005</v>
      </c>
      <c r="H35" s="7" t="s">
        <v>18</v>
      </c>
      <c r="I35" s="6">
        <v>8987.83</v>
      </c>
      <c r="J35" s="18">
        <f>G35*I35</f>
        <v>483118.33207500004</v>
      </c>
      <c r="K35" s="5"/>
    </row>
    <row r="36" spans="1:19" x14ac:dyDescent="0.25">
      <c r="A36" s="16"/>
      <c r="B36" s="32" t="s">
        <v>35</v>
      </c>
      <c r="C36" s="17"/>
      <c r="D36" s="17"/>
      <c r="E36" s="17"/>
      <c r="F36" s="17"/>
      <c r="G36" s="17"/>
      <c r="H36" s="17"/>
      <c r="I36" s="17"/>
      <c r="J36" s="18">
        <f>0.13*G35*(5863.95)/5</f>
        <v>8195.251281750001</v>
      </c>
      <c r="K36" s="17"/>
    </row>
    <row r="37" spans="1:19" x14ac:dyDescent="0.25">
      <c r="A37" s="16"/>
      <c r="B37" s="32" t="s">
        <v>36</v>
      </c>
      <c r="C37" s="17"/>
      <c r="D37" s="17"/>
      <c r="E37" s="17"/>
      <c r="F37" s="17"/>
      <c r="G37" s="17"/>
      <c r="H37" s="17"/>
      <c r="I37" s="17"/>
      <c r="J37" s="18">
        <f>0.13*G35*(6604.416)/5</f>
        <v>9230.1006470400007</v>
      </c>
      <c r="K37" s="17"/>
    </row>
    <row r="38" spans="1:19" x14ac:dyDescent="0.25">
      <c r="A38" s="16"/>
      <c r="B38" s="32" t="s">
        <v>40</v>
      </c>
      <c r="C38" s="17"/>
      <c r="D38" s="17"/>
      <c r="E38" s="17"/>
      <c r="F38" s="17"/>
      <c r="G38" s="17"/>
      <c r="H38" s="17"/>
      <c r="I38" s="17"/>
      <c r="J38" s="18">
        <f>0.13*G35*(14808.78)/5</f>
        <v>20696.232620700004</v>
      </c>
      <c r="K38" s="17"/>
    </row>
    <row r="39" spans="1:19" x14ac:dyDescent="0.25">
      <c r="A39" s="16"/>
      <c r="B39" s="17"/>
      <c r="C39" s="17"/>
      <c r="D39" s="17"/>
      <c r="E39" s="17"/>
      <c r="F39" s="17"/>
      <c r="G39" s="17"/>
      <c r="H39" s="17"/>
      <c r="I39" s="17"/>
      <c r="J39" s="17"/>
      <c r="K39" s="17"/>
    </row>
    <row r="40" spans="1:19" ht="15" customHeight="1" x14ac:dyDescent="0.25">
      <c r="A40" s="2">
        <v>5</v>
      </c>
      <c r="B40" s="1" t="s">
        <v>19</v>
      </c>
      <c r="C40" s="3">
        <v>1</v>
      </c>
      <c r="D40" s="4"/>
      <c r="E40" s="5"/>
      <c r="F40" s="5"/>
      <c r="G40" s="7">
        <f t="shared" ref="G40" si="0">PRODUCT(C40:F40)</f>
        <v>1</v>
      </c>
      <c r="H40" s="7" t="s">
        <v>20</v>
      </c>
      <c r="I40" s="6">
        <v>500</v>
      </c>
      <c r="J40" s="7">
        <f>G40*I40</f>
        <v>500</v>
      </c>
      <c r="K40" s="5"/>
    </row>
    <row r="41" spans="1:19" ht="11.25" customHeight="1" x14ac:dyDescent="0.25">
      <c r="A41" s="2"/>
      <c r="B41" s="8"/>
      <c r="C41" s="3"/>
      <c r="D41" s="4"/>
      <c r="E41" s="5"/>
      <c r="F41" s="5"/>
      <c r="G41" s="6"/>
      <c r="H41" s="7"/>
      <c r="I41" s="6"/>
      <c r="J41" s="18"/>
      <c r="K41" s="5"/>
    </row>
    <row r="42" spans="1:19" x14ac:dyDescent="0.25">
      <c r="A42" s="21"/>
      <c r="B42" s="22" t="s">
        <v>22</v>
      </c>
      <c r="C42" s="23"/>
      <c r="D42" s="24"/>
      <c r="E42" s="24"/>
      <c r="F42" s="24"/>
      <c r="G42" s="18"/>
      <c r="H42" s="18"/>
      <c r="I42" s="18"/>
      <c r="J42" s="18">
        <f>SUM(J9:J40)</f>
        <v>570250.82872341503</v>
      </c>
      <c r="K42" s="25"/>
    </row>
    <row r="43" spans="1:19" x14ac:dyDescent="0.25">
      <c r="M43" s="20"/>
      <c r="N43" s="20"/>
      <c r="O43" s="20"/>
      <c r="P43" s="20"/>
      <c r="Q43" s="20"/>
      <c r="R43" s="20"/>
      <c r="S43" s="20"/>
    </row>
    <row r="44" spans="1:19" s="20" customFormat="1" x14ac:dyDescent="0.25">
      <c r="A44" s="26"/>
      <c r="B44" s="27" t="s">
        <v>21</v>
      </c>
      <c r="C44" s="43">
        <f>J42</f>
        <v>570250.82872341503</v>
      </c>
      <c r="D44" s="44"/>
      <c r="E44" s="9">
        <v>100</v>
      </c>
      <c r="F44" s="26"/>
      <c r="G44" s="28"/>
      <c r="H44" s="26"/>
      <c r="I44" s="29"/>
      <c r="J44" s="30"/>
      <c r="K44" s="31"/>
      <c r="M44" s="19"/>
      <c r="N44" s="19"/>
      <c r="O44" s="19"/>
      <c r="P44" s="19"/>
      <c r="Q44" s="19"/>
      <c r="R44" s="19"/>
      <c r="S44" s="19"/>
    </row>
    <row r="45" spans="1:19" x14ac:dyDescent="0.25">
      <c r="B45" s="27" t="s">
        <v>25</v>
      </c>
      <c r="C45" s="47">
        <v>500000</v>
      </c>
      <c r="D45" s="48"/>
      <c r="E45" s="9"/>
    </row>
    <row r="46" spans="1:19" x14ac:dyDescent="0.25">
      <c r="B46" s="27" t="s">
        <v>26</v>
      </c>
      <c r="C46" s="47">
        <f>C45-C48-C49</f>
        <v>475000</v>
      </c>
      <c r="D46" s="48"/>
      <c r="E46" s="9">
        <f>C46/C44*100</f>
        <v>83.296678597267956</v>
      </c>
    </row>
    <row r="47" spans="1:19" x14ac:dyDescent="0.25">
      <c r="B47" s="27" t="s">
        <v>30</v>
      </c>
      <c r="C47" s="49">
        <f>C44-C46</f>
        <v>95250.828723415034</v>
      </c>
      <c r="D47" s="49"/>
      <c r="E47" s="9">
        <f>100-E46</f>
        <v>16.703321402732044</v>
      </c>
    </row>
    <row r="48" spans="1:19" x14ac:dyDescent="0.25">
      <c r="B48" s="27" t="s">
        <v>27</v>
      </c>
      <c r="C48" s="43">
        <f>C45*0.03</f>
        <v>15000</v>
      </c>
      <c r="D48" s="44"/>
      <c r="E48" s="9">
        <v>3</v>
      </c>
    </row>
    <row r="49" spans="2:5" x14ac:dyDescent="0.25">
      <c r="B49" s="27" t="s">
        <v>28</v>
      </c>
      <c r="C49" s="43">
        <f>C45*0.02</f>
        <v>10000</v>
      </c>
      <c r="D49" s="44"/>
      <c r="E49" s="9">
        <v>2</v>
      </c>
    </row>
  </sheetData>
  <mergeCells count="15">
    <mergeCell ref="C48:D48"/>
    <mergeCell ref="C49:D49"/>
    <mergeCell ref="A7:F7"/>
    <mergeCell ref="H7:K7"/>
    <mergeCell ref="C44:D44"/>
    <mergeCell ref="C45:D45"/>
    <mergeCell ref="C46:D46"/>
    <mergeCell ref="C47:D47"/>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small wall</vt:lpstr>
      <vt:lpstr>estimate!Print_Area</vt:lpstr>
      <vt:lpstr>'small wall'!Print_Area</vt:lpstr>
      <vt:lpstr>estimate!Print_Titles</vt:lpstr>
      <vt:lpstr>'small wall'!Print_Titles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2025-09-23T07:09:44Z</dcterms:modified>
</cp:coreProperties>
</file>